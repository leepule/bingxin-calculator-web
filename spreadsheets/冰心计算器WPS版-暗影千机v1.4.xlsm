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workbookProtection workbookAlgorithmName="SHA-512" workbookHashValue="NiR6UttEOnhvtIOZEbbU9A7sQL12ha0S6lsaUonL6rD79W2WcEoO959LvVM9r/BeByA5XTbbXRKAzyVD+JYYBQ==" workbookSaltValue="k5bMtmlUVjAkmqiu54ghYQ==" workbookSpinCount="100000" lockStructure="1"/>
  <bookViews>
    <workbookView windowWidth="27945" windowHeight="12375" tabRatio="876" activeTab="1"/>
  </bookViews>
  <sheets>
    <sheet name="使用说明" sheetId="110" r:id="rId1"/>
    <sheet name="计算主页" sheetId="370" r:id="rId2"/>
    <sheet name="旧主页" sheetId="58" state="hidden" r:id="rId3"/>
    <sheet name="装备推荐" sheetId="257" r:id="rId4"/>
    <sheet name="我的装备" sheetId="167" r:id="rId5"/>
    <sheet name="目标数据" sheetId="122" state="hidden" r:id="rId6"/>
    <sheet name="加速表" sheetId="368" r:id="rId7"/>
    <sheet name="装备筛选" sheetId="72" state="hidden" r:id="rId8"/>
    <sheet name="循环模拟" sheetId="216" state="hidden" r:id="rId9"/>
    <sheet name="无界循环" sheetId="369" state="hidden" r:id="rId10"/>
    <sheet name="魔盒API调用" sheetId="36" state="hidden" r:id="rId11"/>
    <sheet name="加速计算" sheetId="49" state="hidden" r:id="rId12"/>
    <sheet name="角色属性" sheetId="73" state="hidden" r:id="rId13"/>
    <sheet name="常更新数据" sheetId="74" state="hidden" r:id="rId14"/>
    <sheet name="增益大全" sheetId="180" state="hidden" r:id="rId15"/>
    <sheet name="增益计算" sheetId="234" state="hidden" r:id="rId16"/>
    <sheet name="技能数" sheetId="237" state="hidden" r:id="rId17"/>
    <sheet name="技能数据" sheetId="168" state="hidden" r:id="rId18"/>
    <sheet name="实战面板" sheetId="235" state="hidden" r:id="rId19"/>
    <sheet name="伤害占比和收益" sheetId="238" state="hidden" r:id="rId20"/>
    <sheet name="待修改" sheetId="319" state="hidden" r:id="rId21"/>
    <sheet name="伤害计算" sheetId="236" state="hidden" r:id="rId22"/>
    <sheet name="全局设置" sheetId="351" state="hidden" r:id="rId23"/>
    <sheet name="Excel装备" sheetId="373" state="hidden" r:id="rId24"/>
    <sheet name="Excel版本控制" sheetId="362" state="hidden" r:id="rId25"/>
    <sheet name="Excel技能数据" sheetId="363" state="hidden" r:id="rId26"/>
    <sheet name="Excel常更新数据" sheetId="365" state="hidden" r:id="rId27"/>
    <sheet name="Excel奇穴数据" sheetId="367" state="hidden" r:id="rId28"/>
    <sheet name="WPS装备" sheetId="353" state="hidden" r:id="rId29"/>
    <sheet name="WPS版本控制" sheetId="359" state="hidden" r:id="rId30"/>
    <sheet name="数据引用" sheetId="371" state="hidden" r:id="rId31"/>
    <sheet name="WPS技能数据" sheetId="360" state="hidden" r:id="rId32"/>
    <sheet name="WPS常更新数据" sheetId="361" state="hidden" r:id="rId33"/>
    <sheet name="WPS奇穴数据" sheetId="366" state="hidden" r:id="rId34"/>
  </sheets>
  <definedNames>
    <definedName name="技能属性">_xlfn.LAMBDA(_xlpm.技能,_xlpm.属性,SUMPRODUCT((增益数据表[作用技能]=_xlpm.技能)*(增益数据表[是否激活]=TRUE()),增益数据表[覆盖率],_xlpm.属性))</definedName>
    <definedName name="_xlnm._FilterDatabase" localSheetId="14" hidden="1">增益大全!$D$1:$H$113</definedName>
    <definedName name="_xleta.IF" hidden="1">#NAME?</definedName>
    <definedName name="_xleta.SUM" hidden="1">#NAME?</definedName>
    <definedName name="_xleta.XLOOKUP" hidden="1">#NAME?</definedName>
    <definedName name="_xlpm.dotCount" hidden="1" xlm="1" functionGroupId="14">#NAME?</definedName>
    <definedName name="_xlpm.gcd" hidden="1" xlm="1" functionGroupId="14">#NAME?</definedName>
    <definedName name="_xlpm.gcd阈值" hidden="1" xlm="1" functionGroupId="14">#NAME?</definedName>
    <definedName name="_xlpm.huix表" hidden="1" xlm="1" functionGroupId="14">#NAME?</definedName>
    <definedName name="_xlpm.hui表" hidden="1" xlm="1" functionGroupId="14">#NAME?</definedName>
    <definedName name="_xlpm.hu表" hidden="1" xlm="1" functionGroupId="14">#NAME?</definedName>
    <definedName name="_xlpm.h表" hidden="1" xlm="1" functionGroupId="14">#NAME?</definedName>
    <definedName name="_xlpm.j" hidden="1" xlm="1" functionGroupId="14">#NAME?</definedName>
    <definedName name="_xlpm.ji" hidden="1" xlm="1" functionGroupId="14">#NAME?</definedName>
    <definedName name="_xlpm.jin" hidden="1" xlm="1" functionGroupId="14">#NAME?</definedName>
    <definedName name="_xlpm.s" hidden="1" xlm="1" functionGroupId="14">#NAME?</definedName>
    <definedName name="_xlpm.sh" hidden="1" xlm="1" functionGroupId="14">#NAME?</definedName>
    <definedName name="_xlpm.shi" hidden="1" xlm="1" functionGroupId="14">#NAME?</definedName>
    <definedName name="_xlpm.shif" hidden="1" xlm="1" functionGroupId="14">#NAME?</definedName>
    <definedName name="_xlpm.totalTime" hidden="1" xlm="1" functionGroupId="14">#NAME?</definedName>
    <definedName name="_xlpm.TriggerCount" hidden="1" xlm="1" functionGroupId="14">#NAME?</definedName>
    <definedName name="_xlpm.x" hidden="1" xlm="1" functionGroupId="14">#NAME?</definedName>
    <definedName name="_xlpm.表" hidden="1" xlm="1" functionGroupId="14">#NAME?</definedName>
    <definedName name="_xlpm.部位" hidden="1" xlm="1" functionGroupId="14">#NAME?</definedName>
    <definedName name="_xlpm.玳弦耗时" hidden="1" xlm="1" functionGroupId="14">#NAME?</definedName>
    <definedName name="_xlpm.等级压制" hidden="1" xlm="1" functionGroupId="14">#NAME?</definedName>
    <definedName name="_xlpm.独立增伤" hidden="1" xlm="1" functionGroupId="14">#NAME?</definedName>
    <definedName name="_xlpm.独立增伤表" hidden="1" xlm="1" functionGroupId="14">#NAME?</definedName>
    <definedName name="_xlpm.繁音技能数" hidden="1" xlm="1" functionGroupId="14">#NAME?</definedName>
    <definedName name="_xlpm.繁音命中" hidden="1" xlm="1" functionGroupId="14">#NAME?</definedName>
    <definedName name="_xlpm.芳姿次数" hidden="1" xlm="1" functionGroupId="14">#NAME?</definedName>
    <definedName name="_xlpm.防御减伤" hidden="1" xlm="1" functionGroupId="14">#NAME?</definedName>
    <definedName name="_xlpm.非侠" hidden="1" xlm="1" functionGroupId="14">#NAME?</definedName>
    <definedName name="_xlpm.攻击表" hidden="1" xlm="1" functionGroupId="14">#NAME?</definedName>
    <definedName name="_xlpm.会效" hidden="1" xlm="1" functionGroupId="14">#NAME?</definedName>
    <definedName name="_xlpm.会效表" hidden="1" xlm="1" functionGroupId="14">#NAME?</definedName>
    <definedName name="_xlpm.会心" hidden="1" xlm="1" functionGroupId="14">#NAME?</definedName>
    <definedName name="_xlpm.会心表" hidden="1" xlm="1" functionGroupId="14">#NAME?</definedName>
    <definedName name="_xlpm.基础伤害" hidden="1" xlm="1" functionGroupId="14">#NAME?</definedName>
    <definedName name="_xlpm.技能" hidden="1" xlm="1" functionGroupId="14">#NAME?</definedName>
    <definedName name="_xlpm.技能表" hidden="1" xlm="1" functionGroupId="14">#NAME?</definedName>
    <definedName name="_xlpm.技能数" hidden="1" xlm="1" functionGroupId="14">#NAME?</definedName>
    <definedName name="_xlpm.加速" hidden="1" xlm="1" functionGroupId="14">#NAME?</definedName>
    <definedName name="_xlpm.减防" hidden="1" xlm="1" functionGroupId="14">#NAME?</definedName>
    <definedName name="_xlpm.剑舞" hidden="1" xlm="1" functionGroupId="14">#NAME?</definedName>
    <definedName name="_xlpm.降防表" hidden="1" xlm="1" functionGroupId="14">#NAME?</definedName>
    <definedName name="_xlpm.裸伤" hidden="1" xlm="1" functionGroupId="14">#NAME?</definedName>
    <definedName name="_xlpm.命中伤害" hidden="1" xlm="1" functionGroupId="14">#NAME?</definedName>
    <definedName name="_xlpm.判断数值" hidden="1" xlm="1" functionGroupId="14">#NAME?</definedName>
    <definedName name="_xlpm.破防" hidden="1" xlm="1" functionGroupId="14">#NAME?</definedName>
    <definedName name="_xlpm.破防表" hidden="1" xlm="1" functionGroupId="14">#NAME?</definedName>
    <definedName name="_xlpm.破招表" hidden="1" xlm="1" functionGroupId="14">#NAME?</definedName>
    <definedName name="_xlpm.期望伤害" hidden="1" xlm="1" functionGroupId="14">#NAME?</definedName>
    <definedName name="_xlpm.实战表" hidden="1" xlm="1" functionGroupId="14">#NAME?</definedName>
    <definedName name="_xlpm.实战面板" hidden="1" xlm="1" functionGroupId="14">#NAME?</definedName>
    <definedName name="_xlpm.实战面板无视防御表" hidden="1" xlm="1" functionGroupId="14">#NAME?</definedName>
    <definedName name="_xlpm.实战属性表" hidden="1" xlm="1" functionGroupId="14">#NAME?</definedName>
    <definedName name="_xlpm.实战无视防御表" hidden="1" xlm="1" functionGroupId="14">#NAME?</definedName>
    <definedName name="_xlpm.是否" hidden="1" xlm="1" functionGroupId="14">#NAME?</definedName>
    <definedName name="_xlpm.是否字符" hidden="1" xlm="1" functionGroupId="14">#NAME?</definedName>
    <definedName name="_xlpm.属性" hidden="1" xlm="1" functionGroupId="14">#NAME?</definedName>
    <definedName name="_xlpm.数值" hidden="1" xlm="1" functionGroupId="14">#NAME?</definedName>
    <definedName name="_xlpm.无视防御" hidden="1" xlm="1" functionGroupId="14">#NAME?</definedName>
    <definedName name="_xlpm.无视防御表" hidden="1" xlm="1" functionGroupId="14">#NAME?</definedName>
    <definedName name="_xlpm.无双" hidden="1" xlm="1" functionGroupId="14">#NAME?</definedName>
    <definedName name="_xlpm.无双表" hidden="1" xlm="1" functionGroupId="14">#NAME?</definedName>
    <definedName name="_xlpm.易伤" hidden="1" xlm="1" functionGroupId="14">#NAME?</definedName>
    <definedName name="_xlpm.易伤表" hidden="1" xlm="1" functionGroupId="14">#NAME?</definedName>
    <definedName name="_xlpm.原始伤害" hidden="1" xlm="1" functionGroupId="14">#NAME?</definedName>
    <definedName name="_xlpm.增伤" hidden="1" xlm="1" functionGroupId="14">#NAME?</definedName>
    <definedName name="_xlpm.增伤表" hidden="1" xlm="1" functionGroupId="14">#NAME?</definedName>
    <definedName name="_xlpm.总会效" hidden="1" xlm="1" functionGroupId="14">#NAME?</definedName>
    <definedName name="_xlpm.总会心" hidden="1" xlm="1" functionGroupId="14">#NAME?</definedName>
    <definedName name="_xlpm.总无视" hidden="1" xlm="1" functionGroupId="14">#NAME?</definedName>
    <definedName name="_xlpm.最终增伤" hidden="1" xlm="1" functionGroupId="14">#NAME?</definedName>
    <definedName name="_xlpm.最终增伤表" hidden="1" xlm="1" functionGroupId="14">#NAME?</definedName>
    <definedName name="ExternalData_1" localSheetId="24" hidden="1">Excel版本控制!$A$1:$J$28</definedName>
    <definedName name="ExternalData_1" localSheetId="26" hidden="1">Excel常更新数据!$A$1:$P$169</definedName>
    <definedName name="ExternalData_1" localSheetId="27" hidden="1">Excel奇穴数据!$A$1:$W$29</definedName>
    <definedName name="ExternalData_1" localSheetId="29">WPS版本控制!$A$1:$J$25</definedName>
    <definedName name="ExternalData_1" localSheetId="32">WPS常更新数据!$A$1:$T$167</definedName>
    <definedName name="ExternalData_1" localSheetId="31">WPS技能数据!$A$1:$D$60</definedName>
    <definedName name="ExternalData_1" localSheetId="33">WPS奇穴数据!$A$1:$X$28</definedName>
    <definedName name="ExternalData_1" localSheetId="28">WPS装备!$A$1:$AC$323</definedName>
    <definedName name="ExternalData_1" localSheetId="10" hidden="1">魔盒API调用!$A$1:$B$93</definedName>
    <definedName name="ExternalData_2" localSheetId="23" hidden="1">Excel装备!$A$1:$AC$324</definedName>
    <definedName name="ExternalData_4" localSheetId="25" hidden="1">Excel技能数据!$A$1:$D$61</definedName>
    <definedName name="solver_adj" localSheetId="2" hidden="1">旧主页!$H$14</definedName>
    <definedName name="solver_eng" localSheetId="2" hidden="1">1</definedName>
    <definedName name="solver_lin" localSheetId="2" hidden="1">0</definedName>
    <definedName name="solver_neg" localSheetId="2" hidden="1">1</definedName>
    <definedName name="solver_num" localSheetId="2" hidden="1">0</definedName>
    <definedName name="solver_opt" localSheetId="2" hidden="1">旧主页!$G$15</definedName>
    <definedName name="solver_typ" localSheetId="2" hidden="1">1</definedName>
    <definedName name="solver_val" localSheetId="2" hidden="1">0</definedName>
    <definedName name="solver_ver" localSheetId="2" hidden="1">3</definedName>
    <definedName name="WPS数据源">全局设置!$B$1=全局设置!$D$1</definedName>
    <definedName name="部位">角色属性!$AE$7:$AE$17</definedName>
    <definedName name="部位系数">角色属性!$AF$7:$AF$17</definedName>
    <definedName name="玳弦读条时间">_xlfn.LAMBDA(_xlpm.剑舞,INDEX(旗舰加速表[0舞玳]:旗舰加速表[1舞霜降玳]:旗舰加速表[2舞霜降玳]:旗舰加速表[3舞霜降玳]:旗舰加速表[4舞霜降玳]:旗舰加速表[5舞霜降玳],0,_xlpm.剑舞+1))</definedName>
    <definedName name="繁音技能数">IF(全局设置!$H$2,旗舰技能表[繁音技能数],无界技能表[繁音技能数])</definedName>
    <definedName name="计算玳弦读条时间">_xlfn.LAMBDA(_xlpm.加速,_xlpm.剑舞,_xlfn.XLOOKUP(_xlpm.加速,旗舰加速表[加速阈值],玳弦读条时间(_xlpm.剑舞),0,-1)+加速计算!$B$4)</definedName>
    <definedName name="计算独立增伤">_xlfn.LAMBDA(_xlpm.技能,_xlpm.实战面板,_xlpm.独立增伤表,_xlfn.XLOOKUP(_xlpm.技能,技能数据表[技能],技能数据表[独立增伤])+_xlfn.XLOOKUP(_xlpm.实战面板,实战面板表[实战面板],_xlpm.独立增伤表))</definedName>
    <definedName name="计算繁音伤害">_xlfn.LAMBDA(_xlpm.技能,_xlpm.实战面板,计算技能伤害(_xlpm.技能,_xlpm.实战面板,实战面板表[繁音攻击],实战面板表[繁音破招],实战面板表[繁音增伤],实战面板表[繁音独立],实战面板表[繁音破防],实战面板表[繁音会心],实战面板表[繁音会效],实战面板表[繁音降防],实战面板表[繁音无视],实战面板表[繁音无双],实战面板表[繁音易伤],实战面板表[繁音最终]))</definedName>
    <definedName name="计算防御减伤">_xlfn.LAMBDA(_xlpm.减防,_xlpm.无视防御,目标数据!$J$7*(1-_xlpm.减防)*(1-_xlpm.无视防御)/(目标数据!$J$7*(1-_xlpm.减防)*(1-_xlpm.无视防御)+目标数据!$K$7))</definedName>
    <definedName name="计算会效">_xlfn.LAMBDA(_xlpm.技能,_xlpm.实战面板,_xlpm.会效表,_xlfn.LET(_xlpm.总会效,_xlfn.XLOOKUP(_xlpm.技能,技能数据表[技能],技能数据表[会效])+_xlfn.XLOOKUP(_xlpm.实战面板,实战面板表[实战面板],_xlpm.会效表),IF(_xlpm.总会效&gt;3,3,_xlpm.总会效)))</definedName>
    <definedName name="计算会心">_xlfn.LAMBDA(_xlpm.技能,_xlpm.实战面板,_xlpm.会心表,_xlfn.LET(_xlpm.总会心,_xlfn.XLOOKUP(_xlpm.技能,技能数据表[技能],技能数据表[会心])+_xlfn.XLOOKUP(_xlpm.实战面板,实战面板表[实战面板],_xlpm.会心表),IF(_xlpm.总会心&gt;1,1,_xlpm.总会心)))</definedName>
    <definedName name="计算技能">IF(全局设置!$H$2,旗舰技能表[技能],无界技能表[技能])</definedName>
    <definedName name="计算技能伤害">_xlfn.LAMBDA(_xlpm.技能,_xlpm.实战面板,_xlpm.攻击表,_xlpm.破招表,_xlpm.增伤表,_xlpm.独立增伤表,_xlpm.破防表,_xlpm.会心表,_xlpm.会效表,_xlpm.降防表,_xlpm.无视防御表,_xlpm.无双表,_xlpm.易伤表,_xlpm.最终增伤表,计算伤害(计算期望(计算裸伤(计算原始伤害(_xlpm.技能,_xlpm.实战面板,_xlpm.攻击表,_xlpm.破招表),计算增伤(_xlpm.技能,_xlpm.实战面板,_xlpm.增伤表),计算独立增伤(_xlpm.技能,_xlpm.实战面板,_xlpm.独立增伤表),计算破防(_xlpm.实战面板,_xlpm.破防表)),计算会心(_xlpm.技能,_xlpm.实战面板,_xlpm.会心表),计算会效(_xlpm.技能,_xlpm.实战面板,_xlpm.会效表)),计算防御减伤(计算降防(_xlpm.实战面板,_xlpm.降防表),计算无视(_xlpm.技能,_xlpm.实战面板,_xlpm.无视防御表)),伤害计算!$X$11,计算无双(_xlpm.实战面板,_xlpm.无双表),伤害计算!$AA$3,计算易伤(_xlpm.实战面板,_xlpm.易伤表),计算最终增伤(_xlpm.技能,_xlpm.实战面板,_xlpm.最终增伤表)))</definedName>
    <definedName name="计算降防">_xlfn.LAMBDA(_xlpm.实战面板,_xlpm.降防表,_xlfn.XLOOKUP(_xlpm.实战面板,实战面板表[实战面板],_xlpm.降防表))</definedName>
    <definedName name="计算裸伤">_xlfn.LAMBDA(_xlpm.原始伤害,_xlpm.增伤,_xlpm.独立增伤,_xlpm.破防,_xlpm.原始伤害*(1+_xlpm.增伤)*(1+_xlpm.独立增伤)*(1+_xlpm.破防))</definedName>
    <definedName name="计算秒伤">_xlfn.LAMBDA(_xlpm.技能,_xlpm.实战面板,(计算平时伤害(_xlpm.技能,_xlpm.实战面板)*技能数+计算繁音伤害(_xlpm.技能,_xlpm.实战面板)*繁音技能数)/战斗时间)</definedName>
    <definedName name="计算平时伤害">_xlfn.LAMBDA(_xlpm.技能,_xlpm.实战面板,计算技能伤害(_xlpm.技能,_xlpm.实战面板,实战面板表[攻击],实战面板表[破招],实战面板表[增伤],实战面板表[独立增伤],实战面板表[破防],实战面板表[会心],实战面板表[会效],实战面板表[降低防御],实战面板表[无视防御],实战面板表[无双],实战面板表[易伤],实战面板表[最终增伤]))</definedName>
    <definedName name="计算破防">_xlfn.LAMBDA(_xlpm.实战面板,_xlpm.破防表,_xlfn.XLOOKUP(_xlpm.实战面板,实战面板表[实战面板],_xlpm.破防表))</definedName>
    <definedName name="计算期望">_xlfn.LAMBDA(_xlpm.裸伤,_xlpm.会心,_xlpm.会效,_xlpm.裸伤*(1-_xlpm.会心+_xlpm.会心*_xlpm.会效))</definedName>
    <definedName name="计算伤害">_xlfn.LAMBDA(_xlpm.期望伤害,_xlpm.防御减伤,_xlpm.非侠,_xlpm.无双,_xlpm.等级压制,_xlpm.易伤,_xlpm.最终增伤,_xlpm.期望伤害*(1+_xlpm.最终增伤)*(1-_xlpm.防御减伤)*(1-_xlpm.等级压制)*(1+_xlpm.非侠)*(1+_xlpm.无双)*(1+_xlpm.易伤))</definedName>
    <definedName name="计算无视">_xlfn.LAMBDA(_xlpm.技能,_xlpm.实战面板,_xlpm.无视防御表,_xlfn.LET(_xlpm.总无视,_xlfn.XLOOKUP(_xlpm.技能,技能数据表[技能],技能数据表[无视防御])+_xlfn.XLOOKUP(_xlpm.实战面板,实战面板表[实战面板],_xlpm.无视防御表),IF(_xlpm.总无视&gt;1,1,_xlpm.总无视)))</definedName>
    <definedName name="计算无双">_xlfn.LAMBDA(_xlpm.实战面板,_xlpm.无双表,_xlfn.XLOOKUP(_xlpm.实战面板,实战面板表[实战面板],_xlpm.无双表))</definedName>
    <definedName name="计算易伤">_xlfn.LAMBDA(_xlpm.实战面板,_xlpm.易伤表,_xlfn.XLOOKUP(_xlpm.实战面板,实战面板表[实战面板],_xlpm.易伤表))</definedName>
    <definedName name="计算原始伤害">_xlfn.LAMBDA(_xlpm.技能,_xlpm.实战面板,_xlpm.攻击表,_xlpm.破招表,_xlfn.LET(_xlpm.技能表,技能数据表[技能],_xlpm.实战表,实战面板表[实战面板],_xlfn.XLOOKUP(_xlpm.技能,_xlpm.技能表,技能数据表[基础伤害])+_xlfn.XLOOKUP(_xlpm.技能,_xlpm.技能表,技能数据表[技能系数])*_xlfn.XLOOKUP(_xlpm.实战面板,_xlpm.实战表,_xlpm.攻击表)+_xlfn.XLOOKUP(_xlpm.技能,_xlpm.技能表,技能数据表[破招系数])*_xlfn.XLOOKUP(_xlpm.实战面板,_xlpm.实战表,_xlpm.破招表)))</definedName>
    <definedName name="计算增伤">_xlfn.LAMBDA(_xlpm.技能,_xlpm.实战面板,_xlpm.增伤表,_xlfn.XLOOKUP(_xlpm.技能,技能数据表[技能],技能数据表[增伤])+_xlfn.XLOOKUP(_xlpm.实战面板,实战面板表[实战面板],_xlpm.增伤表))</definedName>
    <definedName name="计算最终增伤">_xlfn.LAMBDA(_xlpm.技能,_xlpm.实战面板,_xlpm.增伤表,_xlfn.XLOOKUP(_xlpm.技能,技能数据表[技能],技能数据表[最终增伤])+_xlfn.XLOOKUP(_xlpm.实战面板,实战面板表[实战面板],_xlpm.增伤表))</definedName>
    <definedName name="技能数">IF(全局设置!$H$2,旗舰技能表[技能数],无界技能表[技能数])</definedName>
    <definedName name="战斗时间">IF(全局设置!$H$2,技能数!$H$3,技能数!$Q$3)</definedName>
    <definedName name="装备部位">IF(WPS数据源,OFFSET(WPS装备!$C$2,,,WPS装备!$AC$2,1),Excel装备1[部位])</definedName>
    <definedName name="装备列表">_xlfn.LAMBDA(_xlpm.部位,_xlfn._xlws.FILTER(装备名称,装备部位=_xlpm.部位))</definedName>
    <definedName name="装备名称">IF(WPS数据源,OFFSET(WPS装备!$M$2,,,WPS装备!$AC$2,1),Excel装备1[显示名称])</definedName>
    <definedName name="装备品级">IF(WPS数据源,OFFSET(WPS装备!$F$2,,,WPS装备!$AC$2,1),Excel装备1[品级])</definedName>
    <definedName name="装备数据">IF(WPS数据源,OFFSET(WPS装备!$N$2,,,WPS装备!$AC$2,14),Excel装备1[体质]:Excel装备1[根骨]:Excel装备1[攻击]:Excel装备1[会心]:Excel装备1[会效]:Excel装备1[破防]:Excel装备1[加速]:Excel装备1[破招]:Excel装备1[无双]:Excel装备1[全能]:Excel装备1[孔1]:Excel装备1[孔2]:Excel装备1[孔3]:Excel装备1[精炼等级])</definedName>
    <definedName name="装备套装">IF(WPS数据源,OFFSET(WPS装备!$E$2,,,WPS装备!$AC$2,1),Excel装备1[套装效果])</definedName>
  </definedNames>
  <calcPr calcId="191029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Crayon</author>
  </authors>
  <commentList>
    <comment ref="K3" authorId="0">
      <text>
        <r>
          <rPr>
            <sz val="9"/>
            <rFont val="宋体"/>
            <charset val="134"/>
          </rPr>
          <t>冰心诀：
▪橙武默认手打，卡五层满堂
▪拼好玳（测试），传统313打法，不太准，仅用来参考属性收益
无界（按无界延迟算）：
▪自定义序列，请参考右上角链接攻略设置</t>
        </r>
      </text>
    </comment>
    <comment ref="K6" authorId="0">
      <text>
        <r>
          <rPr>
            <sz val="9"/>
            <rFont val="宋体"/>
            <charset val="134"/>
          </rPr>
          <t xml:space="preserve">配装数据：
计算自选装备的数据
手填数据：
计算手动填写属性的数据
魔盒数据：
计算从魔盒导入的配装
</t>
        </r>
      </text>
    </comment>
    <comment ref="F35" authorId="0">
      <text>
        <r>
          <rPr>
            <sz val="9"/>
            <rFont val="宋体"/>
            <charset val="134"/>
          </rPr>
          <t>无霜风，无任何buff状态（包括秀气）</t>
        </r>
      </text>
    </comment>
    <comment ref="F36" authorId="0">
      <text>
        <r>
          <rPr>
            <sz val="9"/>
            <rFont val="宋体"/>
            <charset val="134"/>
          </rPr>
          <t>鼠标移到面板攻击数值那，会显示基础阴性内攻攻击，填该数值</t>
        </r>
      </text>
    </comment>
    <comment ref="H43" authorId="0">
      <text>
        <r>
          <rPr>
            <sz val="9"/>
            <rFont val="宋体"/>
            <charset val="134"/>
          </rPr>
          <t>这里粘贴魔盒配装的数据版</t>
        </r>
      </text>
    </comment>
  </commentList>
</comments>
</file>

<file path=xl/comments2.xml><?xml version="1.0" encoding="utf-8"?>
<comments xmlns="http://schemas.openxmlformats.org/spreadsheetml/2006/main">
  <authors>
    <author>Crayon</author>
  </authors>
  <commentList>
    <comment ref="Q23" authorId="0">
      <text>
        <r>
          <rPr>
            <sz val="9"/>
            <rFont val="宋体"/>
            <charset val="134"/>
          </rPr>
          <t>仅一之窟生效</t>
        </r>
      </text>
    </comment>
    <comment ref="Q32" authorId="0">
      <text>
        <r>
          <rPr>
            <sz val="9"/>
            <rFont val="宋体"/>
            <charset val="134"/>
          </rPr>
          <t>创意默认紫色</t>
        </r>
      </text>
    </comment>
    <comment ref="R39" authorId="0">
      <text>
        <r>
          <rPr>
            <sz val="9"/>
            <rFont val="宋体"/>
            <charset val="134"/>
          </rPr>
          <t>头脚附魔会直接加在面板上，从机器人那查询到的除外</t>
        </r>
      </text>
    </comment>
    <comment ref="K47" authorId="0">
      <text>
        <r>
          <rPr>
            <sz val="9"/>
            <rFont val="宋体"/>
            <charset val="134"/>
          </rPr>
          <t>填网址末尾的数字，方案必须选择公开，且配装里面的奇穴不要选择霜风，否则数据会不准</t>
        </r>
      </text>
    </comment>
  </commentList>
</comments>
</file>

<file path=xl/comments3.xml><?xml version="1.0" encoding="utf-8"?>
<comments xmlns="http://schemas.openxmlformats.org/spreadsheetml/2006/main">
  <authors>
    <author>Crayon</author>
  </authors>
  <commentList>
    <comment ref="K1" authorId="0">
      <text>
        <r>
          <rPr>
            <sz val="9"/>
            <rFont val="宋体"/>
            <charset val="134"/>
          </rPr>
          <t>防御系数=（等级系数*等级-等级常数）*全局参数</t>
        </r>
      </text>
    </comment>
  </commentList>
</comments>
</file>

<file path=xl/comments4.xml><?xml version="1.0" encoding="utf-8"?>
<comments xmlns="http://schemas.openxmlformats.org/spreadsheetml/2006/main">
  <authors>
    <author>Crayon</author>
  </authors>
  <commentList>
    <comment ref="AJ34" authorId="0">
      <text>
        <r>
          <rPr>
            <sz val="9"/>
            <rFont val="宋体"/>
            <charset val="134"/>
          </rPr>
          <t>会心2</t>
        </r>
      </text>
    </comment>
    <comment ref="AK34" authorId="0">
      <text>
        <r>
          <rPr>
            <sz val="9"/>
            <rFont val="宋体"/>
            <charset val="134"/>
          </rPr>
          <t>会心3</t>
        </r>
      </text>
    </comment>
    <comment ref="W50" authorId="0">
      <text>
        <r>
          <rPr>
            <sz val="9"/>
            <rFont val="宋体"/>
            <charset val="134"/>
          </rPr>
          <t>戒指1</t>
        </r>
      </text>
    </comment>
    <comment ref="W61" authorId="0">
      <text>
        <r>
          <rPr>
            <sz val="9"/>
            <rFont val="宋体"/>
            <charset val="134"/>
          </rPr>
          <t>戒指1</t>
        </r>
      </text>
    </comment>
  </commentList>
</comments>
</file>

<file path=xl/comments5.xml><?xml version="1.0" encoding="utf-8"?>
<comments xmlns="http://schemas.openxmlformats.org/spreadsheetml/2006/main">
  <authors>
    <author>Crayon</author>
  </authors>
  <commentList>
    <comment ref="AD13" authorId="0">
      <text>
        <r>
          <rPr>
            <b/>
            <sz val="9"/>
            <rFont val="宋体"/>
            <charset val="134"/>
          </rPr>
          <t>角色自身带7点攻击+心法自带攻击</t>
        </r>
      </text>
    </comment>
    <comment ref="L27" authorId="0">
      <text>
        <r>
          <rPr>
            <sz val="9"/>
            <rFont val="宋体"/>
            <charset val="134"/>
          </rPr>
          <t>BUFF ID</t>
        </r>
      </text>
    </comment>
    <comment ref="M27" authorId="0">
      <text>
        <r>
          <rPr>
            <sz val="9"/>
            <rFont val="宋体"/>
            <charset val="134"/>
          </rPr>
          <t>技能ID</t>
        </r>
      </text>
    </comment>
  </commentList>
</comments>
</file>

<file path=xl/comments6.xml><?xml version="1.0" encoding="utf-8"?>
<comments xmlns="http://schemas.openxmlformats.org/spreadsheetml/2006/main">
  <authors>
    <author>Crayon</author>
  </authors>
  <commentList>
    <comment ref="AH23" authorId="0">
      <text>
        <r>
          <rPr>
            <sz val="9"/>
            <rFont val="宋体"/>
            <charset val="134"/>
          </rPr>
          <t>天策1、和尚2、明教3、苍云4</t>
        </r>
      </text>
    </comment>
    <comment ref="AH24" authorId="0">
      <text>
        <r>
          <rPr>
            <sz val="9"/>
            <rFont val="宋体"/>
            <charset val="134"/>
          </rPr>
          <t>七秀1、万花2、五毒3、长歌4、药宗5</t>
        </r>
      </text>
    </comment>
    <comment ref="AB58" authorId="0">
      <text>
        <r>
          <rPr>
            <sz val="9"/>
            <rFont val="宋体"/>
            <charset val="134"/>
          </rPr>
          <t>取中位数</t>
        </r>
      </text>
    </comment>
  </commentList>
</comments>
</file>

<file path=xl/comments7.xml><?xml version="1.0" encoding="utf-8"?>
<comments xmlns="http://schemas.openxmlformats.org/spreadsheetml/2006/main">
  <authors>
    <author>Crayon</author>
  </authors>
  <commentList>
    <comment ref="A2" authorId="0">
      <text>
        <r>
          <rPr>
            <sz val="9"/>
            <rFont val="宋体"/>
            <charset val="134"/>
          </rPr>
          <t>无增益常态</t>
        </r>
      </text>
    </comment>
    <comment ref="A3" authorId="0">
      <text>
        <r>
          <rPr>
            <sz val="9"/>
            <rFont val="宋体"/>
            <charset val="134"/>
          </rPr>
          <t>无增益繁音期间</t>
        </r>
      </text>
    </comment>
    <comment ref="A4" authorId="0">
      <text>
        <r>
          <rPr>
            <sz val="9"/>
            <rFont val="宋体"/>
            <charset val="134"/>
          </rPr>
          <t>增益</t>
        </r>
      </text>
    </comment>
    <comment ref="A5" authorId="0">
      <text>
        <r>
          <rPr>
            <sz val="9"/>
            <rFont val="宋体"/>
            <charset val="134"/>
          </rPr>
          <t>阵眼</t>
        </r>
      </text>
    </comment>
  </commentList>
</comments>
</file>

<file path=xl/comments8.xml><?xml version="1.0" encoding="utf-8"?>
<comments xmlns="http://schemas.openxmlformats.org/spreadsheetml/2006/main">
  <authors>
    <author>Crayon</author>
  </authors>
  <commentList>
    <comment ref="E27" authorId="0">
      <text>
        <r>
          <rPr>
            <sz val="9"/>
            <rFont val="宋体"/>
            <charset val="134"/>
          </rPr>
          <t>剑气江海触发的盈袖伤害是剑破剑影的两倍</t>
        </r>
      </text>
    </comment>
    <comment ref="F36" authorId="0">
      <text>
        <r>
          <rPr>
            <sz val="9"/>
            <rFont val="宋体"/>
            <charset val="134"/>
          </rPr>
          <t xml:space="preserve">平均每组有1跳1层急曲算
</t>
        </r>
      </text>
    </comment>
    <comment ref="G36" authorId="0">
      <text>
        <r>
          <rPr>
            <sz val="9"/>
            <rFont val="宋体"/>
            <charset val="134"/>
          </rPr>
          <t xml:space="preserve">平均每组有1跳1层急曲算
</t>
        </r>
      </text>
    </comment>
  </commentList>
</comments>
</file>

<file path=xl/comments9.xml><?xml version="1.0" encoding="utf-8"?>
<comments xmlns="http://schemas.openxmlformats.org/spreadsheetml/2006/main">
  <authors>
    <author>Crayon</author>
  </authors>
  <commentList>
    <comment ref="J55" authorId="0">
      <text>
        <r>
          <rPr>
            <sz val="9"/>
            <rFont val="宋体"/>
            <charset val="134"/>
          </rPr>
          <t>剑心-3，繁音-4，剑破-2，剑气-1</t>
        </r>
      </text>
    </comment>
  </commentList>
</comments>
</file>

<file path=xl/connections.xml><?xml version="1.0" encoding="utf-8"?>
<connections xmlns="http://schemas.openxmlformats.org/spreadsheetml/2006/main">
  <connection id="1" name="查询 - Excel奇穴数据" description="与工作簿中“Excel奇穴数据”查询的连接。" type="5" background="1" refreshedVersion="2" saveData="1">
    <dbPr connection="Provider=Microsoft.Mashup.OleDb.1;Data Source=$Workbook$;Location=Excel奇穴数据;Extended Properties=&quot;&quot;" command="SELECT * FROM [Excel奇穴数据]" commandType="2"/>
  </connection>
  <connection id="2" name="查询 - Excel常更新数据" description="与工作簿中“Excel常更新数据”查询的连接。" type="5" background="1" refreshedVersion="2" saveData="1">
    <dbPr connection="Provider=Microsoft.Mashup.OleDb.1;Data Source=$Workbook$;Location=Excel常更新数据;Extended Properties=&quot;&quot;" command="SELECT * FROM [Excel常更新数据]" commandType="2"/>
  </connection>
  <connection id="3" name="查询 - Excel技能数据" description="与工作簿中“Excel技能数据”查询的连接。" type="5" background="1" refreshedVersion="2" saveData="1">
    <dbPr connection="Provider=Microsoft.Mashup.OleDb.1;Data Source=$Workbook$;Location=Excel技能数据;Extended Properties=&quot;&quot;" command="SELECT * FROM [Excel技能数据]" commandType="2"/>
  </connection>
  <connection id="4" name="查询 - Excel版本控制" description="与工作簿中“Excel版本控制”查询的连接。" type="5" background="1" refreshedVersion="2" saveData="1">
    <dbPr connection="Provider=Microsoft.Mashup.OleDb.1;Data Source=$Workbook$;Location=Excel版本控制;Extended Properties=&quot;&quot;" command="SELECT * FROM [Excel版本控制]" commandType="2"/>
  </connection>
  <connection id="5" name="查询 - Excel装备" description="与工作簿中“Excel装备”查询的连接。" type="5" background="1" refreshedVersion="2" saveData="1">
    <dbPr connection="Provider=Microsoft.Mashup.OleDb.1;Data Source=$Workbook$;Location=Excel装备;Extended Properties=&quot;&quot;" command="SELECT * FROM [Excel装备]" commandType="2"/>
  </connection>
  <connection id="6" name="查询 - 魔盒API调用" description="与工作簿中“魔盒API调用”查询的连接。" type="5" background="1" refreshedVersion="2" saveData="1">
    <dbPr connection="Provider=Microsoft.Mashup.OleDb.1;Data Source=$Workbook$;Location=魔盒API调用;Extended Properties=&quot;&quot;" command="SELECT * FROM [魔盒API调用]" commandType="2"/>
  </connection>
  <connection id="7" name="连接" type="4" background="1" refreshedVersion="2" saveData="1">
    <webPr parsePre="1" consecutive="1" xl2000="1" url="https://incredible-travesseiro-9c372e.netlify.app/%E6%9A%97%E5%BD%B1%E5%8D%83%E6%9C%BA%E7%89%88%E6%9C%AC%E6%8E%A7%E5%88%B6.html"/>
  </connection>
  <connection id="8" name="连接1" type="4" background="1" refreshedVersion="2" saveData="1">
    <webPr parsePre="1" consecutive="1" xl2000="1" url="https://incredible-travesseiro-9c372e.netlify.app/%E6%9A%97%E5%BD%B1%E5%8D%83%E6%9C%BA%E8%A3%85%E5%A4%87%E6%95%B0%E6%8D%AE.html" htmlFormat="all"/>
  </connection>
  <connection id="9" name="连接2" type="4" background="1" refreshedVersion="2" saveData="1">
    <webPr parsePre="1" consecutive="1" xl2000="1" url="https://incredible-travesseiro-9c372e.netlify.app/%E6%9A%97%E5%BD%B1%E5%8D%83%E6%9C%BA%E6%8A%80%E8%83%BD%E6%95%B0%E6%8D%AE.html"/>
  </connection>
  <connection id="10" name="连接3" type="4" background="1" refreshedVersion="2" saveData="1">
    <webPr parsePre="1" consecutive="1" xl2000="1" url="https://incredible-travesseiro-9c372e.netlify.app/%E6%9A%97%E5%BD%B1%E5%8D%83%E6%9C%BA%E5%B8%B8%E6%9B%B4%E6%96%B0%E6%95%B0%E6%8D%AE.html"/>
  </connection>
  <connection id="11" name="连接4" type="4" background="1" refreshedVersion="2" saveData="1">
    <webPr parsePre="1" consecutive="1" xl2000="1" url="https://incredible-travesseiro-9c372e.netlify.app/%E6%9A%97%E5%BD%B1%E5%8D%83%E6%9C%BA%E5%A5%87%E7%A9%B4%E6%95%B0%E6%8D%AE.html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<sst xmlns="http://schemas.openxmlformats.org/spreadsheetml/2006/main" count="12642" uniqueCount="1980">
  <si>
    <t>武学助手</t>
  </si>
  <si>
    <t>正常延迟（30-60）</t>
  </si>
  <si>
    <t>万灵阵</t>
  </si>
  <si>
    <t>80层</t>
  </si>
  <si>
    <t>4T全</t>
  </si>
  <si>
    <t>蒸鱼菜盘</t>
  </si>
  <si>
    <t>同泽宴</t>
  </si>
  <si>
    <t>紫根骨</t>
  </si>
  <si>
    <t>紫磨石</t>
  </si>
  <si>
    <t>会心香膏</t>
  </si>
  <si>
    <t>冰心诀</t>
  </si>
  <si>
    <t>副本DPS</t>
  </si>
  <si>
    <t>配装数据</t>
  </si>
  <si>
    <t>5奶全</t>
  </si>
  <si>
    <t>二十四桥</t>
  </si>
  <si>
    <t>水煮鱼</t>
  </si>
  <si>
    <t>紫会心</t>
  </si>
  <si>
    <t>根骨酒</t>
  </si>
  <si>
    <t>会心创意</t>
  </si>
  <si>
    <t>属性</t>
  </si>
  <si>
    <t>数值</t>
  </si>
  <si>
    <t>伤害提高</t>
  </si>
  <si>
    <t>帽子</t>
  </si>
  <si>
    <t>玄阙帽·校服(破防 无双 41400)</t>
  </si>
  <si>
    <t>加速</t>
  </si>
  <si>
    <t>伤帽</t>
  </si>
  <si>
    <t>五彩石</t>
  </si>
  <si>
    <t>衣服</t>
  </si>
  <si>
    <t>玄阙衣·校服(加速 无双 41400)</t>
  </si>
  <si>
    <t>节日无双</t>
  </si>
  <si>
    <t>伤衣</t>
  </si>
  <si>
    <t>属性一</t>
  </si>
  <si>
    <t>破防</t>
  </si>
  <si>
    <t>腰带</t>
  </si>
  <si>
    <t>玄阙腰·校服(会心 无双 41400)</t>
  </si>
  <si>
    <t>伤腰</t>
  </si>
  <si>
    <t>属性二</t>
  </si>
  <si>
    <t>无双</t>
  </si>
  <si>
    <t>护手</t>
  </si>
  <si>
    <t>寒鸦啼血•特效(会心 会效 无双 41400)</t>
  </si>
  <si>
    <t>伤腕</t>
  </si>
  <si>
    <t>属性三</t>
  </si>
  <si>
    <t>会效</t>
  </si>
  <si>
    <t>裤子</t>
  </si>
  <si>
    <t>秋映月•特效(会心 破招 破防 无双 41400)</t>
  </si>
  <si>
    <t>鞋子</t>
  </si>
  <si>
    <t>玄阙鞋·校服(破防 无双 41400)</t>
  </si>
  <si>
    <t>攻击</t>
  </si>
  <si>
    <t>伤鞋</t>
  </si>
  <si>
    <t>装备孔</t>
  </si>
  <si>
    <t>项链</t>
  </si>
  <si>
    <t>神藏链(破防 无双 41400)</t>
  </si>
  <si>
    <t>阆风体质</t>
  </si>
  <si>
    <t>全身</t>
  </si>
  <si>
    <t>腰坠</t>
  </si>
  <si>
    <t>雨夜禅·橙•特效(破防 无双 37900)</t>
  </si>
  <si>
    <t>戒指</t>
  </si>
  <si>
    <t>梦冷星•特效(会心 会效 无双 41400)</t>
  </si>
  <si>
    <t>阆风攻击</t>
  </si>
  <si>
    <t>精炼</t>
  </si>
  <si>
    <t>最高</t>
  </si>
  <si>
    <t>暗器</t>
  </si>
  <si>
    <t>玄脉囊(会心 无双 41400)</t>
  </si>
  <si>
    <t>阆风加速</t>
  </si>
  <si>
    <t>武器</t>
  </si>
  <si>
    <t>照梦枝(会心 破防 加速 39750)</t>
  </si>
  <si>
    <t>一</t>
  </si>
  <si>
    <t>二</t>
  </si>
  <si>
    <t>三</t>
  </si>
  <si>
    <t>四</t>
  </si>
  <si>
    <t>五</t>
  </si>
  <si>
    <t>六</t>
  </si>
  <si>
    <t>七</t>
  </si>
  <si>
    <t>八</t>
  </si>
  <si>
    <t>九</t>
  </si>
  <si>
    <t>芳姿畅音</t>
  </si>
  <si>
    <t>枕上</t>
  </si>
  <si>
    <t>流玉</t>
  </si>
  <si>
    <t>明空</t>
  </si>
  <si>
    <t>新妆</t>
  </si>
  <si>
    <t>霜降</t>
  </si>
  <si>
    <t>盈袖</t>
  </si>
  <si>
    <t>化冰</t>
  </si>
  <si>
    <t>钗燕</t>
  </si>
  <si>
    <t>昵称：</t>
  </si>
  <si>
    <t>注意：需要把上方DPS栏的【配装数据】改成对应的【手动数据】或【魔盒数据】，才会进行DPS计算</t>
  </si>
  <si>
    <t>未填写昵称</t>
  </si>
  <si>
    <t>手动数据</t>
  </si>
  <si>
    <t>魔盒数据</t>
  </si>
  <si>
    <t>装备特效</t>
  </si>
  <si>
    <t>背景色：</t>
  </si>
  <si>
    <t>根骨</t>
  </si>
  <si>
    <t>4件套效果</t>
  </si>
  <si>
    <t>无</t>
  </si>
  <si>
    <t>浅粉</t>
  </si>
  <si>
    <t>基础攻击</t>
  </si>
  <si>
    <t>大附魔</t>
  </si>
  <si>
    <t>小伤鞋</t>
  </si>
  <si>
    <t>会心</t>
  </si>
  <si>
    <t>武器特效</t>
  </si>
  <si>
    <t>小橙武</t>
  </si>
  <si>
    <t>头像：</t>
  </si>
  <si>
    <t>会心效果</t>
  </si>
  <si>
    <t>手腰裤</t>
  </si>
  <si>
    <t>秀姐</t>
  </si>
  <si>
    <t>暗器头鞋</t>
  </si>
  <si>
    <t>381帽</t>
  </si>
  <si>
    <t>353鞋会心</t>
  </si>
  <si>
    <t>链坠戒戒</t>
  </si>
  <si>
    <t>装备分数</t>
  </si>
  <si>
    <t>破招</t>
  </si>
  <si>
    <t>填写在上方↑</t>
  </si>
  <si>
    <t>{"Vitality":136220,"Agility":44,"Spirit":7872,"Spunk":44,"Strength":44,"LunarAttackPowerBase":45976,"LunarAttackPower":75638,"LunarCriticalStrikeRate":0.1408628093655635,"LunarCriticalStrike":27849,"LunarCriticalDamagePowerPercent":1.75,"LunarCriticalDamagePower":0,"LunarOvercomePercent":0.20446313821708142,"StrainPercent":0.6963081963081963,"HastePercent":0.048828125,"SurplusValue":56029,"MaxHealth":1887486,"PhysicsShieldPercent":0.06180560829495146,"LunarShieldPercent":0.0715116253365578,"ToughnessDefCriticalPercent":0,"DecriticalDamagePercent":0.099609375,"MeleeWeaponAttackSpeed":21,"MeleeWeaponDamage":2611,"MeleeWeaponDamageRand":1741,"PVXAllRound":0,"LunarOvercome":46200,"Strain":92841,"Haste":10422,"EquipList":{"HAT":{"id":"7_101434","stone":"","enchant":12393,"enhance":12228,"strength":6,"embedding":[8,8]},"BELT":{"id":"7_104333","stone":"","enchant":12389,"enhance":12344,"strength":6,"embedding":[8,8]},"SHOES":{"id":"7_101403","stone":"","enchant":12390,"enhance":12283,"strength":6,"embedding":[8,8]},"WRIST":{"id":"7_101341","stone":"","enchant":12391,"enhance":12279,"strength":6,"embedding":[8,8]},"JACKET":{"id":"7_101465","stone":"","enchant":12392,"enhance":12342,"strength":6,"embedding":[8,8]},"RING_1":{"id":"8_41369","stone":"","enchant":"","enhance":12356,"strength":6,"embedding":[]},"RING_2":{"id":"8_41369","stone":"","enchant":"","enhance":12356,"strength":6,"embedding":[]},"BOTTOMS":{"id":"7_104337","stone":"","enchant":"","enhance":12224,"strength":6,"embedding":[8,8]},"PENDANT":{"id":"8_41361","stone":"","enchant":"","enhance":12348,"strength":6,"embedding":[8]},"NECKLACE":{"id":"8_41411","stone":"","enchant":"","enhance":12346,"strength":6,"embedding":[8]},"PRIMARY_WEAPON":{"id":"6_39334","stone":15201,"enchant":"","enhance":12212,"strength":6,"embedding":[8,8,8]},"SECONDARY_WEAPON":{"id":"6_39358","stone":"","enchant":"","enhance":12362,"strength":6,"embedding":[8]}},"Title":"丝路YX精简水特效毕业","TalentCode":[{"id":5849,"name":"青梅嗅"},{"id":5868,"name":"千里冰封"},{"id":5852,"name":"新妆"},{"id":37316,"name":"芳姿畅音"},{"id":5864,"name":"枕上"},{"id":6556,"name":"生莲"},{"id":34604,"name":"流玉"},{"id":22732,"name":"钗燕"},{"id":24995,"name":"盈袖"},{"id":24996,"name":"化冰"},{"id":38617,"name":"明空"},{"id":34603,"name":"凝华"}],"Mount":10081,"Score":512287}</t>
  </si>
  <si>
    <t>不管是手动填写还是从魔盒导入，都需要自己勾选上方的装备特效↑</t>
  </si>
  <si>
    <t>属性字体</t>
  </si>
  <si>
    <t>颜色</t>
  </si>
  <si>
    <t>装备字体</t>
  </si>
  <si>
    <t>其它字体</t>
  </si>
  <si>
    <t>内边框</t>
  </si>
  <si>
    <t>背景色</t>
  </si>
  <si>
    <t>头像渐变</t>
  </si>
  <si>
    <t>颜色1</t>
  </si>
  <si>
    <t>颜色2</t>
  </si>
  <si>
    <t>角色属性</t>
  </si>
  <si>
    <t>装备</t>
  </si>
  <si>
    <t>大小附魔</t>
  </si>
  <si>
    <t>镶嵌</t>
  </si>
  <si>
    <t>奇穴</t>
  </si>
  <si>
    <t>秘籍</t>
  </si>
  <si>
    <t>天极帽(破防 无双 30200)</t>
  </si>
  <si>
    <t>玳弦急曲</t>
  </si>
  <si>
    <t>天极衣(加速 无双 30200)</t>
  </si>
  <si>
    <t>3%伤害</t>
  </si>
  <si>
    <t>4%伤害</t>
  </si>
  <si>
    <t>5%伤害</t>
  </si>
  <si>
    <t>天极腰(会心 无双 30200)</t>
  </si>
  <si>
    <t>碎金鳞•特效(破招 无双 30200)</t>
  </si>
  <si>
    <t>剑气长江</t>
  </si>
  <si>
    <t>入小楼•特效(破招 无双 30200)</t>
  </si>
  <si>
    <t>2%会心</t>
  </si>
  <si>
    <t>3%会心</t>
  </si>
  <si>
    <t>天极鞋(破防 无双 30200)</t>
  </si>
  <si>
    <t>6%伤害</t>
  </si>
  <si>
    <t>30%概率急曲</t>
  </si>
  <si>
    <t>塑玉项饰(加速 无双 30200)</t>
  </si>
  <si>
    <t>体质</t>
  </si>
  <si>
    <t>授琅钤•特效(破防 无双 30200)</t>
  </si>
  <si>
    <t>江海凝光</t>
  </si>
  <si>
    <t>望峰引•特效(会心 无双 30200)</t>
  </si>
  <si>
    <t>15%伤害</t>
  </si>
  <si>
    <t>计算以上数据↑↑↑↑</t>
  </si>
  <si>
    <t>等级</t>
  </si>
  <si>
    <t>最大</t>
  </si>
  <si>
    <t>十</t>
  </si>
  <si>
    <r>
      <rPr>
        <b/>
        <sz val="10"/>
        <color theme="0" tint="-0.499984740745262"/>
        <rFont val="微软雅黑"/>
        <charset val="134"/>
      </rPr>
      <t>来源于右边装备</t>
    </r>
    <r>
      <rPr>
        <b/>
        <sz val="10"/>
        <color theme="0" tint="-0.499984740745262"/>
        <rFont val="宋体"/>
        <charset val="134"/>
      </rPr>
      <t>☞</t>
    </r>
  </si>
  <si>
    <t>论策囊(加速 无双 30200)</t>
  </si>
  <si>
    <t>十一</t>
  </si>
  <si>
    <t>惊鸿照水•特效(破防 无双 30200)</t>
  </si>
  <si>
    <t>十二</t>
  </si>
  <si>
    <t>（无界为系统推荐，大招起手）</t>
  </si>
  <si>
    <t>属性收益</t>
  </si>
  <si>
    <t>战斗设置</t>
  </si>
  <si>
    <t>T奶增益</t>
  </si>
  <si>
    <t>提高伤害</t>
  </si>
  <si>
    <t>当前计算</t>
  </si>
  <si>
    <t>旗舰端</t>
  </si>
  <si>
    <t>增益</t>
  </si>
  <si>
    <t>层数</t>
  </si>
  <si>
    <t>攻击目标</t>
  </si>
  <si>
    <t>极境木桩（无增益）</t>
  </si>
  <si>
    <t>秀气</t>
  </si>
  <si>
    <t>戒火斩•悟</t>
  </si>
  <si>
    <t>战斗时间（分）</t>
  </si>
  <si>
    <t>破苍穹</t>
  </si>
  <si>
    <t>朝圣•悟</t>
  </si>
  <si>
    <t>网络延迟</t>
  </si>
  <si>
    <t>朝圣言</t>
  </si>
  <si>
    <t>狮吼•悟</t>
  </si>
  <si>
    <t>阵眼选择</t>
  </si>
  <si>
    <t>戒火斩</t>
  </si>
  <si>
    <t>立地成佛•悟</t>
  </si>
  <si>
    <t>循环手法</t>
  </si>
  <si>
    <t>禅语</t>
  </si>
  <si>
    <t>盾挡•悟</t>
  </si>
  <si>
    <t>下载最新版</t>
  </si>
  <si>
    <t>问题反馈</t>
  </si>
  <si>
    <t>大扇子使用</t>
  </si>
  <si>
    <t>不使用</t>
  </si>
  <si>
    <t>立地成佛</t>
  </si>
  <si>
    <t>寒啸千军•悟</t>
  </si>
  <si>
    <t>过期称号</t>
  </si>
  <si>
    <t>振奋</t>
  </si>
  <si>
    <t>号令•悟</t>
  </si>
  <si>
    <t>阵眼收益</t>
  </si>
  <si>
    <t>小吃小药</t>
  </si>
  <si>
    <t>寒啸千军</t>
  </si>
  <si>
    <t>罗裳•悟</t>
  </si>
  <si>
    <t>辅助小药</t>
  </si>
  <si>
    <t>辅助小吃</t>
  </si>
  <si>
    <t>号令三军</t>
  </si>
  <si>
    <t>秋肃•悟</t>
  </si>
  <si>
    <t>增强小药</t>
  </si>
  <si>
    <t>紫破招</t>
  </si>
  <si>
    <t>增强小吃</t>
  </si>
  <si>
    <t>左旋右转</t>
  </si>
  <si>
    <t>仙鼎•悟</t>
  </si>
  <si>
    <t>帮会食堂</t>
  </si>
  <si>
    <t>帮会宴席</t>
  </si>
  <si>
    <t>秋肃</t>
  </si>
  <si>
    <t>金缕•悟</t>
  </si>
  <si>
    <t>烹饪宴席</t>
  </si>
  <si>
    <t>奇遇宴席</t>
  </si>
  <si>
    <t>仙王蛊鼎</t>
  </si>
  <si>
    <t>寒蕊•悟</t>
  </si>
  <si>
    <t>限时熔锭</t>
  </si>
  <si>
    <t>庄周梦</t>
  </si>
  <si>
    <t>家园香水</t>
  </si>
  <si>
    <t>飘黄</t>
  </si>
  <si>
    <t>家园酿酒</t>
  </si>
  <si>
    <t>创意食物</t>
  </si>
  <si>
    <t>减血量</t>
  </si>
  <si>
    <t>自定义填写</t>
  </si>
  <si>
    <t>手动填写</t>
  </si>
  <si>
    <t>魔盒配装ID</t>
  </si>
  <si>
    <t>魔盒配装数据</t>
  </si>
  <si>
    <t>包含的装备特效</t>
  </si>
  <si>
    <t>在计算「自定义填写」数据时，数据不管是手动填写还是从魔盒导入，都需要自己勾选最右栏的装备特效</t>
  </si>
  <si>
    <t>气血值</t>
  </si>
  <si>
    <t>校服套装</t>
  </si>
  <si>
    <t>填写方式</t>
  </si>
  <si>
    <t>手动填写在上方</t>
  </si>
  <si>
    <t>计算数据</t>
  </si>
  <si>
    <t>自己勾选以上装备特效↑↑↑↑</t>
  </si>
  <si>
    <t>导入魔盒配装数据教程↓↓↓↓↓↓</t>
  </si>
  <si>
    <t>1、通过魔盒配装ID导入配装（Excel专用）</t>
  </si>
  <si>
    <t>把配装网页地址末尾的数字，复制到配装器ID里面，然后点【获取数据】按钮即可，记得方案必须设置为已公开</t>
  </si>
  <si>
    <t>2、通过复制配装数据导入配装（Excel和WPS均支持）
1</t>
  </si>
  <si>
    <t>把通过以下步骤复制到的数据，粘贴到魔盒配装器数据里面即可</t>
  </si>
  <si>
    <t>第一步，自己的配装页面右上角点击导出</t>
  </si>
  <si>
    <t>第二步，切换到数据版tab</t>
  </si>
  <si>
    <t>第三步，点击复制按钮</t>
  </si>
  <si>
    <t>第四步，把数据复制到以下位置</t>
  </si>
  <si>
    <t>推荐部位</t>
  </si>
  <si>
    <t>推荐列表</t>
  </si>
  <si>
    <t>提升伤害</t>
  </si>
  <si>
    <t>装备1</t>
  </si>
  <si>
    <t>装备2</t>
  </si>
  <si>
    <t>玄阙帽(破防 无双 41400)</t>
  </si>
  <si>
    <t>玄阙衣(加速 无双 41400)</t>
  </si>
  <si>
    <t>牧川衣·校服(加速 无双 35300)</t>
  </si>
  <si>
    <t>小伤衣</t>
  </si>
  <si>
    <t>玄阙腰(会心 无双 41400)</t>
  </si>
  <si>
    <t>玄阙手·校服(破招 无双 41400)</t>
  </si>
  <si>
    <t>枯梢瘦骨•特效(会心 破招 破防 无双 35300)</t>
  </si>
  <si>
    <t>玄阙鞋(破防 无双 41400)</t>
  </si>
  <si>
    <t>无修鞋•特效(会心 无双 38100)</t>
  </si>
  <si>
    <t>声望项链(破招 无双 35900)</t>
  </si>
  <si>
    <t>冷韵幽怀·橙•特效(破防 无双 32300)</t>
  </si>
  <si>
    <t>风啸群崖•特效(加速 35300)</t>
  </si>
  <si>
    <t>挑战攻击</t>
  </si>
  <si>
    <t>旗舰DPS参考</t>
  </si>
  <si>
    <t>玄脉戒(会心 无双 41400)</t>
  </si>
  <si>
    <t>阆风破招</t>
  </si>
  <si>
    <t>无修囊•特效(会心 破防 无双 35300)</t>
  </si>
  <si>
    <t>照梦枝(会心 破防 加速 32000)</t>
  </si>
  <si>
    <t>龙血</t>
  </si>
  <si>
    <t>装备3</t>
  </si>
  <si>
    <t>装备4</t>
  </si>
  <si>
    <t>无修头•特效(会心 无双 35300)</t>
  </si>
  <si>
    <t>牧川衣(加速 无双 35300)</t>
  </si>
  <si>
    <t>姑洗护腰·绝•精简(破防 破招 无双 41400)</t>
  </si>
  <si>
    <t>烟霞客•特效(会心 41400)</t>
  </si>
  <si>
    <t>新雨袖·觉•精简(会心 破防 无双 35300)</t>
  </si>
  <si>
    <t>清宵裤·明•精简(会心 破招 无双 35300)</t>
  </si>
  <si>
    <t>日易裤·明•精简(会心 破招 无双 41400)</t>
  </si>
  <si>
    <t>牧川鞋(破防 无双 35300)</t>
  </si>
  <si>
    <t>无修鞋•特效(会心 会效 无双 35300)</t>
  </si>
  <si>
    <t>无修项链•特效(破防 无双 35300)</t>
  </si>
  <si>
    <t>挑战根骨</t>
  </si>
  <si>
    <t>无修项链•特效(会心 破招 无双 35300)</t>
  </si>
  <si>
    <t>无修腰坠•特效(会心 会效 无双 35300)</t>
  </si>
  <si>
    <t>无修腰坠·橙•特效(会心 会效 无双 32300)</t>
  </si>
  <si>
    <t>挑战会心</t>
  </si>
  <si>
    <t>云连海国•特效(会心 会效 无双 35300)</t>
  </si>
  <si>
    <t>频怅望•特效(破防 无双 35300)</t>
  </si>
  <si>
    <t>无修囊•特效(会心 无双 35300)</t>
  </si>
  <si>
    <t>挑战加速</t>
  </si>
  <si>
    <t>龙鲤(会心 破防 加速 42500)</t>
  </si>
  <si>
    <t>所需命中</t>
  </si>
  <si>
    <t>所需无双</t>
  </si>
  <si>
    <t>识破系数</t>
  </si>
  <si>
    <t>等级系数</t>
  </si>
  <si>
    <t>等级常数</t>
  </si>
  <si>
    <t>全局参数</t>
  </si>
  <si>
    <t>防御等级</t>
  </si>
  <si>
    <t>防御系数</t>
  </si>
  <si>
    <t>内功防御</t>
  </si>
  <si>
    <t>等级压制</t>
  </si>
  <si>
    <t>10人本</t>
  </si>
  <si>
    <t>未知</t>
  </si>
  <si>
    <t>25普通</t>
  </si>
  <si>
    <t>25英雄</t>
  </si>
  <si>
    <t>极境木桩</t>
  </si>
  <si>
    <t>当前</t>
  </si>
  <si>
    <t>破招计算</t>
  </si>
  <si>
    <t>血量</t>
  </si>
  <si>
    <t>时间</t>
  </si>
  <si>
    <t>动态损耗</t>
  </si>
  <si>
    <t>理论承伤</t>
  </si>
  <si>
    <t>团队承伤</t>
  </si>
  <si>
    <t>团队秒伤</t>
  </si>
  <si>
    <t>盛大剧目</t>
  </si>
  <si>
    <t>跑位损耗</t>
  </si>
  <si>
    <t>跑圈</t>
  </si>
  <si>
    <t>分身</t>
  </si>
  <si>
    <t>当前部位</t>
  </si>
  <si>
    <t>件数</t>
  </si>
  <si>
    <t>山色秋分•特效(会心 无双 41400)</t>
  </si>
  <si>
    <t>筛选部位</t>
  </si>
  <si>
    <t>醉醒间•特效(会心 41400)</t>
  </si>
  <si>
    <t>空林鸟•特效(破防 无双 41400)</t>
  </si>
  <si>
    <t>芳生裤·觉•精简(会心 破防 无双 41400)</t>
  </si>
  <si>
    <t>辞红尘•特效(破防 41400)</t>
  </si>
  <si>
    <t>凭危楼•特效(加速 41400)</t>
  </si>
  <si>
    <t>一醉天涯•特效(破招 无双 41400)</t>
  </si>
  <si>
    <t>皎然裤·悟•精简(会心 无双 41400)</t>
  </si>
  <si>
    <t>渡月裤·引•精简(破招 无双 41400)</t>
  </si>
  <si>
    <t>戒指1</t>
  </si>
  <si>
    <t>故春裤·绝•精简(破防 破招 无双 41400)</t>
  </si>
  <si>
    <t>戒指2</t>
  </si>
  <si>
    <t>无愁裤·破•精简(破防 无双 41400)</t>
  </si>
  <si>
    <t>蕴元裤·尊•精简(无双 41400)</t>
  </si>
  <si>
    <t>闲来步屧•特效(会心 无双 35300)</t>
  </si>
  <si>
    <t>故垒颓垣•特效(会心 35300)</t>
  </si>
  <si>
    <t>吊湘累•特效(破防 无双 35300)</t>
  </si>
  <si>
    <t>大切裤(会心 无双 42100)</t>
  </si>
  <si>
    <t>风前柳色•特效(破防 35300)</t>
  </si>
  <si>
    <t>雁回裤·觉•精简(会心 破防 无双 35300)</t>
  </si>
  <si>
    <t>玄脉裤(会心 无双 41400)</t>
  </si>
  <si>
    <t>浪客裤(破防 无双 41400)</t>
  </si>
  <si>
    <t>千尺青空•特效(破招 无双 35300)</t>
  </si>
  <si>
    <t>纤云裤·悟•精简(会心 无双 35300)</t>
  </si>
  <si>
    <t>寒枝裤·绝•精简(破防 破招 无双 35300)</t>
  </si>
  <si>
    <t>凤箫裤·破•精简(破防 无双 35300)</t>
  </si>
  <si>
    <t>兰舟裤·引•精简(破招 无双 35300)</t>
  </si>
  <si>
    <t>鹊角裤(破招 无双 41400)</t>
  </si>
  <si>
    <t>世界首领裤(破招 无双 41400)</t>
  </si>
  <si>
    <t>罗幕裤·尊•精简(无双 35300)</t>
  </si>
  <si>
    <t>侠义裤(会心 无双 38100)</t>
  </si>
  <si>
    <t>小切裤(会心 无双 35900)</t>
  </si>
  <si>
    <t>椒丘裤(会心 无双 35300)</t>
  </si>
  <si>
    <t>浪客裤(破防 无双 35300)</t>
  </si>
  <si>
    <t>吃鸡裤(破防 无双 35300)</t>
  </si>
  <si>
    <t>世界首领裤(破招 无双 35300)</t>
  </si>
  <si>
    <t>噙香裤(破招 无双 35300)</t>
  </si>
  <si>
    <t>神藏下裳(加速 无双 41400)</t>
  </si>
  <si>
    <t>话情裤·迅•精简(加速 41400)</t>
  </si>
  <si>
    <t>香丹下裳(加速 无双 35300)</t>
  </si>
  <si>
    <t>长亭回首•特效(加速 35300)</t>
  </si>
  <si>
    <t>惊鹊裤·迅•精简(加速 35300)</t>
  </si>
  <si>
    <t>引用</t>
  </si>
  <si>
    <t>纯手打</t>
  </si>
  <si>
    <t>拼好玳</t>
  </si>
  <si>
    <t>破气玳</t>
  </si>
  <si>
    <t>大招</t>
  </si>
  <si>
    <t>繁音</t>
  </si>
  <si>
    <t>剑心</t>
  </si>
  <si>
    <t>剑气</t>
  </si>
  <si>
    <t>剑破</t>
  </si>
  <si>
    <t>玳弦</t>
  </si>
  <si>
    <t>繁音大招</t>
  </si>
  <si>
    <t>繁音剑心</t>
  </si>
  <si>
    <t>繁音剑气</t>
  </si>
  <si>
    <t>繁音剑破</t>
  </si>
  <si>
    <t>繁音玳弦</t>
  </si>
  <si>
    <t>平时</t>
  </si>
  <si>
    <t>非繁音双仙姿</t>
  </si>
  <si>
    <t>非繁音三仙姿</t>
  </si>
  <si>
    <t>循环</t>
  </si>
  <si>
    <t>破玳江</t>
  </si>
  <si>
    <t>破气江破玳</t>
  </si>
  <si>
    <t>非繁音双仙姿时间</t>
  </si>
  <si>
    <t>繁音时间</t>
  </si>
  <si>
    <t>江海</t>
  </si>
  <si>
    <t>平时时间</t>
  </si>
  <si>
    <t>繁音玳弦时间</t>
  </si>
  <si>
    <t>共CD时间</t>
  </si>
  <si>
    <t>剑舞</t>
  </si>
  <si>
    <t>剑影CD</t>
  </si>
  <si>
    <t>广持续时间</t>
  </si>
  <si>
    <t>玳弦读条</t>
  </si>
  <si>
    <t>玳弦跳数</t>
  </si>
  <si>
    <t>新妆跳数</t>
  </si>
  <si>
    <t>剑影</t>
  </si>
  <si>
    <t>广覆盖率</t>
  </si>
  <si>
    <t>广陵月期望会效</t>
  </si>
  <si>
    <t>玳弦会心</t>
  </si>
  <si>
    <t>平均会效</t>
  </si>
  <si>
    <t>剑破会心</t>
  </si>
  <si>
    <t>广6秒技能数</t>
  </si>
  <si>
    <t>剑气会心</t>
  </si>
  <si>
    <t>剑气间隔</t>
  </si>
  <si>
    <t>仙玳会心</t>
  </si>
  <si>
    <t>剑气平均</t>
  </si>
  <si>
    <t>仙破会心</t>
  </si>
  <si>
    <t>耗时</t>
  </si>
  <si>
    <t>仙气会心</t>
  </si>
  <si>
    <t>玳弦枕上要叠层数</t>
  </si>
  <si>
    <t>枕上模拟</t>
  </si>
  <si>
    <t>公CD要叠层数</t>
  </si>
  <si>
    <t>总技能数</t>
  </si>
  <si>
    <t>玳弦节省时间</t>
  </si>
  <si>
    <t>玳弦技能数占比</t>
  </si>
  <si>
    <t>共CD节省时间</t>
  </si>
  <si>
    <t>猿公剑法占比</t>
  </si>
  <si>
    <t>平均会心率</t>
  </si>
  <si>
    <t>钗燕系数修正</t>
  </si>
  <si>
    <t>无视枕上要叠层数</t>
  </si>
  <si>
    <t>繁音持续</t>
  </si>
  <si>
    <t>繁音CD</t>
  </si>
  <si>
    <t>玳弦所需技能数</t>
  </si>
  <si>
    <t>透支芳姿</t>
  </si>
  <si>
    <t>无视所需技能数</t>
  </si>
  <si>
    <t>加速玳弦技能数</t>
  </si>
  <si>
    <t>无视玳弦技能数</t>
  </si>
  <si>
    <t>仙姿玳弦</t>
  </si>
  <si>
    <t>公CD所需技能数</t>
  </si>
  <si>
    <t>仙姿剑气</t>
  </si>
  <si>
    <t>公CD技能数</t>
  </si>
  <si>
    <t>仙姿剑破</t>
  </si>
  <si>
    <t>共节省时间</t>
  </si>
  <si>
    <t>仙姿剑影</t>
  </si>
  <si>
    <t>枕上叠满时间</t>
  </si>
  <si>
    <t>三仙姿钗燕修正</t>
  </si>
  <si>
    <t>三仙姿次数</t>
  </si>
  <si>
    <t>朝露</t>
  </si>
  <si>
    <t>技能组耗时</t>
  </si>
  <si>
    <t>枕上节省</t>
  </si>
  <si>
    <t>广陵月</t>
  </si>
  <si>
    <t>剑气实战CD</t>
  </si>
  <si>
    <t>无繁音双仙姿</t>
  </si>
  <si>
    <t>枕上时间</t>
  </si>
  <si>
    <t>大橙武</t>
  </si>
  <si>
    <t>Name</t>
  </si>
  <si>
    <t>Value</t>
  </si>
  <si>
    <t>配装ID</t>
  </si>
  <si>
    <t>Dodge</t>
  </si>
  <si>
    <t>Haste</t>
  </si>
  <si>
    <t>Parry</t>
  </si>
  <si>
    <t>Spunk</t>
  </si>
  <si>
    <t>Spirit</t>
  </si>
  <si>
    <t>Strain</t>
  </si>
  <si>
    <t>Agility</t>
  </si>
  <si>
    <t>Strength</t>
  </si>
  <si>
    <t>Vitality</t>
  </si>
  <si>
    <t>MaxHealth</t>
  </si>
  <si>
    <t>Toughness</t>
  </si>
  <si>
    <t>ParryValue</t>
  </si>
  <si>
    <t>LunarShield</t>
  </si>
  <si>
    <t>PVXAllRound</t>
  </si>
  <si>
    <t>SolarShield</t>
  </si>
  <si>
    <t>DodgePercent</t>
  </si>
  <si>
    <t>HastePercent</t>
  </si>
  <si>
    <t>ParryPercent</t>
  </si>
  <si>
    <t>PoisonShield</t>
  </si>
  <si>
    <t>SurplusValue</t>
  </si>
  <si>
    <t>TherapyPower</t>
  </si>
  <si>
    <t>LunarOvercome</t>
  </si>
  <si>
    <t>NeutralShield</t>
  </si>
  <si>
    <t>PhysicsShield</t>
  </si>
  <si>
    <t>SolarOvercome</t>
  </si>
  <si>
    <t>StrainPercent</t>
  </si>
  <si>
    <t>PoisonOvercome</t>
  </si>
  <si>
    <t>LunarShieldBase</t>
  </si>
  <si>
    <t>NeutralOvercome</t>
  </si>
  <si>
    <t>PhysicsOvercome</t>
  </si>
  <si>
    <t>SolarShieldBase</t>
  </si>
  <si>
    <t>DecriticalDamage</t>
  </si>
  <si>
    <t>LunarAttackPower</t>
  </si>
  <si>
    <t>PoisonShieldBase</t>
  </si>
  <si>
    <t>SolarAttackPower</t>
  </si>
  <si>
    <t>TherapyPowerBase</t>
  </si>
  <si>
    <t>LunarOvercomeBase</t>
  </si>
  <si>
    <t>MeleeWeaponDamage</t>
  </si>
  <si>
    <t>NeutralShieldBase</t>
  </si>
  <si>
    <t>PhysicsShieldBase</t>
  </si>
  <si>
    <t>PoisonAttackPower</t>
  </si>
  <si>
    <t>SolarOvercomeBase</t>
  </si>
  <si>
    <t>LunarShieldPercent</t>
  </si>
  <si>
    <t>NeutralAttackPower</t>
  </si>
  <si>
    <t>PhysicsAttackPower</t>
  </si>
  <si>
    <t>PoisonOvercomeBase</t>
  </si>
  <si>
    <t>SolarShieldPercent</t>
  </si>
  <si>
    <t>LunarCriticalStrike</t>
  </si>
  <si>
    <t>NeutralOvercomeBase</t>
  </si>
  <si>
    <t>PVXAllRoundtoStrain</t>
  </si>
  <si>
    <t>PhysicsOvercomeBase</t>
  </si>
  <si>
    <t>PoisonShieldPercent</t>
  </si>
  <si>
    <t>SolarCriticalStrike</t>
  </si>
  <si>
    <t>SurplusValuePercent</t>
  </si>
  <si>
    <t>LunarAttackPowerBase</t>
  </si>
  <si>
    <t>LunarOvercomePercent</t>
  </si>
  <si>
    <t>NeutralShieldPercent</t>
  </si>
  <si>
    <t>PhysicsShieldPercent</t>
  </si>
  <si>
    <t>PoisonCriticalStrike</t>
  </si>
  <si>
    <t>SolarAttackPowerBase</t>
  </si>
  <si>
    <t>SolarOvercomePercent</t>
  </si>
  <si>
    <t>MeleeWeaponDamageRand</t>
  </si>
  <si>
    <t>NeutralCriticalStrike</t>
  </si>
  <si>
    <t>PhysicsCriticalStrike</t>
  </si>
  <si>
    <t>PoisonAttackPowerBase</t>
  </si>
  <si>
    <t>PoisonOvercomePercent</t>
  </si>
  <si>
    <t>MeleeWeaponAttackSpeed</t>
  </si>
  <si>
    <t>NeutralAttackPowerBase</t>
  </si>
  <si>
    <t>NeutralOvercomePercent</t>
  </si>
  <si>
    <t>PhysicsAttackPowerBase</t>
  </si>
  <si>
    <t>PhysicsOvercomePercent</t>
  </si>
  <si>
    <t>ActiveThreatCoefficient</t>
  </si>
  <si>
    <t>DecriticalDamagePercent</t>
  </si>
  <si>
    <t>LunarCriticalStrikeRate</t>
  </si>
  <si>
    <t>SolarCriticalStrikeRate</t>
  </si>
  <si>
    <t>LunarCriticalDamagePower</t>
  </si>
  <si>
    <t>PoisonCriticalStrikeRate</t>
  </si>
  <si>
    <t>SolarCriticalDamagePower</t>
  </si>
  <si>
    <t>NeutralCriticalStrikeRate</t>
  </si>
  <si>
    <t>PVXAllRoundtoSurplusValue</t>
  </si>
  <si>
    <t>PhysicsCriticalStrikeRate</t>
  </si>
  <si>
    <t>PoisonCriticalDamagePower</t>
  </si>
  <si>
    <t>NeutralCriticalDamagePower</t>
  </si>
  <si>
    <t>PhysicsCriticalDamagePower</t>
  </si>
  <si>
    <t>ToughnessDecirDamagePercent</t>
  </si>
  <si>
    <t>ToughnessDefCriticalPercent</t>
  </si>
  <si>
    <t>PVXAllRoundtoDecriticalDamage</t>
  </si>
  <si>
    <t>LunarCriticalDamagePowerPercent</t>
  </si>
  <si>
    <t>SolarCriticalDamagePowerPercent</t>
  </si>
  <si>
    <t>PoisonCriticalDamagePowerPercent</t>
  </si>
  <si>
    <t>NeutralCriticalDamagePowerPercent</t>
  </si>
  <si>
    <t>PhysicsCriticalDamagePowerPercent</t>
  </si>
  <si>
    <t>延迟</t>
  </si>
  <si>
    <t>共CD</t>
  </si>
  <si>
    <t>按键延迟</t>
  </si>
  <si>
    <t>公共CD</t>
  </si>
  <si>
    <t>0舞玳</t>
  </si>
  <si>
    <t>1舞霜降玳</t>
  </si>
  <si>
    <t>2舞霜降玳</t>
  </si>
  <si>
    <t>3舞霜降玳</t>
  </si>
  <si>
    <t>4舞霜降玳</t>
  </si>
  <si>
    <t>5舞霜降玳</t>
  </si>
  <si>
    <t>加速阈值</t>
  </si>
  <si>
    <t>无界玳弦</t>
  </si>
  <si>
    <t>无界共CD</t>
  </si>
  <si>
    <t>无界阈值</t>
  </si>
  <si>
    <t>加速等级常数</t>
  </si>
  <si>
    <t>当前加速值</t>
  </si>
  <si>
    <t>旗舰延迟</t>
  </si>
  <si>
    <t>无界延迟</t>
  </si>
  <si>
    <t>繁音剑舞点数</t>
  </si>
  <si>
    <t>低延迟（0-30）</t>
  </si>
  <si>
    <t>高延迟（60-90）</t>
  </si>
  <si>
    <t>急曲间隔</t>
  </si>
  <si>
    <t>没救了（90+）</t>
  </si>
  <si>
    <t>技能CD</t>
  </si>
  <si>
    <t>延迟共CD</t>
  </si>
  <si>
    <t>延迟玳弦</t>
  </si>
  <si>
    <t>当前公共CD加速阈值</t>
  </si>
  <si>
    <t>公CD溢出加速</t>
  </si>
  <si>
    <t>当前玳弦加速阈值</t>
  </si>
  <si>
    <t>玳弦溢出加速</t>
  </si>
  <si>
    <t>玳弦要叠层数</t>
  </si>
  <si>
    <t>上一挡公CD</t>
  </si>
  <si>
    <t>上一挡玳弦</t>
  </si>
  <si>
    <t>公CD节省时间</t>
  </si>
  <si>
    <t>无界急曲间隔</t>
  </si>
  <si>
    <t>筝曲</t>
  </si>
  <si>
    <t>总层数</t>
  </si>
  <si>
    <t>提供加速率</t>
  </si>
  <si>
    <t>加速率值</t>
  </si>
  <si>
    <t>每层提供加速率</t>
  </si>
  <si>
    <t>每层提供加速值</t>
  </si>
  <si>
    <t>加速率上限</t>
  </si>
  <si>
    <t>加速率值上限</t>
  </si>
  <si>
    <t>部位</t>
  </si>
  <si>
    <t>全能</t>
  </si>
  <si>
    <t>孔1</t>
  </si>
  <si>
    <t>孔2</t>
  </si>
  <si>
    <t>孔3</t>
  </si>
  <si>
    <t>精炼等级</t>
  </si>
  <si>
    <t>品级</t>
  </si>
  <si>
    <t>套装效果</t>
  </si>
  <si>
    <t>常量</t>
  </si>
  <si>
    <t>数值大附魔</t>
  </si>
  <si>
    <t>勾选情况</t>
  </si>
  <si>
    <t>切糕套装</t>
  </si>
  <si>
    <t>选用情况</t>
  </si>
  <si>
    <t>五行石镶嵌分</t>
  </si>
  <si>
    <t>名称</t>
  </si>
  <si>
    <t>激活</t>
  </si>
  <si>
    <t>小伤帽</t>
  </si>
  <si>
    <t>307切糕</t>
  </si>
  <si>
    <t>A</t>
  </si>
  <si>
    <t>大伤帽</t>
  </si>
  <si>
    <t>263切糕</t>
  </si>
  <si>
    <t>B</t>
  </si>
  <si>
    <t>C</t>
  </si>
  <si>
    <t>废弃</t>
  </si>
  <si>
    <t>生莲</t>
  </si>
  <si>
    <t>大伤衣</t>
  </si>
  <si>
    <t>赛季系数</t>
  </si>
  <si>
    <t>小伤腕</t>
  </si>
  <si>
    <t>属性倍率</t>
  </si>
  <si>
    <t>大伤腕</t>
  </si>
  <si>
    <t>琼宵</t>
  </si>
  <si>
    <t>大伤鞋</t>
  </si>
  <si>
    <t>小伤腰</t>
  </si>
  <si>
    <t>大伤腰</t>
  </si>
  <si>
    <t>JSON加速字段</t>
  </si>
  <si>
    <t>Haste"</t>
  </si>
  <si>
    <t>手填数据</t>
  </si>
  <si>
    <t>当前选择</t>
  </si>
  <si>
    <t>装分</t>
  </si>
  <si>
    <t>轻妒</t>
  </si>
  <si>
    <t>装分系数</t>
  </si>
  <si>
    <t>傍身</t>
  </si>
  <si>
    <t>玳弦急曲·悟</t>
  </si>
  <si>
    <t>绝篇</t>
  </si>
  <si>
    <t>防具</t>
  </si>
  <si>
    <t>对阵</t>
  </si>
  <si>
    <t>剑破虚空·悟</t>
  </si>
  <si>
    <t>秘章</t>
  </si>
  <si>
    <t>紫武</t>
  </si>
  <si>
    <t>剑气长江·悟</t>
  </si>
  <si>
    <t>橙武</t>
  </si>
  <si>
    <t>剑心通明·悟</t>
  </si>
  <si>
    <t>橙坠</t>
  </si>
  <si>
    <t>繁音急节·悟</t>
  </si>
  <si>
    <t>绝技</t>
  </si>
  <si>
    <t>合璧知意·悟</t>
  </si>
  <si>
    <t>红袖·悟</t>
  </si>
  <si>
    <t>单选数字</t>
  </si>
  <si>
    <t>弦曲·悟</t>
  </si>
  <si>
    <t>笙曲·悟</t>
  </si>
  <si>
    <t>筝曲·悟</t>
  </si>
  <si>
    <t>霜天剑泠·悟</t>
  </si>
  <si>
    <t>双会</t>
  </si>
  <si>
    <t>353腰坠</t>
  </si>
  <si>
    <t>414腰坠</t>
  </si>
  <si>
    <t>353水特</t>
  </si>
  <si>
    <t>414水特</t>
  </si>
  <si>
    <t>130大橙武</t>
  </si>
  <si>
    <t>120大橙武</t>
  </si>
  <si>
    <t>冬至</t>
  </si>
  <si>
    <t>飞剑</t>
  </si>
  <si>
    <t>小附魔</t>
  </si>
  <si>
    <t>大扇子</t>
  </si>
  <si>
    <t>414手特效</t>
  </si>
  <si>
    <t>414腰会破</t>
  </si>
  <si>
    <t>414腰纯会破</t>
  </si>
  <si>
    <t>414裤无双</t>
  </si>
  <si>
    <t>装备效果</t>
  </si>
  <si>
    <t>414裤会无</t>
  </si>
  <si>
    <t>414裤破无</t>
  </si>
  <si>
    <t>全能转化</t>
  </si>
  <si>
    <t>414戒会心</t>
  </si>
  <si>
    <t>装备合计</t>
  </si>
  <si>
    <t>414戒破防</t>
  </si>
  <si>
    <t>414戒破招</t>
  </si>
  <si>
    <t>414戒无双</t>
  </si>
  <si>
    <t>414加速</t>
  </si>
  <si>
    <t>原始分</t>
  </si>
  <si>
    <t>精炼分</t>
  </si>
  <si>
    <t>五行石</t>
  </si>
  <si>
    <t>总装分</t>
  </si>
  <si>
    <t>353手特效</t>
  </si>
  <si>
    <t>353腰会破</t>
  </si>
  <si>
    <t>353腰会破招</t>
  </si>
  <si>
    <t>353裤无双</t>
  </si>
  <si>
    <t>353裤会无</t>
  </si>
  <si>
    <t>353裤破无</t>
  </si>
  <si>
    <t>353戒会心</t>
  </si>
  <si>
    <t>353戒破防</t>
  </si>
  <si>
    <t>353戒破招</t>
  </si>
  <si>
    <t>353戒无双</t>
  </si>
  <si>
    <t>353加速</t>
  </si>
  <si>
    <t>挑战破防</t>
  </si>
  <si>
    <t>数量</t>
  </si>
  <si>
    <t>无修</t>
  </si>
  <si>
    <t>阆风附魔</t>
  </si>
  <si>
    <t>阆风根骨</t>
  </si>
  <si>
    <t>阆风会心</t>
  </si>
  <si>
    <t>阆风破防</t>
  </si>
  <si>
    <t>353暗器</t>
  </si>
  <si>
    <t>414暗器</t>
  </si>
  <si>
    <t>381暗器</t>
  </si>
  <si>
    <t>353帽</t>
  </si>
  <si>
    <t>414帽</t>
  </si>
  <si>
    <t>414鞋会心</t>
  </si>
  <si>
    <t>381鞋会心</t>
  </si>
  <si>
    <t>353鞋破防</t>
  </si>
  <si>
    <t>414鞋破防</t>
  </si>
  <si>
    <t>381鞋破防</t>
  </si>
  <si>
    <t>353链攻击</t>
  </si>
  <si>
    <t>414链攻击</t>
  </si>
  <si>
    <t>381链攻击</t>
  </si>
  <si>
    <t>353链会效</t>
  </si>
  <si>
    <t>414链会效</t>
  </si>
  <si>
    <t>381链会效</t>
  </si>
  <si>
    <t>353坠破防</t>
  </si>
  <si>
    <t>414坠破防</t>
  </si>
  <si>
    <t>381坠破防</t>
  </si>
  <si>
    <t>353坠会效</t>
  </si>
  <si>
    <t>414坠会效</t>
  </si>
  <si>
    <t>381坠会效</t>
  </si>
  <si>
    <t>小药</t>
  </si>
  <si>
    <t>小吃</t>
  </si>
  <si>
    <t>附魔</t>
  </si>
  <si>
    <t>ID</t>
  </si>
  <si>
    <t>气血</t>
  </si>
  <si>
    <t>心法被动</t>
  </si>
  <si>
    <t>263会心</t>
  </si>
  <si>
    <t>当前等级</t>
  </si>
  <si>
    <t>蓝根骨</t>
  </si>
  <si>
    <t>302会心</t>
  </si>
  <si>
    <t>心法根骨攻击</t>
  </si>
  <si>
    <t>紫增强类攻击</t>
  </si>
  <si>
    <t>263无双</t>
  </si>
  <si>
    <t>心法根骨会心</t>
  </si>
  <si>
    <t>蓝增强类攻击</t>
  </si>
  <si>
    <t>302无双</t>
  </si>
  <si>
    <t>根骨自身会心</t>
  </si>
  <si>
    <t>紫增强类通用</t>
  </si>
  <si>
    <t>总根骨会心</t>
  </si>
  <si>
    <t>蓝增强类通用</t>
  </si>
  <si>
    <t>大小附魔判定</t>
  </si>
  <si>
    <t>体质系数</t>
  </si>
  <si>
    <t>大小附魔分</t>
  </si>
  <si>
    <t>气血提高</t>
  </si>
  <si>
    <t>家园攻击类</t>
  </si>
  <si>
    <t>紫附魔</t>
  </si>
  <si>
    <t>破招基准系数</t>
  </si>
  <si>
    <t>家园通用类</t>
  </si>
  <si>
    <t>非侠士</t>
  </si>
  <si>
    <t>全能转化系数</t>
  </si>
  <si>
    <t>基础气血</t>
  </si>
  <si>
    <t>紫酒辅助类</t>
  </si>
  <si>
    <t>挑战通用</t>
  </si>
  <si>
    <t>全属性</t>
  </si>
  <si>
    <t>紫酒通用类</t>
  </si>
  <si>
    <t>裸装基础攻击</t>
  </si>
  <si>
    <t>十人根骨</t>
  </si>
  <si>
    <t>裸装会效</t>
  </si>
  <si>
    <t>创意攻击类</t>
  </si>
  <si>
    <t>十人攻击</t>
  </si>
  <si>
    <t>试炼装备数值</t>
  </si>
  <si>
    <t>裸装破防</t>
  </si>
  <si>
    <t>创意通用类</t>
  </si>
  <si>
    <t>十人通用</t>
  </si>
  <si>
    <t>帽子通用</t>
  </si>
  <si>
    <t>挑战附魔</t>
  </si>
  <si>
    <t>套装覆盖率</t>
  </si>
  <si>
    <t>创意减少</t>
  </si>
  <si>
    <t>腰坠通用</t>
  </si>
  <si>
    <t>延迟倍率</t>
  </si>
  <si>
    <t>香水类</t>
  </si>
  <si>
    <t>鞋子通用</t>
  </si>
  <si>
    <t>界无视</t>
  </si>
  <si>
    <t>项链通用</t>
  </si>
  <si>
    <t>界非侠</t>
  </si>
  <si>
    <t>强身辅助</t>
  </si>
  <si>
    <t>项链会转系数</t>
  </si>
  <si>
    <t>强身增强</t>
  </si>
  <si>
    <t>项链攻击</t>
  </si>
  <si>
    <t>炼气辅助</t>
  </si>
  <si>
    <t>项链破转系数</t>
  </si>
  <si>
    <t>循环系数</t>
  </si>
  <si>
    <t>炼气增强</t>
  </si>
  <si>
    <t>橙武系数</t>
  </si>
  <si>
    <t>橙武无双</t>
  </si>
  <si>
    <t>伤害系数</t>
  </si>
  <si>
    <t>紫限时熔锭</t>
  </si>
  <si>
    <t>水特效</t>
  </si>
  <si>
    <t>当前循环</t>
  </si>
  <si>
    <t>蓝限时熔锭</t>
  </si>
  <si>
    <t>特效腰坠</t>
  </si>
  <si>
    <t>小橙武无双</t>
  </si>
  <si>
    <t>选择二</t>
  </si>
  <si>
    <t>提升1%</t>
  </si>
  <si>
    <t>选择三</t>
  </si>
  <si>
    <t>校服</t>
  </si>
  <si>
    <t>加速特效</t>
  </si>
  <si>
    <t>伤手鞋腰</t>
  </si>
  <si>
    <t>秀气根骨</t>
  </si>
  <si>
    <t>秀气攻击</t>
  </si>
  <si>
    <t>Formulator/general/gains
/equipment.py</t>
  </si>
  <si>
    <t>分类</t>
  </si>
  <si>
    <t>增益名字</t>
  </si>
  <si>
    <t>端游可用</t>
  </si>
  <si>
    <t>无界可用</t>
  </si>
  <si>
    <t>增益等级</t>
  </si>
  <si>
    <t>作用技能</t>
  </si>
  <si>
    <t>是否激活</t>
  </si>
  <si>
    <t>覆盖率</t>
  </si>
  <si>
    <t>根骨等级</t>
  </si>
  <si>
    <t>根骨提高</t>
  </si>
  <si>
    <t>攻击等级</t>
  </si>
  <si>
    <t>攻击提高</t>
  </si>
  <si>
    <t>会心等级</t>
  </si>
  <si>
    <t>会心提高</t>
  </si>
  <si>
    <t>会效等级</t>
  </si>
  <si>
    <t>会效提高</t>
  </si>
  <si>
    <t>加速等级</t>
  </si>
  <si>
    <t>破防等级</t>
  </si>
  <si>
    <t>破防提高</t>
  </si>
  <si>
    <t>无双等级</t>
  </si>
  <si>
    <t>无双提高</t>
  </si>
  <si>
    <t>无双乘算</t>
  </si>
  <si>
    <t>破招等级</t>
  </si>
  <si>
    <t>破招提高</t>
  </si>
  <si>
    <t>增伤</t>
  </si>
  <si>
    <t>易伤</t>
  </si>
  <si>
    <t>降低防御</t>
  </si>
  <si>
    <t>无视防御</t>
  </si>
  <si>
    <t>独立增伤</t>
  </si>
  <si>
    <t>最终增伤</t>
  </si>
  <si>
    <t>心法</t>
  </si>
  <si>
    <t>平时剑破次数</t>
  </si>
  <si>
    <t>繁音剑破次数</t>
  </si>
  <si>
    <t>招式</t>
  </si>
  <si>
    <t>平时组时间</t>
  </si>
  <si>
    <t>繁音组时间</t>
  </si>
  <si>
    <t>特效腰坠非爆发</t>
  </si>
  <si>
    <t>繁音腰坠时间</t>
  </si>
  <si>
    <t>总时间</t>
  </si>
  <si>
    <t>紫攻击</t>
  </si>
  <si>
    <t>叠枕上时间</t>
  </si>
  <si>
    <t>宴席</t>
  </si>
  <si>
    <t>剑气CD</t>
  </si>
  <si>
    <t>蓝攻击</t>
  </si>
  <si>
    <t>伤害招式数</t>
  </si>
  <si>
    <t>无界大招数</t>
  </si>
  <si>
    <t>家园</t>
  </si>
  <si>
    <t>食品</t>
  </si>
  <si>
    <t>无界剑心增伤时间</t>
  </si>
  <si>
    <t>熔锭</t>
  </si>
  <si>
    <t>无界剑心技能数</t>
  </si>
  <si>
    <t>伤腰覆盖率</t>
  </si>
  <si>
    <t>飘黄覆盖率</t>
  </si>
  <si>
    <t>无界自定义序列</t>
  </si>
  <si>
    <t>无界助手合璧覆盖</t>
  </si>
  <si>
    <t>T增益层数</t>
  </si>
  <si>
    <t>霜风</t>
  </si>
  <si>
    <t>奶增益层数</t>
  </si>
  <si>
    <t>缺t代号</t>
  </si>
  <si>
    <t>缺奶代号</t>
  </si>
  <si>
    <t>香膏</t>
  </si>
  <si>
    <t>家园酒</t>
  </si>
  <si>
    <t>创意食品</t>
  </si>
  <si>
    <t>磨石</t>
  </si>
  <si>
    <t>扇子</t>
  </si>
  <si>
    <t>会心起手</t>
  </si>
  <si>
    <t>副本</t>
  </si>
  <si>
    <t>稀有</t>
  </si>
  <si>
    <t>繁音芳姿覆盖</t>
  </si>
  <si>
    <t>平时芳姿覆盖</t>
  </si>
  <si>
    <t>蓝会心</t>
  </si>
  <si>
    <t>平时双芳姿时间</t>
  </si>
  <si>
    <t>打副本</t>
  </si>
  <si>
    <t>香水</t>
  </si>
  <si>
    <t>龙门武器</t>
  </si>
  <si>
    <t>T增益</t>
  </si>
  <si>
    <t>紫破防</t>
  </si>
  <si>
    <t>蓝破防</t>
  </si>
  <si>
    <t>玳弦•流玉</t>
  </si>
  <si>
    <t>橙武玳弦</t>
  </si>
  <si>
    <t>奶增益</t>
  </si>
  <si>
    <t>橙武江海</t>
  </si>
  <si>
    <t>蓝破招</t>
  </si>
  <si>
    <t>紫加速</t>
  </si>
  <si>
    <t>蓝加速</t>
  </si>
  <si>
    <t>玳弦秘籍</t>
  </si>
  <si>
    <t>剑气秘籍</t>
  </si>
  <si>
    <t>江海秘籍</t>
  </si>
  <si>
    <t>小橙武剑气</t>
  </si>
  <si>
    <t>小橙武剑破</t>
  </si>
  <si>
    <t>剑破虚空</t>
  </si>
  <si>
    <t>阵眼</t>
  </si>
  <si>
    <t>莫问阵</t>
  </si>
  <si>
    <t>冰心阵</t>
  </si>
  <si>
    <t>气纯阵</t>
  </si>
  <si>
    <t>田螺阵</t>
  </si>
  <si>
    <t>花间阵</t>
  </si>
  <si>
    <t>和尚阵</t>
  </si>
  <si>
    <t>毒经阵</t>
  </si>
  <si>
    <t>自己阵</t>
  </si>
  <si>
    <t>逐云寒蕊</t>
  </si>
  <si>
    <t>无界阵</t>
  </si>
  <si>
    <t>合璧增伤</t>
  </si>
  <si>
    <t>繁音·悟</t>
  </si>
  <si>
    <t>剑心秘籍·悟</t>
  </si>
  <si>
    <t>套装无界剑破</t>
  </si>
  <si>
    <t>套装无界剑气</t>
  </si>
  <si>
    <t>套装无界剑影</t>
  </si>
  <si>
    <t>剑影留痕·悟</t>
  </si>
  <si>
    <t>套装无界月出</t>
  </si>
  <si>
    <t>月出东山·悟</t>
  </si>
  <si>
    <t>套装无界帝骖</t>
  </si>
  <si>
    <t>帝骖龙翔·悟</t>
  </si>
  <si>
    <t>套装无界剑心</t>
  </si>
  <si>
    <t>小橙武无界玳弦</t>
  </si>
  <si>
    <t>小橙武无界江海</t>
  </si>
  <si>
    <t>江海凝光·悟</t>
  </si>
  <si>
    <t>橙武无界玳弦</t>
  </si>
  <si>
    <t>橙武无界江海</t>
  </si>
  <si>
    <t>橙武无界剑破</t>
  </si>
  <si>
    <t>橙武无界剑气</t>
  </si>
  <si>
    <t>橙武无界剑影</t>
  </si>
  <si>
    <t>橙武无界月出</t>
  </si>
  <si>
    <t>橙武无界帝骖</t>
  </si>
  <si>
    <t>橙武无界剑心</t>
  </si>
  <si>
    <t>大扇子大招增益</t>
  </si>
  <si>
    <t>橙武大招增益</t>
  </si>
  <si>
    <t>无往不利•悟</t>
  </si>
  <si>
    <t>段氏阵</t>
  </si>
  <si>
    <t>无相阵</t>
  </si>
  <si>
    <t>满堂</t>
  </si>
  <si>
    <t>满堂剑气</t>
  </si>
  <si>
    <t>气吞长江</t>
  </si>
  <si>
    <t>无修头</t>
  </si>
  <si>
    <t>无修鞋</t>
  </si>
  <si>
    <t>无修项链</t>
  </si>
  <si>
    <t>无修腰坠</t>
  </si>
  <si>
    <t>引用1</t>
  </si>
  <si>
    <t>参与计算</t>
  </si>
  <si>
    <t>无界</t>
  </si>
  <si>
    <t>引用2</t>
  </si>
  <si>
    <t>枕上减免</t>
  </si>
  <si>
    <t>玳弦时间</t>
  </si>
  <si>
    <t>技能</t>
  </si>
  <si>
    <t>繁音期间</t>
  </si>
  <si>
    <t>总共</t>
  </si>
  <si>
    <t>技能数</t>
  </si>
  <si>
    <t>繁音技能数</t>
  </si>
  <si>
    <t>战斗时间</t>
  </si>
  <si>
    <t>组CD</t>
  </si>
  <si>
    <t>急曲·悟</t>
  </si>
  <si>
    <t>拼好玳循环</t>
  </si>
  <si>
    <t>技能组数</t>
  </si>
  <si>
    <t>霜天剑泠·悟结算</t>
  </si>
  <si>
    <t>寒江·悟</t>
  </si>
  <si>
    <t>单仙姿组数</t>
  </si>
  <si>
    <t>急曲</t>
  </si>
  <si>
    <t>霜天</t>
  </si>
  <si>
    <t>延迟&amp;加速</t>
  </si>
  <si>
    <t>是否自定义</t>
  </si>
  <si>
    <t>武学玳弦修正</t>
  </si>
  <si>
    <t>剑影留痕总数</t>
  </si>
  <si>
    <t>叠枕上耗时</t>
  </si>
  <si>
    <t>剑影留痕</t>
  </si>
  <si>
    <t>剑破虚空·悟（秘籍）</t>
  </si>
  <si>
    <t>平时剑风CD</t>
  </si>
  <si>
    <t>单仙姿繁音</t>
  </si>
  <si>
    <t>合璧知意·悟额外</t>
  </si>
  <si>
    <t>繁音剑风CD</t>
  </si>
  <si>
    <t>合璧知意·悟二段</t>
  </si>
  <si>
    <t>剑气急曲概率</t>
  </si>
  <si>
    <t>急曲总跳数</t>
  </si>
  <si>
    <t>破•虚空</t>
  </si>
  <si>
    <t>急曲层数</t>
  </si>
  <si>
    <t>玳弦总数</t>
  </si>
  <si>
    <t>玳弦•流玉总数</t>
  </si>
  <si>
    <t>流芳仙姿•玳弦</t>
  </si>
  <si>
    <t>橙武平时触CD</t>
  </si>
  <si>
    <t>流芳仙姿•剑破</t>
  </si>
  <si>
    <t>橙武繁音触CD</t>
  </si>
  <si>
    <t>流芳仙姿•剑影</t>
  </si>
  <si>
    <t>气吞跳数</t>
  </si>
  <si>
    <t>流芳仙姿•剑气</t>
  </si>
  <si>
    <t>气吞层数</t>
  </si>
  <si>
    <t>破</t>
  </si>
  <si>
    <t>无修暗器</t>
  </si>
  <si>
    <t>破•霜降总数</t>
  </si>
  <si>
    <t>无修暗器平时触CD</t>
  </si>
  <si>
    <t>无修暗器繁音触CD</t>
  </si>
  <si>
    <t>盈袖总数</t>
  </si>
  <si>
    <t>合璧</t>
  </si>
  <si>
    <t>逐云CD</t>
  </si>
  <si>
    <t>逐云跳数</t>
  </si>
  <si>
    <t>繁音仙玳</t>
  </si>
  <si>
    <t>繁音仙气</t>
  </si>
  <si>
    <t>繁音仙破</t>
  </si>
  <si>
    <t>繁音仙影</t>
  </si>
  <si>
    <t>急曲计数</t>
  </si>
  <si>
    <t>平时仙玳</t>
  </si>
  <si>
    <t>急曲•爆•计数</t>
  </si>
  <si>
    <t>平时仙气</t>
  </si>
  <si>
    <t>急曲•爆•伤害次数</t>
  </si>
  <si>
    <t>平时仙破</t>
  </si>
  <si>
    <t>急曲•跳•计数</t>
  </si>
  <si>
    <t>平时仙影</t>
  </si>
  <si>
    <t>急曲•跳•伤害次数</t>
  </si>
  <si>
    <t>伤腕平时触CD</t>
  </si>
  <si>
    <t>气吞长江计数</t>
  </si>
  <si>
    <t>伤腕繁音触CD</t>
  </si>
  <si>
    <t>气吞长江•伤害次数</t>
  </si>
  <si>
    <t>伤鞋平时触CD</t>
  </si>
  <si>
    <t>伤鞋繁音触CD</t>
  </si>
  <si>
    <t>玳弦基础跳数</t>
  </si>
  <si>
    <t>巽</t>
  </si>
  <si>
    <t>霜降跳数</t>
  </si>
  <si>
    <t>手特效平时触发CD</t>
  </si>
  <si>
    <t>手特效繁音触发CD</t>
  </si>
  <si>
    <t>手特效</t>
  </si>
  <si>
    <t>江海剑气盈袖伤害翻倍</t>
  </si>
  <si>
    <t>玳弦系数修正</t>
  </si>
  <si>
    <t>玳弦联动霜破修正</t>
  </si>
  <si>
    <t>玳弦联动其它修正</t>
  </si>
  <si>
    <t>盈袖系数修正</t>
  </si>
  <si>
    <t>橙武剑气</t>
  </si>
  <si>
    <t>橙武盈袖修正系数</t>
  </si>
  <si>
    <t>速·震</t>
  </si>
  <si>
    <t>平时仙玳占比</t>
  </si>
  <si>
    <t>大橙武最后气吞时间</t>
  </si>
  <si>
    <t>当前加速</t>
  </si>
  <si>
    <t>广陵月覆盖率</t>
  </si>
  <si>
    <t>武学玳弦联动其它修正</t>
  </si>
  <si>
    <t>剑气系数修正</t>
  </si>
  <si>
    <t>江海系数修正</t>
  </si>
  <si>
    <t>繁音平时剑舞一样</t>
  </si>
  <si>
    <t>繁音流玉系数</t>
  </si>
  <si>
    <t>繁音流玉次数</t>
  </si>
  <si>
    <t>繁音急曲跳系数</t>
  </si>
  <si>
    <t>橙武急曲</t>
  </si>
  <si>
    <t>橙武玳弦系数</t>
  </si>
  <si>
    <t>橙武玳弦联动其它</t>
  </si>
  <si>
    <t>加速特效平时触CD</t>
  </si>
  <si>
    <t>加速特效繁音触CD</t>
  </si>
  <si>
    <t>加速特效跳数</t>
  </si>
  <si>
    <t>朝露加玳弦系数</t>
  </si>
  <si>
    <t>朝露玳弦联动其它系数</t>
  </si>
  <si>
    <t>朝露平时盈袖系数</t>
  </si>
  <si>
    <t>钗燕系数</t>
  </si>
  <si>
    <t>循环急曲层数</t>
  </si>
  <si>
    <t>瞬发系数</t>
  </si>
  <si>
    <t>平时仙破系数</t>
  </si>
  <si>
    <t>基础伤害</t>
  </si>
  <si>
    <t>技能系数</t>
  </si>
  <si>
    <t>破招系数</t>
  </si>
  <si>
    <t>平时触发CD</t>
  </si>
  <si>
    <t>繁音触发CD</t>
  </si>
  <si>
    <t>促发几率</t>
  </si>
  <si>
    <t>跳数</t>
  </si>
  <si>
    <t>持续时间</t>
  </si>
  <si>
    <t>繁音剑舞</t>
  </si>
  <si>
    <t>玳弦1</t>
  </si>
  <si>
    <t>平时剑舞</t>
  </si>
  <si>
    <t>玳弦2</t>
  </si>
  <si>
    <t>玳弦3</t>
  </si>
  <si>
    <t>剑气急曲</t>
  </si>
  <si>
    <t>玳弦4</t>
  </si>
  <si>
    <t>玳弦5</t>
  </si>
  <si>
    <t>平时伤害招式数</t>
  </si>
  <si>
    <t>繁音伤害招式</t>
  </si>
  <si>
    <t>系数加成</t>
  </si>
  <si>
    <t>破•霜降</t>
  </si>
  <si>
    <t>破•霜降1</t>
  </si>
  <si>
    <t>破•霜降2</t>
  </si>
  <si>
    <t>破•霜降3</t>
  </si>
  <si>
    <t>破•霜降4</t>
  </si>
  <si>
    <t>破•霜降5</t>
  </si>
  <si>
    <t>平时数量</t>
  </si>
  <si>
    <t>繁音数量</t>
  </si>
  <si>
    <t>无界技能</t>
  </si>
  <si>
    <t>剑风</t>
  </si>
  <si>
    <t>伤腰附魔</t>
  </si>
  <si>
    <t>无修·荒</t>
  </si>
  <si>
    <t>破•钗燕</t>
  </si>
  <si>
    <t>剑破·神兵</t>
  </si>
  <si>
    <t>玳弦•流玉1</t>
  </si>
  <si>
    <t>玳弦•流玉2</t>
  </si>
  <si>
    <t>玳弦•流玉3</t>
  </si>
  <si>
    <t>玳弦•流玉4</t>
  </si>
  <si>
    <t>玳弦•流玉5</t>
  </si>
  <si>
    <t>昆吾·弦刃</t>
  </si>
  <si>
    <t>刃凌</t>
  </si>
  <si>
    <t>实战面板</t>
  </si>
  <si>
    <t>繁音攻击</t>
  </si>
  <si>
    <t>繁音会心</t>
  </si>
  <si>
    <t>繁音会效</t>
  </si>
  <si>
    <t>繁音破防</t>
  </si>
  <si>
    <t>繁音无双</t>
  </si>
  <si>
    <t>繁音破招</t>
  </si>
  <si>
    <t>繁音增伤</t>
  </si>
  <si>
    <t>繁音易伤</t>
  </si>
  <si>
    <t>繁音降防</t>
  </si>
  <si>
    <t>繁音无视</t>
  </si>
  <si>
    <t>繁音独立</t>
  </si>
  <si>
    <t>繁音最终</t>
  </si>
  <si>
    <t>无增益</t>
  </si>
  <si>
    <t>有增益</t>
  </si>
  <si>
    <t>有阵眼</t>
  </si>
  <si>
    <t>占比</t>
  </si>
  <si>
    <t>排序</t>
  </si>
  <si>
    <t>项目</t>
  </si>
  <si>
    <t>原伤害</t>
  </si>
  <si>
    <t>无阵眼</t>
  </si>
  <si>
    <t>收益</t>
  </si>
  <si>
    <t>输出</t>
  </si>
  <si>
    <t>气吞长江（DOT）</t>
  </si>
  <si>
    <t>急曲（DOT）</t>
  </si>
  <si>
    <t>剑舞相同</t>
  </si>
  <si>
    <t>小无修</t>
  </si>
  <si>
    <t>满堂剑破</t>
  </si>
  <si>
    <t>内容</t>
  </si>
  <si>
    <t>系数计算公式</t>
  </si>
  <si>
    <t>飘黄系数调整</t>
  </si>
  <si>
    <t>家园食物数值调整</t>
  </si>
  <si>
    <t>超链接替换</t>
  </si>
  <si>
    <t>套装覆盖率修正</t>
  </si>
  <si>
    <t>装备库数值核对同步</t>
  </si>
  <si>
    <t>大附魔品级调整</t>
  </si>
  <si>
    <t>广陵月覆盖率调整</t>
  </si>
  <si>
    <t>大小附魔装分核对</t>
  </si>
  <si>
    <t>裤子是否变成纯会/破以及装备特效改动</t>
  </si>
  <si>
    <t>无界套装覆盖率</t>
  </si>
  <si>
    <t>增益情况</t>
  </si>
  <si>
    <t>原始伤害</t>
  </si>
  <si>
    <t>繁音原伤</t>
  </si>
  <si>
    <t>裸伤害</t>
  </si>
  <si>
    <t>繁音裸伤</t>
  </si>
  <si>
    <t>裸伤期望</t>
  </si>
  <si>
    <t>繁音裸伤期望</t>
  </si>
  <si>
    <t>减防</t>
  </si>
  <si>
    <t>繁音减防</t>
  </si>
  <si>
    <t>防御减伤</t>
  </si>
  <si>
    <t>繁音防御</t>
  </si>
  <si>
    <t>非侠</t>
  </si>
  <si>
    <t>命中伤害</t>
  </si>
  <si>
    <t>繁音命中</t>
  </si>
  <si>
    <t>秒伤</t>
  </si>
  <si>
    <t>DPS</t>
  </si>
  <si>
    <t>总DPS</t>
  </si>
  <si>
    <t>当前版本</t>
  </si>
  <si>
    <t>WPS</t>
  </si>
  <si>
    <t>Excel</t>
  </si>
  <si>
    <t>旗舰循环手法</t>
  </si>
  <si>
    <t>无界循环手法</t>
  </si>
  <si>
    <t>魔盒链接</t>
  </si>
  <si>
    <t>设置颜色</t>
  </si>
  <si>
    <t>冰心诀•悟</t>
  </si>
  <si>
    <t>自定义序列</t>
  </si>
  <si>
    <t>拼好玳（测试）</t>
  </si>
  <si>
    <t>常更新</t>
  </si>
  <si>
    <t>设置渐变1</t>
  </si>
  <si>
    <t>设置渐变2</t>
  </si>
  <si>
    <t>感谢</t>
  </si>
  <si>
    <t>强制更新</t>
  </si>
  <si>
    <t>可更新</t>
  </si>
  <si>
    <t>装备类型</t>
  </si>
  <si>
    <t>装备模板</t>
  </si>
  <si>
    <t>装备名称</t>
  </si>
  <si>
    <t>属性1</t>
  </si>
  <si>
    <t>属性2</t>
  </si>
  <si>
    <t>属性3</t>
  </si>
  <si>
    <t>属性4</t>
  </si>
  <si>
    <t>属性模板</t>
  </si>
  <si>
    <t>特效显示名称</t>
  </si>
  <si>
    <t>显示名称</t>
  </si>
  <si>
    <t>Column1</t>
  </si>
  <si>
    <t>_1</t>
  </si>
  <si>
    <t>特殊</t>
  </si>
  <si>
    <t>精简3</t>
  </si>
  <si>
    <t>无修囊</t>
  </si>
  <si>
    <t/>
  </si>
  <si>
    <t>破防无双</t>
  </si>
  <si>
    <t>•特效</t>
  </si>
  <si>
    <t>无修囊•特效(破防 无双 41400)</t>
  </si>
  <si>
    <t>0</t>
  </si>
  <si>
    <t>精简2</t>
  </si>
  <si>
    <t>会心会效无双</t>
  </si>
  <si>
    <t>无修囊•特效(会心 会效 无双 41400)</t>
  </si>
  <si>
    <t>会心会效破招</t>
  </si>
  <si>
    <t>无修囊•特效(会心 会效 破招 41400)</t>
  </si>
  <si>
    <t>通用</t>
  </si>
  <si>
    <t>防具通用</t>
  </si>
  <si>
    <t>世界首领囊</t>
  </si>
  <si>
    <t>会心无双</t>
  </si>
  <si>
    <t>世界首领囊(会心 无双 41400)</t>
  </si>
  <si>
    <t>装绑暗器</t>
  </si>
  <si>
    <t>破招无双</t>
  </si>
  <si>
    <t>装绑暗器(破招 无双 41400)</t>
  </si>
  <si>
    <t>玄脉囊</t>
  </si>
  <si>
    <t>神藏囊</t>
  </si>
  <si>
    <t>加速无双</t>
  </si>
  <si>
    <t>神藏囊(加速 无双 41400)</t>
  </si>
  <si>
    <t>精简7</t>
  </si>
  <si>
    <t>无修囊•特效(破招 无双 38100)</t>
  </si>
  <si>
    <t>无修囊•特效(破防 无双 38100)</t>
  </si>
  <si>
    <t>无修囊•特效(会心 无双 38100)</t>
  </si>
  <si>
    <t>侠义暗器</t>
  </si>
  <si>
    <t>侠义暗器(破招 无双 38100)</t>
  </si>
  <si>
    <t>椒丘囊</t>
  </si>
  <si>
    <t>椒丘囊(会心 无双 35300)</t>
  </si>
  <si>
    <t>装绑暗器(破招 无双 35300)</t>
  </si>
  <si>
    <t>世界首领囊(会心 无双 35300)</t>
  </si>
  <si>
    <t>香丹箭囊</t>
  </si>
  <si>
    <t>香丹箭囊(加速 无双 35300)</t>
  </si>
  <si>
    <t>精简</t>
  </si>
  <si>
    <t>会心破防无双</t>
  </si>
  <si>
    <t>破防破招无双</t>
  </si>
  <si>
    <t>无修囊•特效(破防 破招 无双 35300)</t>
  </si>
  <si>
    <t>吃鸡暗器</t>
  </si>
  <si>
    <t>吃鸡暗器(会心 无双 35300)</t>
  </si>
  <si>
    <t>任务暗器</t>
  </si>
  <si>
    <t>任务暗器(破防 无双 34100)</t>
  </si>
  <si>
    <t>大切手</t>
  </si>
  <si>
    <t>大切手(破防 无双 42100)</t>
  </si>
  <si>
    <t>浪客手</t>
  </si>
  <si>
    <t>浪客手(会心 无双 41400)</t>
  </si>
  <si>
    <t>神藏护手</t>
  </si>
  <si>
    <t>神藏护手(加速 无双 41400)</t>
  </si>
  <si>
    <t>世界首领手</t>
  </si>
  <si>
    <t>世界首领手(会心 无双 41400)</t>
  </si>
  <si>
    <t>玄脉护手</t>
  </si>
  <si>
    <t>玄脉护手(破防 无双 41400)</t>
  </si>
  <si>
    <t>玄阙手</t>
  </si>
  <si>
    <t>玄阙手(破招 无双 41400)</t>
  </si>
  <si>
    <t>烬燃护腕·尊</t>
  </si>
  <si>
    <t>•精简</t>
  </si>
  <si>
    <t>烬燃护腕·尊•精简(无双 41400)</t>
  </si>
  <si>
    <t>精简5</t>
  </si>
  <si>
    <t>寒蚀护腕·悟</t>
  </si>
  <si>
    <t>寒蚀护腕·悟•精简(会心 无双 41400)</t>
  </si>
  <si>
    <t>冷骨护腕·破</t>
  </si>
  <si>
    <t>冷骨护腕·破•精简(破防 无双 41400)</t>
  </si>
  <si>
    <t>精简4</t>
  </si>
  <si>
    <t>夜冤护腕·引</t>
  </si>
  <si>
    <t>夜冤护腕·引•精简(破招 无双 41400)</t>
  </si>
  <si>
    <t>尘霜护腕·觉</t>
  </si>
  <si>
    <t>尘霜护腕·觉•精简(会心 破防 无双 41400)</t>
  </si>
  <si>
    <t>哭雾护腕·明</t>
  </si>
  <si>
    <t>会心破招无双</t>
  </si>
  <si>
    <t>哭雾护腕·明•精简(会心 破招 无双 41400)</t>
  </si>
  <si>
    <t>暗涌护腕·绝</t>
  </si>
  <si>
    <t>暗涌护腕·绝•精简(破防 破招 无双 41400)</t>
  </si>
  <si>
    <t>谷息护腕·迅</t>
  </si>
  <si>
    <t>谷息护腕·迅•精简(加速 无双 41400)</t>
  </si>
  <si>
    <t>暗渡无声</t>
  </si>
  <si>
    <t>暗渡无声•特效(会心 会效 破招 41400)</t>
  </si>
  <si>
    <t>寒鸦啼血</t>
  </si>
  <si>
    <t>精简6</t>
  </si>
  <si>
    <t>毒雾藏针</t>
  </si>
  <si>
    <t>毒雾藏针•特效(会心 无双 41400)</t>
  </si>
  <si>
    <t>缚风锁云</t>
  </si>
  <si>
    <t>缚风锁云•特效(破防 无双 41400)</t>
  </si>
  <si>
    <t>夜分刀气</t>
  </si>
  <si>
    <t>夜分刀气•特效(破招 无双 41400)</t>
  </si>
  <si>
    <t>幽壑藏身</t>
  </si>
  <si>
    <t>幽壑藏身•特效(破招 41400)</t>
  </si>
  <si>
    <t>一息归尘</t>
  </si>
  <si>
    <t>一息归尘•特效(加速 无双 41400)</t>
  </si>
  <si>
    <t>小切手</t>
  </si>
  <si>
    <t>小切手(破防 无双 35900)</t>
  </si>
  <si>
    <t>世界首领手(会心 无双 35300)</t>
  </si>
  <si>
    <t>浪客手(会心 无双 35300)</t>
  </si>
  <si>
    <t>椒丘护手</t>
  </si>
  <si>
    <t>椒丘护手(破防 无双 35300)</t>
  </si>
  <si>
    <t>渚清袖·破</t>
  </si>
  <si>
    <t>渚清袖·破•精简(破防 无双 35300)</t>
  </si>
  <si>
    <t>玉鸾袖·悟</t>
  </si>
  <si>
    <t>玉鸾袖·悟•精简(会心 无双 35300)</t>
  </si>
  <si>
    <t>池鱼袖·迅</t>
  </si>
  <si>
    <t>池鱼袖·迅•精简(加速 无双 35300)</t>
  </si>
  <si>
    <t>月湖袖·引</t>
  </si>
  <si>
    <t>月湖袖·引•精简(破招 无双 35300)</t>
  </si>
  <si>
    <t>晓镜袖·绝</t>
  </si>
  <si>
    <t>晓镜袖·绝•精简(破防 破招 无双 35300)</t>
  </si>
  <si>
    <t>烟玉袖·明</t>
  </si>
  <si>
    <t>烟玉袖·明•精简(会心 破招 无双 35300)</t>
  </si>
  <si>
    <t>新雨袖·觉</t>
  </si>
  <si>
    <t>琼枝袖·尊</t>
  </si>
  <si>
    <t>琼枝袖·尊•精简(无双 35300)</t>
  </si>
  <si>
    <t>云收雾敛</t>
  </si>
  <si>
    <t>云收雾敛•特效(会心 会效 破招 35300)</t>
  </si>
  <si>
    <t>九重霄汉</t>
  </si>
  <si>
    <t>九重霄汉•特效(会心 会效 无双 35300)</t>
  </si>
  <si>
    <t>露香尘</t>
  </si>
  <si>
    <t>露香尘•特效(会心 无双 35300)</t>
  </si>
  <si>
    <t>紫凤衔花</t>
  </si>
  <si>
    <t>紫凤衔花•特效(破防 无双 35300)</t>
  </si>
  <si>
    <t>西风吹雨</t>
  </si>
  <si>
    <t>西风吹雨•特效(破招 无双 35300)</t>
  </si>
  <si>
    <t>轻舟兰楫</t>
  </si>
  <si>
    <t>轻舟兰楫•特效(破招 35300)</t>
  </si>
  <si>
    <t>一枕清宵</t>
  </si>
  <si>
    <t>一枕清宵•特效(加速 无双 35300)</t>
  </si>
  <si>
    <t>牧川手</t>
  </si>
  <si>
    <t>牧川手(破招 无双 35300)</t>
  </si>
  <si>
    <t>香丹护手</t>
  </si>
  <si>
    <t>香丹护手(加速 无双 35300)</t>
  </si>
  <si>
    <t>挖宝手</t>
  </si>
  <si>
    <t>挖宝手(破招 无双 35300)</t>
  </si>
  <si>
    <t>吃鸡手</t>
  </si>
  <si>
    <t>吃鸡手(破招 无双 35300)</t>
  </si>
  <si>
    <t>浪客戒</t>
  </si>
  <si>
    <t>浪客戒(破防 无双 41400)</t>
  </si>
  <si>
    <t>玄脉戒</t>
  </si>
  <si>
    <t>世界首领戒</t>
  </si>
  <si>
    <t>世界首领戒(会心 无双 41400)</t>
  </si>
  <si>
    <t>神藏戒指</t>
  </si>
  <si>
    <t>神藏戒指(破招 无双 41400)</t>
  </si>
  <si>
    <t>鹊角戒</t>
  </si>
  <si>
    <t>鹊角戒(加速 无双 41400)</t>
  </si>
  <si>
    <t>玄溟戒·尊</t>
  </si>
  <si>
    <t>玄溟戒·尊•精简(无双 41400)</t>
  </si>
  <si>
    <t>灵寂戒·悟</t>
  </si>
  <si>
    <t>灵寂戒·悟•精简(会心 无双 41400)</t>
  </si>
  <si>
    <t>毋垢戒·破</t>
  </si>
  <si>
    <t>毋垢戒·破•精简(破防 无双 41400)</t>
  </si>
  <si>
    <t>真寰戒·引</t>
  </si>
  <si>
    <t>真寰戒·引•精简(破招 无双 41400)</t>
  </si>
  <si>
    <t>荟茫戒·觉</t>
  </si>
  <si>
    <t>荟茫戒·觉•精简(会心 破防 无双 41400)</t>
  </si>
  <si>
    <t>真寰戒·明</t>
  </si>
  <si>
    <t>真寰戒·明•精简(会心 破招 无双 41400)</t>
  </si>
  <si>
    <t>寂光戒·绝</t>
  </si>
  <si>
    <t>寂光戒·绝•精简(破防 破招 无双 41400)</t>
  </si>
  <si>
    <t>愁予戒·迅</t>
  </si>
  <si>
    <t>愁予戒·迅•精简(加速 41400)</t>
  </si>
  <si>
    <t>残霞卷</t>
  </si>
  <si>
    <t>残霞卷•特效(会心 会效 破招 41400)</t>
  </si>
  <si>
    <t>梦冷星</t>
  </si>
  <si>
    <t>松影静</t>
  </si>
  <si>
    <t>会心破招破防无双</t>
  </si>
  <si>
    <t>松影静•特效(会心 破招 破防 无双 41400)</t>
  </si>
  <si>
    <t>浪歌行</t>
  </si>
  <si>
    <t>浪歌行•特效(会心 无双 41400)</t>
  </si>
  <si>
    <t>墨锋隐</t>
  </si>
  <si>
    <t>墨锋隐•特效(破防 无双 41400)</t>
  </si>
  <si>
    <t>赤阳踏</t>
  </si>
  <si>
    <t>赤阳踏•特效(破招 无双 41400)</t>
  </si>
  <si>
    <t>龙影起</t>
  </si>
  <si>
    <t>龙影起•特效(加速 41400)</t>
  </si>
  <si>
    <t>侠义戒指</t>
  </si>
  <si>
    <t>侠义戒指(破防 无双 38100)</t>
  </si>
  <si>
    <t>椒丘戒</t>
  </si>
  <si>
    <t>椒丘戒(会心 无双 35300)</t>
  </si>
  <si>
    <t>浪客戒(破防 无双 35300)</t>
  </si>
  <si>
    <t>世界首领戒(会心 无双 35300)</t>
  </si>
  <si>
    <t>香丹指环</t>
  </si>
  <si>
    <t>香丹指环(破招 无双 35300)</t>
  </si>
  <si>
    <t>琼楼戒·破</t>
  </si>
  <si>
    <t>琼楼戒·破•精简(破防 无双 35300)</t>
  </si>
  <si>
    <t>红药戒·迅</t>
  </si>
  <si>
    <t>红药戒·迅•精简(加速 35300)</t>
  </si>
  <si>
    <t>轩窗戒·尊</t>
  </si>
  <si>
    <t>轩窗戒·尊•精简(无双 35300)</t>
  </si>
  <si>
    <t>断雁戒·绝</t>
  </si>
  <si>
    <t>断雁戒·绝•精简(破防 破招 无双 35300)</t>
  </si>
  <si>
    <t>萧瑟戒·悟</t>
  </si>
  <si>
    <t>萧瑟戒·悟•精简(会心 无双 35300)</t>
  </si>
  <si>
    <t>朱阁戒·引</t>
  </si>
  <si>
    <t>朱阁戒·引•精简(破招 无双 35300)</t>
  </si>
  <si>
    <t>汀洲戒·觉</t>
  </si>
  <si>
    <t>汀洲戒·觉•精简(会心 破防 无双 35300)</t>
  </si>
  <si>
    <t>雨客戒·明</t>
  </si>
  <si>
    <t>雨客戒·明•精简(会心 破招 无双 35300)</t>
  </si>
  <si>
    <t>出昆仑</t>
  </si>
  <si>
    <t>出昆仑•特效(会心 会效 破招 35300)</t>
  </si>
  <si>
    <t>云连海国</t>
  </si>
  <si>
    <t>烟柳萧疏</t>
  </si>
  <si>
    <t>烟柳萧疏•特效(会心 破招 破防 无双 35300)</t>
  </si>
  <si>
    <t>戎马略</t>
  </si>
  <si>
    <t>戎马略•特效(会心 无双 35300)</t>
  </si>
  <si>
    <t>频怅望</t>
  </si>
  <si>
    <t>一枕梦魂</t>
  </si>
  <si>
    <t>一枕梦魂•特效(破招 无双 35300)</t>
  </si>
  <si>
    <t>风啸群崖</t>
  </si>
  <si>
    <t>噙香戒</t>
  </si>
  <si>
    <t>噙香戒(加速 无双 35300)</t>
  </si>
  <si>
    <t>清明戒子</t>
  </si>
  <si>
    <t>清明戒子(会心 无双 34100)</t>
  </si>
  <si>
    <t>大切裤</t>
  </si>
  <si>
    <t>浪客裤</t>
  </si>
  <si>
    <t>神藏下裳</t>
  </si>
  <si>
    <t>鹊角裤</t>
  </si>
  <si>
    <t>世界首领裤</t>
  </si>
  <si>
    <t>玄脉裤</t>
  </si>
  <si>
    <t>蕴元裤·尊</t>
  </si>
  <si>
    <t>皎然裤·悟</t>
  </si>
  <si>
    <t>无愁裤·破</t>
  </si>
  <si>
    <t>渡月裤·引</t>
  </si>
  <si>
    <t>芳生裤·觉</t>
  </si>
  <si>
    <t>日易裤·明</t>
  </si>
  <si>
    <t>故春裤·绝</t>
  </si>
  <si>
    <t>话情裤·迅</t>
  </si>
  <si>
    <t>秋映月</t>
  </si>
  <si>
    <t>山色秋分</t>
  </si>
  <si>
    <t>一醉天涯</t>
  </si>
  <si>
    <t>空林鸟</t>
  </si>
  <si>
    <t>醉醒间</t>
  </si>
  <si>
    <t>辞红尘</t>
  </si>
  <si>
    <t>凭危楼</t>
  </si>
  <si>
    <t>侠义裤</t>
  </si>
  <si>
    <t>小切裤</t>
  </si>
  <si>
    <t>椒丘裤</t>
  </si>
  <si>
    <t>香丹下裳</t>
  </si>
  <si>
    <t>寒枝裤·绝</t>
  </si>
  <si>
    <t>惊鹊裤·迅</t>
  </si>
  <si>
    <t>凤箫裤·破</t>
  </si>
  <si>
    <t>纤云裤·悟</t>
  </si>
  <si>
    <t>兰舟裤·引</t>
  </si>
  <si>
    <t>罗幕裤·尊</t>
  </si>
  <si>
    <t>雁回裤·觉</t>
  </si>
  <si>
    <t>清宵裤·明</t>
  </si>
  <si>
    <t>枯梢瘦骨</t>
  </si>
  <si>
    <t>闲来步屧</t>
  </si>
  <si>
    <t>千尺青空</t>
  </si>
  <si>
    <t>吊湘累</t>
  </si>
  <si>
    <t>故垒颓垣</t>
  </si>
  <si>
    <t>风前柳色</t>
  </si>
  <si>
    <t>长亭回首</t>
  </si>
  <si>
    <t>噙香裤</t>
  </si>
  <si>
    <t>吃鸡裤</t>
  </si>
  <si>
    <t>大切帽</t>
  </si>
  <si>
    <t>大切帽(破招 无双 42100)</t>
  </si>
  <si>
    <t>无修头•特效(会心 会效 破招 41400)</t>
  </si>
  <si>
    <t>无修头•特效(会心 无双 41400)</t>
  </si>
  <si>
    <t>无修头•特效(会心 破招 破防 无双 41400)</t>
  </si>
  <si>
    <t>神藏冠</t>
  </si>
  <si>
    <t>神藏冠(会心 无双 41400)</t>
  </si>
  <si>
    <t>玄脉帽</t>
  </si>
  <si>
    <t>玄脉帽(加速 无双 41400)</t>
  </si>
  <si>
    <t>世界首领帽</t>
  </si>
  <si>
    <t>世界首领帽(破招 无双 41400)</t>
  </si>
  <si>
    <t>浪客冠</t>
  </si>
  <si>
    <t>浪客冠(破招 无双 41400)</t>
  </si>
  <si>
    <t>玄阙帽</t>
  </si>
  <si>
    <t>无修头•特效(破防 无双 38100)</t>
  </si>
  <si>
    <t>无修头•特效(会心 会效 无双 38100)</t>
  </si>
  <si>
    <t>无修头•特效(破招 无双 38100)</t>
  </si>
  <si>
    <t>小切帽</t>
  </si>
  <si>
    <t>小切帽(破招 无双 35900)</t>
  </si>
  <si>
    <t>香丹冠</t>
  </si>
  <si>
    <t>香丹冠(会心 无双 35300)</t>
  </si>
  <si>
    <t>世界首领帽(破招 无双 35300)</t>
  </si>
  <si>
    <t>浪客帽</t>
  </si>
  <si>
    <t>浪客帽(破招 无双 35300)</t>
  </si>
  <si>
    <t>椒丘冠</t>
  </si>
  <si>
    <t>椒丘冠(加速 无双 35300)</t>
  </si>
  <si>
    <t>牧川帽</t>
  </si>
  <si>
    <t>牧川帽(破防 无双 35300)</t>
  </si>
  <si>
    <t>无修头•特效(会心 破招 无双 35300)</t>
  </si>
  <si>
    <t>无修头•特效(会心 破防 无双 35300)</t>
  </si>
  <si>
    <t>吃鸡帽</t>
  </si>
  <si>
    <t>吃鸡帽(会心 无双 35300)</t>
  </si>
  <si>
    <t>挖宝帽</t>
  </si>
  <si>
    <t>挖宝帽(会心 无双 35300)</t>
  </si>
  <si>
    <t>龙鲤</t>
  </si>
  <si>
    <t>会心破防加速</t>
  </si>
  <si>
    <t>武器通用</t>
  </si>
  <si>
    <t>大切武器</t>
  </si>
  <si>
    <t>大切武器(会心 无双 42100)</t>
  </si>
  <si>
    <t>世界首领武器</t>
  </si>
  <si>
    <t>世界首领武器(破招 无双 41400)</t>
  </si>
  <si>
    <t>踏月来</t>
  </si>
  <si>
    <t>踏月来•特效(破防 无双 41400)</t>
  </si>
  <si>
    <t>柔荑双剑</t>
  </si>
  <si>
    <t>柔荑双剑(破招 无双 41400)</t>
  </si>
  <si>
    <t>惊荷双剑</t>
  </si>
  <si>
    <t>惊荷双剑(会心 无双 41400)</t>
  </si>
  <si>
    <t>照梦枝</t>
  </si>
  <si>
    <t>侠义武器</t>
  </si>
  <si>
    <t>侠义武器(会心 无双 38100)</t>
  </si>
  <si>
    <t>龙鲤(会心 破防 加速 37125)</t>
  </si>
  <si>
    <t>小切武器</t>
  </si>
  <si>
    <t>小切武器(会心 无双 35900)</t>
  </si>
  <si>
    <t>吃鸡武器</t>
  </si>
  <si>
    <t>吃鸡武器(破防 无双 35300)</t>
  </si>
  <si>
    <t>挖宝武器</t>
  </si>
  <si>
    <t>挖宝武器(破招 无双 35300)</t>
  </si>
  <si>
    <t>罗帷双剑</t>
  </si>
  <si>
    <t>罗帷双剑(会心 无双 35300)</t>
  </si>
  <si>
    <t>世界首领武器(破招 无双 35300)</t>
  </si>
  <si>
    <t>红珠翠箔</t>
  </si>
  <si>
    <t>红珠翠箔•特效(破防 无双 35300)</t>
  </si>
  <si>
    <t>瑶台双剑</t>
  </si>
  <si>
    <t>瑶台双剑(破招 无双 35300)</t>
  </si>
  <si>
    <t>照梦枝(会心 破防 加速 35000)</t>
  </si>
  <si>
    <t>飞剑•特效(破招 无双 33400)</t>
  </si>
  <si>
    <t>血影天宇舞姬</t>
  </si>
  <si>
    <t>血影天宇舞姬(会心 无双 30700)</t>
  </si>
  <si>
    <t>照梦枝(会心 破防 加速 29500)</t>
  </si>
  <si>
    <t>龙鲤(会心 破防 加速 27500)</t>
  </si>
  <si>
    <t>声望项链</t>
  </si>
  <si>
    <t>声望项链(破招 无双 42100)</t>
  </si>
  <si>
    <t>无修项链•特效(破防 无双 41400)</t>
  </si>
  <si>
    <t>无修项链•特效(会心 无双 41400)</t>
  </si>
  <si>
    <t>无修项链•特效(破招 无双 41400)</t>
  </si>
  <si>
    <t>神藏链</t>
  </si>
  <si>
    <t>玄脉项饰</t>
  </si>
  <si>
    <t>玄脉项饰(会心 无双 41400)</t>
  </si>
  <si>
    <t>世界首领链</t>
  </si>
  <si>
    <t>世界首领链(会心 无双 41400)</t>
  </si>
  <si>
    <t>鹊角项饰</t>
  </si>
  <si>
    <t>鹊角项饰(加速 无双 41400)</t>
  </si>
  <si>
    <t>无修项链•特效(会心 破招 破防 无双 38100)</t>
  </si>
  <si>
    <t>无修项链•特效(破招 38100)</t>
  </si>
  <si>
    <t>无修项链•特效(会心 会效 破招 38100)</t>
  </si>
  <si>
    <t>椒丘项链</t>
  </si>
  <si>
    <t>椒丘项链(会心 无双 35300)</t>
  </si>
  <si>
    <t>世界首领链(会心 无双 35300)</t>
  </si>
  <si>
    <t>香丹链</t>
  </si>
  <si>
    <t>香丹链(破防 无双 35300)</t>
  </si>
  <si>
    <t>噙香链</t>
  </si>
  <si>
    <t>噙香链(加速 无双 35300)</t>
  </si>
  <si>
    <t>无修项链•特效(无双 35300)</t>
  </si>
  <si>
    <t>大切鞋</t>
  </si>
  <si>
    <t>大切鞋(破招 无双 42100)</t>
  </si>
  <si>
    <t>无修鞋•特效(破防 无双 41400)</t>
  </si>
  <si>
    <t>无修鞋•特效(会心 破招 破防 无双 41400)</t>
  </si>
  <si>
    <t>无修鞋•特效(会心 会效 无双 41400)</t>
  </si>
  <si>
    <t>神藏靴</t>
  </si>
  <si>
    <t>神藏靴(加速 无双 41400)</t>
  </si>
  <si>
    <t>玄脉靴</t>
  </si>
  <si>
    <t>玄脉靴(会心 无双 41400)</t>
  </si>
  <si>
    <t>世界首领鞋</t>
  </si>
  <si>
    <t>世界首领鞋(会心 无双 41400)</t>
  </si>
  <si>
    <t>玄阙鞋</t>
  </si>
  <si>
    <t>无修鞋•特效(会心 会效 破招 38100)</t>
  </si>
  <si>
    <t>无修鞋•特效(破防 无双 38100)</t>
  </si>
  <si>
    <t>小切鞋</t>
  </si>
  <si>
    <t>小切鞋(破招 无双 35900)</t>
  </si>
  <si>
    <t>香丹靴</t>
  </si>
  <si>
    <t>香丹靴(加速 无双 35300)</t>
  </si>
  <si>
    <t>世界首领鞋(会心 无双 35300)</t>
  </si>
  <si>
    <t>椒丘靴</t>
  </si>
  <si>
    <t>椒丘靴(会心 无双 35300)</t>
  </si>
  <si>
    <t>牧川鞋</t>
  </si>
  <si>
    <t>无修鞋•特效(破招 无双 35300)</t>
  </si>
  <si>
    <t>无修鞋•特效(破防 无双 35300)</t>
  </si>
  <si>
    <t>吃鸡鞋</t>
  </si>
  <si>
    <t>吃鸡鞋(会心 无双 35300)</t>
  </si>
  <si>
    <t>挖宝鞋</t>
  </si>
  <si>
    <t>挖宝鞋(会心 无双 35300)</t>
  </si>
  <si>
    <t>大切腰带</t>
  </si>
  <si>
    <t>大切腰带(会心 无双 42100)</t>
  </si>
  <si>
    <t>神藏带</t>
  </si>
  <si>
    <t>神藏带(破防 无双 41400)</t>
  </si>
  <si>
    <t>玄脉腰带</t>
  </si>
  <si>
    <t>玄脉腰带(加速 无双 41400)</t>
  </si>
  <si>
    <t>世界首领腰</t>
  </si>
  <si>
    <t>世界首领腰(破防 无双 41400)</t>
  </si>
  <si>
    <t>玄阙腰</t>
  </si>
  <si>
    <t>清岳护腰·尊</t>
  </si>
  <si>
    <t>清岳护腰·尊•精简(无双 41400)</t>
  </si>
  <si>
    <t>鹤芝护腰·悟</t>
  </si>
  <si>
    <t>鹤芝护腰·悟•精简(会心 无双 41400)</t>
  </si>
  <si>
    <t>蛊雕护腰·破</t>
  </si>
  <si>
    <t>蛊雕护腰·破•精简(破防 无双 41400)</t>
  </si>
  <si>
    <t>寂歌护腰·引</t>
  </si>
  <si>
    <t>寂歌护腰·引•精简(破招 无双 41400)</t>
  </si>
  <si>
    <t>长右护腰·觉</t>
  </si>
  <si>
    <t>长右护腰·觉•精简(会心 破防 无双 41400)</t>
  </si>
  <si>
    <t>应钟护腰·明</t>
  </si>
  <si>
    <t>应钟护腰·明•精简(会心 破招 无双 41400)</t>
  </si>
  <si>
    <t>姑洗护腰·绝</t>
  </si>
  <si>
    <t>钦原护腰·迅</t>
  </si>
  <si>
    <t>钦原护腰·迅•精简(加速 无双 41400)</t>
  </si>
  <si>
    <t>霜锋引</t>
  </si>
  <si>
    <t>霜锋引•特效(会心 破招 破防 无双 41400)</t>
  </si>
  <si>
    <t>素影寒</t>
  </si>
  <si>
    <t>素影寒•特效(破招 41400)</t>
  </si>
  <si>
    <t>苍茫渡</t>
  </si>
  <si>
    <t>苍茫渡•特效(会心 无双 41400)</t>
  </si>
  <si>
    <t>连九霄</t>
  </si>
  <si>
    <t>连九霄•特效(破防 无双 41400)</t>
  </si>
  <si>
    <t>烟霞客</t>
  </si>
  <si>
    <t>覆乾坤</t>
  </si>
  <si>
    <t>覆乾坤•特效(破防 41400)</t>
  </si>
  <si>
    <t>凌顶观</t>
  </si>
  <si>
    <t>凌顶观•特效(加速 无双 41400)</t>
  </si>
  <si>
    <t>小切腰</t>
  </si>
  <si>
    <t>小切腰(会心 无双 35900)</t>
  </si>
  <si>
    <t>香丹带</t>
  </si>
  <si>
    <t>香丹带(破防 无双 35300)</t>
  </si>
  <si>
    <t>椒丘腰带</t>
  </si>
  <si>
    <t>椒丘腰带(加速 无双 35300)</t>
  </si>
  <si>
    <t>世界首领腰(破防 无双 35300)</t>
  </si>
  <si>
    <t>白露腰带·尊</t>
  </si>
  <si>
    <t>白露腰带·尊•精简(无双 35300)</t>
  </si>
  <si>
    <t>长佩腰带·绝</t>
  </si>
  <si>
    <t>长佩腰带·绝•精简(破防 破招 无双 35300)</t>
  </si>
  <si>
    <t>迟暮腰带·悟</t>
  </si>
  <si>
    <t>迟暮腰带·悟•精简(会心 无双 35300)</t>
  </si>
  <si>
    <t>幽昧腰带·破</t>
  </si>
  <si>
    <t>幽昧腰带·破•精简(破防 无双 35300)</t>
  </si>
  <si>
    <t>灵修腰带·引</t>
  </si>
  <si>
    <t>灵修腰带·引•精简(破招 无双 35300)</t>
  </si>
  <si>
    <t>不群腰带.觉</t>
  </si>
  <si>
    <t>不群腰带.觉•精简(会心 破防 无双 35300)</t>
  </si>
  <si>
    <t>兰皋腰带·明</t>
  </si>
  <si>
    <t>兰皋腰带·明•精简(会心 破招 无双 35300)</t>
  </si>
  <si>
    <t>潜渊腰带·迅</t>
  </si>
  <si>
    <t>潜渊腰带·迅•精简(加速 无双 35300)</t>
  </si>
  <si>
    <t>独对青山</t>
  </si>
  <si>
    <t>独对青山•特效(会心 破招 破防 无双 35300)</t>
  </si>
  <si>
    <t>千峰翠</t>
  </si>
  <si>
    <t>千峰翠•特效(破招 35300)</t>
  </si>
  <si>
    <t>秦关易水</t>
  </si>
  <si>
    <t>秦关易水•特效(会心 无双 35300)</t>
  </si>
  <si>
    <t>天风断</t>
  </si>
  <si>
    <t>天风断•特效(破防 无双 35300)</t>
  </si>
  <si>
    <t>明月高楼</t>
  </si>
  <si>
    <t>明月高楼•特效(会心 35300)</t>
  </si>
  <si>
    <t>云外孤飞</t>
  </si>
  <si>
    <t>云外孤飞•特效(破防 35300)</t>
  </si>
  <si>
    <t>风吹柳絮</t>
  </si>
  <si>
    <t>风吹柳絮•特效(加速 无双 35300)</t>
  </si>
  <si>
    <t>牧川腰</t>
  </si>
  <si>
    <t>牧川腰(会心 无双 35300)</t>
  </si>
  <si>
    <t>吃鸡腰</t>
  </si>
  <si>
    <t>吃鸡腰(破防 无双 35300)</t>
  </si>
  <si>
    <t>挖宝腰</t>
  </si>
  <si>
    <t>挖宝腰(加速 无双 35300)</t>
  </si>
  <si>
    <t>声望腰坠</t>
  </si>
  <si>
    <t>声望腰坠(会心 无双 42100)</t>
  </si>
  <si>
    <t>无修腰坠•特效(会心 无双 41400)</t>
  </si>
  <si>
    <t>无修腰坠•特效(破防 无双 41400)</t>
  </si>
  <si>
    <t>无修腰坠•特效(破招 无双 41400)</t>
  </si>
  <si>
    <t>雨夜禅</t>
  </si>
  <si>
    <t>雨夜禅•特效(破防 无双 41400)</t>
  </si>
  <si>
    <t>玄脉坠</t>
  </si>
  <si>
    <t>玄脉坠(破招 无双 41400)</t>
  </si>
  <si>
    <t>神藏坠</t>
  </si>
  <si>
    <t>神藏坠(加速 无双 41400)</t>
  </si>
  <si>
    <t>橙坠通用</t>
  </si>
  <si>
    <t>声望腰坠·橙</t>
  </si>
  <si>
    <t>声望腰坠·橙(会心 无双 38500)</t>
  </si>
  <si>
    <t>无修腰坠•特效(会心 会效 破招 38100)</t>
  </si>
  <si>
    <t>无修腰坠•特效(会心 会效 无双 38100)</t>
  </si>
  <si>
    <t>无修腰坠•特效(会心 破招 破防 无双 38100)</t>
  </si>
  <si>
    <t>神藏佩·橙</t>
  </si>
  <si>
    <t>神藏佩·橙(加速 无双 37900)</t>
  </si>
  <si>
    <t>玄脉佩·橙</t>
  </si>
  <si>
    <t>玄脉佩·橙(破招 无双 37900)</t>
  </si>
  <si>
    <t>雨夜禅·橙</t>
  </si>
  <si>
    <t>橙坠无修2</t>
  </si>
  <si>
    <t>无修腰坠·橙</t>
  </si>
  <si>
    <t>无修腰坠·橙•特效(会心 无双 37900)</t>
  </si>
  <si>
    <t>橙坠无修</t>
  </si>
  <si>
    <t>无修腰坠·橙•特效(破防 无双 37900)</t>
  </si>
  <si>
    <t>无修腰坠·橙•特效(破招 无双 37900)</t>
  </si>
  <si>
    <t>声望腰坠(会心 无双 35900)</t>
  </si>
  <si>
    <t>椒丘坠</t>
  </si>
  <si>
    <t>椒丘坠(破招 无双 35300)</t>
  </si>
  <si>
    <t>香丹坠</t>
  </si>
  <si>
    <t>香丹坠(加速 无双 35300)</t>
  </si>
  <si>
    <t>冷韵幽怀</t>
  </si>
  <si>
    <t>冷韵幽怀•特效(破防 无双 35300)</t>
  </si>
  <si>
    <t>无修腰坠•特效(会心 破防 无双 35300)</t>
  </si>
  <si>
    <t>无修腰坠•特效(会心 无双 35300)</t>
  </si>
  <si>
    <t>宛虹坠·橙</t>
  </si>
  <si>
    <t>宛虹坠·橙(会心 无双 32800)</t>
  </si>
  <si>
    <t>香丹佩·橙</t>
  </si>
  <si>
    <t>香丹佩·橙(加速 无双 32300)</t>
  </si>
  <si>
    <t>椒丘佩·橙</t>
  </si>
  <si>
    <t>椒丘佩·橙(破招 无双 32300)</t>
  </si>
  <si>
    <t>冷韵幽怀·橙</t>
  </si>
  <si>
    <t>无修腰坠·橙•特效(会心 破防 无双 32300)</t>
  </si>
  <si>
    <t>无修腰坠·橙•特效(会心 无双 32300)</t>
  </si>
  <si>
    <t>大切衣服</t>
  </si>
  <si>
    <t>大切衣服(破防 无双 42100)</t>
  </si>
  <si>
    <t>神藏衫</t>
  </si>
  <si>
    <t>神藏衫(加速 无双 41400)</t>
  </si>
  <si>
    <t>世界首领衣</t>
  </si>
  <si>
    <t>世界首领衣(会心 无双 41400)</t>
  </si>
  <si>
    <t>玄脉衣</t>
  </si>
  <si>
    <t>玄脉衣(破招 无双 41400)</t>
  </si>
  <si>
    <t>玄阙衣</t>
  </si>
  <si>
    <t>小切衣</t>
  </si>
  <si>
    <t>小切衣(破防 无双 35900)</t>
  </si>
  <si>
    <t>吃鸡衣</t>
  </si>
  <si>
    <t>吃鸡衣(破招 无双 35300)</t>
  </si>
  <si>
    <t>香丹衫</t>
  </si>
  <si>
    <t>香丹衫(加速 无双 35300)</t>
  </si>
  <si>
    <t>椒丘衣</t>
  </si>
  <si>
    <t>椒丘衣(破招 无双 35300)</t>
  </si>
  <si>
    <t>世界首领衣(会心 无双 35300)</t>
  </si>
  <si>
    <t>牧川衣</t>
  </si>
  <si>
    <t>挖宝衣</t>
  </si>
  <si>
    <t>挖宝衣(加速 无双 35300)</t>
  </si>
  <si>
    <t>冬至衣服</t>
  </si>
  <si>
    <t>冬至衣服(破防 无双 29800)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</si>
  <si>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</si>
  <si>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</si>
  <si>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</si>
  <si>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</si>
  <si>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</si>
  <si>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</si>
  <si>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</si>
  <si>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</si>
  <si>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</si>
  <si>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版本号</t>
  </si>
  <si>
    <t>1</t>
  </si>
  <si>
    <t>主版本</t>
  </si>
  <si>
    <t>感谢：冰气、明月杳杳、南真帆</t>
  </si>
  <si>
    <t>最新版本无法在线更新，请前往魔盒下载！</t>
  </si>
  <si>
    <t>内容1</t>
  </si>
  <si>
    <t>更新成功！</t>
  </si>
  <si>
    <t>内容2</t>
  </si>
  <si>
    <t>v1.0  2026.04.25</t>
  </si>
  <si>
    <t>内容3</t>
  </si>
  <si>
    <t>内容4</t>
  </si>
  <si>
    <t>伤害：</t>
  </si>
  <si>
    <t>内容5</t>
  </si>
  <si>
    <t>1. 暗影千机版本发布</t>
  </si>
  <si>
    <t>内容6</t>
  </si>
  <si>
    <t>内容7</t>
  </si>
  <si>
    <t>内容8</t>
  </si>
  <si>
    <t>内容9</t>
  </si>
  <si>
    <t>内容10</t>
  </si>
  <si>
    <t>内容11</t>
  </si>
  <si>
    <t>内容12</t>
  </si>
  <si>
    <t>内容13</t>
  </si>
  <si>
    <t>内容14</t>
  </si>
  <si>
    <t>内容15</t>
  </si>
  <si>
    <t>内容16</t>
  </si>
  <si>
    <t>129</t>
  </si>
  <si>
    <t>262</t>
  </si>
  <si>
    <t>100</t>
  </si>
  <si>
    <t>178</t>
  </si>
  <si>
    <t>32.5</t>
  </si>
  <si>
    <t>21</t>
  </si>
  <si>
    <t>28.5</t>
  </si>
  <si>
    <t>393</t>
  </si>
  <si>
    <t>凝华</t>
  </si>
  <si>
    <t>320</t>
  </si>
  <si>
    <t>43065.551</t>
  </si>
  <si>
    <t>凝华明</t>
  </si>
  <si>
    <t>85</t>
  </si>
  <si>
    <t>满堂凝华</t>
  </si>
  <si>
    <t>138</t>
  </si>
  <si>
    <t>25</t>
  </si>
  <si>
    <t>0.0052398</t>
  </si>
  <si>
    <t>成玉</t>
  </si>
  <si>
    <t>72.5</t>
  </si>
  <si>
    <t>琼宵•急曲</t>
  </si>
  <si>
    <t>78.5</t>
  </si>
  <si>
    <t>15</t>
  </si>
  <si>
    <t>1500</t>
  </si>
  <si>
    <t>月出东山·悟结算</t>
  </si>
  <si>
    <t>霜降破1</t>
  </si>
  <si>
    <t>霜降破2</t>
  </si>
  <si>
    <t>霜降破3</t>
  </si>
  <si>
    <t>霜降破4</t>
  </si>
  <si>
    <t>霜降破5</t>
  </si>
  <si>
    <t>75</t>
  </si>
  <si>
    <t>Column11</t>
  </si>
  <si>
    <t>Column12</t>
  </si>
  <si>
    <t>Column13</t>
  </si>
  <si>
    <t>Column14</t>
  </si>
  <si>
    <t>Column15</t>
  </si>
  <si>
    <t>Column16</t>
  </si>
  <si>
    <t>946</t>
  </si>
  <si>
    <t>736</t>
  </si>
  <si>
    <t>473</t>
  </si>
  <si>
    <t>368</t>
  </si>
  <si>
    <t>2236</t>
  </si>
  <si>
    <t>1739</t>
  </si>
  <si>
    <t>1118</t>
  </si>
  <si>
    <t>869</t>
  </si>
  <si>
    <t>7379</t>
  </si>
  <si>
    <t>5739</t>
  </si>
  <si>
    <t>3689</t>
  </si>
  <si>
    <t>2869</t>
  </si>
  <si>
    <t>882</t>
  </si>
  <si>
    <t>2922</t>
  </si>
  <si>
    <t>544</t>
  </si>
  <si>
    <t>4255</t>
  </si>
  <si>
    <t>2170</t>
  </si>
  <si>
    <t>7184</t>
  </si>
  <si>
    <t>-2726</t>
  </si>
  <si>
    <t>738</t>
  </si>
  <si>
    <t>172</t>
  </si>
  <si>
    <t>413</t>
  </si>
  <si>
    <t>222</t>
  </si>
  <si>
    <t>531</t>
  </si>
  <si>
    <t>1491</t>
  </si>
  <si>
    <t>746</t>
  </si>
  <si>
    <t>868</t>
  </si>
  <si>
    <t>1334</t>
  </si>
  <si>
    <t>600</t>
  </si>
  <si>
    <t>994</t>
  </si>
  <si>
    <t>1242</t>
  </si>
  <si>
    <t>420</t>
  </si>
  <si>
    <t>526</t>
  </si>
  <si>
    <t>3279</t>
  </si>
  <si>
    <t>4099</t>
  </si>
  <si>
    <t>889</t>
  </si>
  <si>
    <t>978</t>
  </si>
  <si>
    <t>3501</t>
  </si>
  <si>
    <t>951</t>
  </si>
  <si>
    <t>1243</t>
  </si>
  <si>
    <t>37400</t>
  </si>
  <si>
    <t>0.5</t>
  </si>
  <si>
    <t>1.5</t>
  </si>
  <si>
    <t>381</t>
  </si>
  <si>
    <t>414</t>
  </si>
  <si>
    <t>353</t>
  </si>
  <si>
    <t>3194</t>
  </si>
  <si>
    <t>3471</t>
  </si>
  <si>
    <t>2971</t>
  </si>
  <si>
    <t>354</t>
  </si>
  <si>
    <t>385</t>
  </si>
  <si>
    <t>330</t>
  </si>
  <si>
    <t>5521</t>
  </si>
  <si>
    <t>6000</t>
  </si>
  <si>
    <t>5136</t>
  </si>
  <si>
    <t>176</t>
  </si>
  <si>
    <t>192</t>
  </si>
  <si>
    <t>165</t>
  </si>
  <si>
    <t>6913</t>
  </si>
  <si>
    <t>7512</t>
  </si>
  <si>
    <t>6526</t>
  </si>
  <si>
    <t>53</t>
  </si>
  <si>
    <t>58</t>
  </si>
  <si>
    <t>50</t>
  </si>
  <si>
    <t>7901</t>
  </si>
  <si>
    <t>8586</t>
  </si>
  <si>
    <t>7456</t>
  </si>
  <si>
    <t>864</t>
  </si>
  <si>
    <t>1166</t>
  </si>
  <si>
    <t>1335</t>
  </si>
  <si>
    <t>3060</t>
  </si>
  <si>
    <t>2560</t>
  </si>
  <si>
    <t>43038</t>
  </si>
  <si>
    <t>35982</t>
  </si>
  <si>
    <t>1276500</t>
  </si>
  <si>
    <t>851000</t>
  </si>
  <si>
    <t>515970</t>
  </si>
  <si>
    <t>317</t>
  </si>
  <si>
    <t>307会心</t>
  </si>
  <si>
    <t>4098</t>
  </si>
  <si>
    <t>3494</t>
  </si>
  <si>
    <t>307无双</t>
  </si>
  <si>
    <t>冬至会心</t>
  </si>
  <si>
    <t>2550</t>
  </si>
  <si>
    <t>冬至会效</t>
  </si>
  <si>
    <t>930</t>
  </si>
  <si>
    <t>阆风</t>
  </si>
  <si>
    <t>3368</t>
  </si>
  <si>
    <t>4316</t>
  </si>
  <si>
    <t>5052</t>
  </si>
  <si>
    <t>3907</t>
  </si>
  <si>
    <t>1341</t>
  </si>
  <si>
    <t>6396</t>
  </si>
  <si>
    <t>7488</t>
  </si>
  <si>
    <t>7112</t>
  </si>
  <si>
    <t>8326</t>
  </si>
  <si>
    <t>4974</t>
  </si>
  <si>
    <t>5823</t>
  </si>
  <si>
    <t>6</t>
  </si>
  <si>
    <t>179</t>
  </si>
  <si>
    <t>593</t>
  </si>
  <si>
    <t>253</t>
  </si>
  <si>
    <t>7</t>
  </si>
  <si>
    <t>113</t>
  </si>
  <si>
    <t>268</t>
  </si>
  <si>
    <t>380</t>
  </si>
  <si>
    <t>8</t>
  </si>
  <si>
    <t>168</t>
  </si>
  <si>
    <t>398</t>
  </si>
  <si>
    <t>1317</t>
  </si>
  <si>
    <t>563</t>
  </si>
  <si>
    <t>188</t>
  </si>
  <si>
    <t>442</t>
  </si>
  <si>
    <t>1463</t>
  </si>
  <si>
    <t>884</t>
  </si>
  <si>
    <t>2925</t>
  </si>
  <si>
    <t>1768</t>
  </si>
  <si>
    <t>5850</t>
  </si>
  <si>
    <t>130</t>
  </si>
  <si>
    <t>2</t>
  </si>
  <si>
    <t>0.29</t>
  </si>
  <si>
    <t>0.9</t>
  </si>
  <si>
    <t>1.19</t>
  </si>
  <si>
    <t>10</t>
  </si>
  <si>
    <t>0.24</t>
  </si>
  <si>
    <t>8.53415</t>
  </si>
  <si>
    <t>0.21</t>
  </si>
  <si>
    <t>160780.6452</t>
  </si>
  <si>
    <t>44</t>
  </si>
  <si>
    <t>7387</t>
  </si>
  <si>
    <t>1.75</t>
  </si>
  <si>
    <t>13</t>
  </si>
  <si>
    <t>双会钗凝</t>
  </si>
  <si>
    <t>0.67</t>
  </si>
  <si>
    <t>双会破玳</t>
  </si>
  <si>
    <t>0.8663</t>
  </si>
  <si>
    <t>双会无界</t>
  </si>
  <si>
    <t>0.75</t>
  </si>
  <si>
    <t>0.6</t>
  </si>
  <si>
    <t>0.72</t>
  </si>
  <si>
    <t>45</t>
  </si>
  <si>
    <t>剑舞攻击</t>
  </si>
  <si>
    <t>0.15</t>
  </si>
  <si>
    <t>197703</t>
  </si>
  <si>
    <t>225957.6</t>
  </si>
  <si>
    <t>72844.2</t>
  </si>
  <si>
    <t>133333.2</t>
  </si>
  <si>
    <t>210078</t>
  </si>
  <si>
    <t>校服数值</t>
  </si>
  <si>
    <t>随机</t>
  </si>
  <si>
    <t>无双率</t>
  </si>
  <si>
    <t>真伤</t>
  </si>
  <si>
    <t>7908</t>
  </si>
  <si>
    <t>2914</t>
  </si>
  <si>
    <t>1350</t>
  </si>
  <si>
    <t>18561</t>
  </si>
  <si>
    <t>3857</t>
  </si>
  <si>
    <t>23540</t>
  </si>
  <si>
    <t>0.1767</t>
  </si>
  <si>
    <t>601965</t>
  </si>
  <si>
    <t>1928</t>
  </si>
  <si>
    <t>141600</t>
  </si>
  <si>
    <t>1155</t>
  </si>
  <si>
    <t>353腰会招破</t>
  </si>
  <si>
    <t>12254</t>
  </si>
  <si>
    <t>3301</t>
  </si>
  <si>
    <t>20148</t>
  </si>
  <si>
    <t>0.151367188</t>
  </si>
  <si>
    <t>1660</t>
  </si>
  <si>
    <t>24500</t>
  </si>
  <si>
    <t>769</t>
  </si>
  <si>
    <t>27000</t>
  </si>
  <si>
    <t>848</t>
  </si>
  <si>
    <t>29500</t>
  </si>
  <si>
    <t>926</t>
  </si>
  <si>
    <t>32000</t>
  </si>
  <si>
    <t>1005</t>
  </si>
  <si>
    <t>35000</t>
  </si>
  <si>
    <t>1099</t>
  </si>
  <si>
    <t>39750</t>
  </si>
  <si>
    <t>1241</t>
  </si>
  <si>
    <t>攻击乘算</t>
  </si>
  <si>
    <t>元君</t>
  </si>
  <si>
    <t>青梅嗅</t>
  </si>
  <si>
    <t>千里冰封</t>
  </si>
  <si>
    <t>伤春</t>
  </si>
  <si>
    <t>惊寒</t>
  </si>
  <si>
    <t>已废弃</t>
  </si>
  <si>
    <t>风舞者</t>
  </si>
  <si>
    <t>玄阙手·校服</t>
  </si>
  <si>
    <t>牧川手·校服</t>
  </si>
  <si>
    <t>牧川手·校服(破招 无双 35300)</t>
  </si>
  <si>
    <t>玄阙帽·校服</t>
  </si>
  <si>
    <t>牧川帽·校服</t>
  </si>
  <si>
    <t>牧川帽·校服(破防 无双 35300)</t>
  </si>
  <si>
    <t>玄阙鞋·校服</t>
  </si>
  <si>
    <t>牧川鞋·校服</t>
  </si>
  <si>
    <t>牧川鞋·校服(破防 无双 35300)</t>
  </si>
  <si>
    <t>玄阙腰·校服</t>
  </si>
  <si>
    <t>牧川腰·校服</t>
  </si>
  <si>
    <t>牧川腰·校服(会心 无双 35300)</t>
  </si>
  <si>
    <t>玄阙衣·校服</t>
  </si>
  <si>
    <t>牧川衣·校服</t>
  </si>
  <si>
    <t>v1.4  2026.07.13</t>
  </si>
  <si>
    <t>○同步7.13号技改内容（悟非侠提高）</t>
  </si>
  <si>
    <t>秀萝</t>
  </si>
  <si>
    <t>https://incredible-travesseiro-9c372e.netlify.app/%E7%A7%80%E8%90%9D%E5%A4%B4%E5%83%8F.png</t>
  </si>
  <si>
    <t>帽鞋</t>
  </si>
  <si>
    <t>手裤</t>
  </si>
  <si>
    <t>衣腰</t>
  </si>
  <si>
    <t>https://incredible-travesseiro-9c372e.netlify.app/%E7%A7%80%E5%A7%90%E5%A4%B4%E5%83%8F.png</t>
  </si>
  <si>
    <t>秀太</t>
  </si>
  <si>
    <t>https://incredible-travesseiro-9c372e.netlify.app/%E7%A7%80%E5%A4%AA%E5%A4%B4%E5%83%8F.png</t>
  </si>
  <si>
    <t>自定义</t>
  </si>
  <si>
    <t>占位</t>
  </si>
  <si>
    <t>挑战会心大</t>
  </si>
  <si>
    <t>挑战根骨大</t>
  </si>
  <si>
    <t>挑战攻击大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</si>
</sst>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9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0_ "/>
    <numFmt numFmtId="178" formatCode="0.00_ "/>
    <numFmt numFmtId="179" formatCode="0.000"/>
    <numFmt numFmtId="180" formatCode="0.0%"/>
  </numFmts>
  <fonts count="96">
    <font>
      <sz val="11"/>
      <color theme="1"/>
      <name val="宋体"/>
      <charset val="134"/>
      <scheme val="minor"/>
    </font>
    <font>
      <sz val="9"/>
      <color theme="1"/>
      <name val="微软雅黑"/>
      <charset val="134"/>
    </font>
    <font>
      <u/>
      <sz val="11"/>
      <color rgb="FF0000FF"/>
      <name val="宋体"/>
      <charset val="134"/>
      <scheme val="minor"/>
    </font>
    <font>
      <sz val="11"/>
      <color rgb="FF000000"/>
      <name val="宋体"/>
      <charset val="134"/>
    </font>
    <font>
      <sz val="9"/>
      <color rgb="FFFF0000"/>
      <name val="微软雅黑"/>
      <charset val="134"/>
    </font>
    <font>
      <sz val="11"/>
      <color rgb="FFF34778"/>
      <name val="宋体"/>
      <charset val="134"/>
      <scheme val="minor"/>
    </font>
    <font>
      <sz val="11"/>
      <color rgb="FFF45473"/>
      <name val="宋体"/>
      <charset val="134"/>
      <scheme val="minor"/>
    </font>
    <font>
      <sz val="11"/>
      <color rgb="FFF24E80"/>
      <name val="宋体"/>
      <charset val="134"/>
      <scheme val="minor"/>
    </font>
    <font>
      <sz val="11"/>
      <color rgb="FFFDDDE7"/>
      <name val="宋体"/>
      <charset val="134"/>
      <scheme val="minor"/>
    </font>
    <font>
      <sz val="11"/>
      <color rgb="FFFFEFF6"/>
      <name val="宋体"/>
      <charset val="134"/>
      <scheme val="minor"/>
    </font>
    <font>
      <sz val="11"/>
      <color rgb="FFFCBDD6"/>
      <name val="宋体"/>
      <charset val="134"/>
      <scheme val="minor"/>
    </font>
    <font>
      <sz val="11"/>
      <color rgb="FFFFEBEF"/>
      <name val="宋体"/>
      <charset val="134"/>
      <scheme val="minor"/>
    </font>
    <font>
      <b/>
      <sz val="9"/>
      <color rgb="FFF11D4A"/>
      <name val="微软雅黑"/>
      <charset val="134"/>
    </font>
    <font>
      <b/>
      <sz val="9"/>
      <color theme="1"/>
      <name val="微软雅黑"/>
      <charset val="134"/>
    </font>
    <font>
      <sz val="9"/>
      <name val="微软雅黑"/>
      <charset val="134"/>
    </font>
    <font>
      <sz val="9"/>
      <color rgb="FF00B0F0"/>
      <name val="微软雅黑"/>
      <charset val="134"/>
    </font>
    <font>
      <b/>
      <sz val="10"/>
      <color theme="0"/>
      <name val="微软雅黑"/>
      <charset val="134"/>
    </font>
    <font>
      <sz val="10"/>
      <color theme="1"/>
      <name val="微软雅黑"/>
      <charset val="134"/>
    </font>
    <font>
      <b/>
      <sz val="14"/>
      <color rgb="FFFAFAFA"/>
      <name val="微软雅黑"/>
      <charset val="134"/>
    </font>
    <font>
      <b/>
      <sz val="14"/>
      <color rgb="FFF45473"/>
      <name val="微软雅黑"/>
      <charset val="134"/>
    </font>
    <font>
      <b/>
      <sz val="10"/>
      <color rgb="FFF11D4A"/>
      <name val="微软雅黑"/>
      <charset val="134"/>
    </font>
    <font>
      <b/>
      <sz val="10"/>
      <color rgb="FFFD5C0C"/>
      <name val="微软雅黑"/>
      <charset val="134"/>
    </font>
    <font>
      <b/>
      <sz val="10"/>
      <color rgb="FFF45473"/>
      <name val="微软雅黑"/>
      <charset val="134"/>
    </font>
    <font>
      <b/>
      <sz val="10"/>
      <color theme="0" tint="-0.499984740745262"/>
      <name val="微软雅黑"/>
      <charset val="134"/>
    </font>
    <font>
      <b/>
      <sz val="10"/>
      <color theme="1"/>
      <name val="微软雅黑"/>
      <charset val="134"/>
    </font>
    <font>
      <b/>
      <sz val="18"/>
      <color rgb="FFF44E4E"/>
      <name val="微软雅黑"/>
      <charset val="134"/>
    </font>
    <font>
      <b/>
      <sz val="10"/>
      <color theme="0" tint="-0.249977111117893"/>
      <name val="微软雅黑"/>
      <charset val="134"/>
    </font>
    <font>
      <b/>
      <sz val="14"/>
      <color rgb="FFF44E4E"/>
      <name val="微软雅黑"/>
      <charset val="134"/>
    </font>
    <font>
      <sz val="9"/>
      <color rgb="FFF45473"/>
      <name val="微软雅黑"/>
      <charset val="134"/>
    </font>
    <font>
      <b/>
      <sz val="10"/>
      <color rgb="FFF66E6E"/>
      <name val="微软雅黑"/>
      <charset val="134"/>
    </font>
    <font>
      <b/>
      <sz val="10"/>
      <color rgb="FF00B0F0"/>
      <name val="微软雅黑"/>
      <charset val="134"/>
    </font>
    <font>
      <sz val="10"/>
      <color rgb="FFFF0000"/>
      <name val="微软雅黑"/>
      <charset val="134"/>
    </font>
    <font>
      <u/>
      <sz val="10"/>
      <color rgb="FF0070C0"/>
      <name val="微软雅黑"/>
      <charset val="134"/>
    </font>
    <font>
      <b/>
      <sz val="10"/>
      <color rgb="FF0070C0"/>
      <name val="微软雅黑"/>
      <charset val="134"/>
    </font>
    <font>
      <sz val="10"/>
      <color theme="0" tint="-0.349986266670736"/>
      <name val="微软雅黑"/>
      <charset val="134"/>
    </font>
    <font>
      <b/>
      <sz val="10"/>
      <color theme="3" tint="0.396649067659536"/>
      <name val="微软雅黑"/>
      <charset val="134"/>
    </font>
    <font>
      <b/>
      <sz val="10"/>
      <color rgb="FFF56584"/>
      <name val="微软雅黑"/>
      <charset val="134"/>
    </font>
    <font>
      <sz val="10"/>
      <color rgb="FFF45473"/>
      <name val="微软雅黑"/>
      <charset val="134"/>
    </font>
    <font>
      <b/>
      <sz val="10"/>
      <color rgb="FFF33939"/>
      <name val="微软雅黑"/>
      <charset val="134"/>
    </font>
    <font>
      <sz val="9"/>
      <color rgb="FFF44E4E"/>
      <name val="微软雅黑"/>
      <charset val="134"/>
    </font>
    <font>
      <u/>
      <sz val="9"/>
      <color rgb="FF0070C0"/>
      <name val="微软雅黑"/>
      <charset val="134"/>
    </font>
    <font>
      <b/>
      <sz val="9"/>
      <color rgb="FF00B0F0"/>
      <name val="微软雅黑"/>
      <charset val="134"/>
    </font>
    <font>
      <sz val="8"/>
      <color theme="0" tint="-0.249977111117893"/>
      <name val="微软雅黑"/>
      <charset val="134"/>
    </font>
    <font>
      <sz val="8"/>
      <color rgb="FF00B0F0"/>
      <name val="微软雅黑"/>
      <charset val="134"/>
    </font>
    <font>
      <b/>
      <sz val="9"/>
      <color rgb="FFF45473"/>
      <name val="微软雅黑"/>
      <charset val="134"/>
    </font>
    <font>
      <b/>
      <sz val="9"/>
      <color theme="3" tint="0.396649067659536"/>
      <name val="微软雅黑"/>
      <charset val="134"/>
    </font>
    <font>
      <b/>
      <sz val="11"/>
      <color theme="0" tint="-0.349986266670736"/>
      <name val="微软雅黑"/>
      <charset val="134"/>
    </font>
    <font>
      <b/>
      <sz val="8"/>
      <color theme="0" tint="-0.249977111117893"/>
      <name val="微软雅黑"/>
      <charset val="134"/>
    </font>
    <font>
      <b/>
      <sz val="10"/>
      <color theme="0" tint="-0.349986266670736"/>
      <name val="微软雅黑"/>
      <charset val="134"/>
    </font>
    <font>
      <b/>
      <sz val="12"/>
      <color theme="0" tint="-0.349986266670736"/>
      <name val="微软雅黑"/>
      <charset val="134"/>
    </font>
    <font>
      <b/>
      <sz val="12"/>
      <color rgb="FFF45473"/>
      <name val="微软雅黑"/>
      <charset val="134"/>
    </font>
    <font>
      <b/>
      <sz val="12"/>
      <color rgb="FFF66E6E"/>
      <name val="微软雅黑"/>
      <charset val="134"/>
    </font>
    <font>
      <sz val="10"/>
      <color theme="0" tint="-0.499984740745262"/>
      <name val="微软雅黑"/>
      <charset val="134"/>
    </font>
    <font>
      <b/>
      <sz val="20"/>
      <color rgb="FFF45473"/>
      <name val="微软雅黑"/>
      <charset val="134"/>
    </font>
    <font>
      <b/>
      <sz val="10"/>
      <color rgb="FFF56991"/>
      <name val="微软雅黑"/>
      <charset val="134"/>
    </font>
    <font>
      <sz val="9"/>
      <color theme="0" tint="-0.499984740745262"/>
      <name val="微软雅黑"/>
      <charset val="134"/>
    </font>
    <font>
      <b/>
      <sz val="12"/>
      <color rgb="FFF34778"/>
      <name val="微软雅黑"/>
      <charset val="134"/>
    </font>
    <font>
      <b/>
      <sz val="10"/>
      <color rgb="FF808080"/>
      <name val="微软雅黑"/>
      <charset val="134"/>
    </font>
    <font>
      <b/>
      <sz val="11"/>
      <color rgb="FFF34778"/>
      <name val="微软雅黑"/>
      <charset val="134"/>
    </font>
    <font>
      <b/>
      <sz val="11"/>
      <color theme="1"/>
      <name val="微软雅黑"/>
      <charset val="134"/>
    </font>
    <font>
      <sz val="10"/>
      <color rgb="FFF05E8B"/>
      <name val="微软雅黑"/>
      <charset val="134"/>
    </font>
    <font>
      <sz val="10"/>
      <color rgb="FFF24E80"/>
      <name val="微软雅黑"/>
      <charset val="134"/>
    </font>
    <font>
      <b/>
      <sz val="10"/>
      <color theme="3" tint="0.399334696493423"/>
      <name val="微软雅黑"/>
      <charset val="134"/>
    </font>
    <font>
      <sz val="11"/>
      <color theme="3" tint="0.399914548173467"/>
      <name val="宋体"/>
      <charset val="134"/>
      <scheme val="minor"/>
    </font>
    <font>
      <sz val="11"/>
      <color theme="3" tint="0.599993896298105"/>
      <name val="宋体"/>
      <charset val="134"/>
      <scheme val="minor"/>
    </font>
    <font>
      <sz val="11"/>
      <color theme="3" tint="0.799920651875362"/>
      <name val="宋体"/>
      <charset val="134"/>
      <scheme val="minor"/>
    </font>
    <font>
      <sz val="11"/>
      <color theme="4" tint="0.799920651875362"/>
      <name val="宋体"/>
      <charset val="134"/>
      <scheme val="minor"/>
    </font>
    <font>
      <sz val="11"/>
      <color theme="1"/>
      <name val="微软雅黑"/>
      <charset val="134"/>
    </font>
    <font>
      <sz val="26"/>
      <color rgb="FFF33939"/>
      <name val="微软雅黑"/>
      <charset val="134"/>
    </font>
    <font>
      <sz val="18"/>
      <color rgb="FFF44E4E"/>
      <name val="微软雅黑"/>
      <charset val="134"/>
    </font>
    <font>
      <sz val="26"/>
      <color rgb="FFF44E4E"/>
      <name val="微软雅黑"/>
      <charset val="134"/>
    </font>
    <font>
      <sz val="11"/>
      <color rgb="FFF44E4E"/>
      <name val="微软雅黑"/>
      <charset val="134"/>
    </font>
    <font>
      <sz val="11"/>
      <color rgb="FFF66E6E"/>
      <name val="微软雅黑"/>
      <charset val="134"/>
    </font>
    <font>
      <sz val="11"/>
      <color rgb="FFF89696"/>
      <name val="微软雅黑"/>
      <charset val="134"/>
    </font>
    <font>
      <sz val="11"/>
      <color rgb="FFF33939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0"/>
      <color theme="0" tint="-0.499984740745262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3" tint="0.799340800195319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0"/>
        <bgColor indexed="64"/>
      </patternFill>
    </fill>
    <fill>
      <patternFill patternType="solid">
        <fgColor rgb="FFF45473"/>
        <bgColor indexed="64"/>
      </patternFill>
    </fill>
    <fill>
      <patternFill patternType="solid">
        <fgColor rgb="FFFEE3E9"/>
        <bgColor indexed="64"/>
      </patternFill>
    </fill>
    <fill>
      <patternFill patternType="solid">
        <fgColor rgb="FFFFF4F6"/>
        <bgColor indexed="64"/>
      </patternFill>
    </fill>
    <fill>
      <patternFill patternType="solid">
        <fgColor rgb="FFFDE4E3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FF6"/>
        <bgColor indexed="64"/>
      </patternFill>
    </fill>
    <fill>
      <patternFill patternType="solid">
        <fgColor rgb="FFFFF9FB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53">
    <border>
      <left/>
      <right/>
      <top/>
      <bottom/>
      <diagonal/>
    </border>
    <border>
      <left style="thin">
        <color rgb="FFFBCBC9"/>
      </left>
      <right/>
      <top/>
      <bottom/>
      <diagonal/>
    </border>
    <border>
      <left style="thin">
        <color rgb="FFFDE3E3"/>
      </left>
      <right/>
      <top/>
      <bottom/>
      <diagonal/>
    </border>
    <border>
      <left/>
      <right style="thin">
        <color rgb="FFFDE3E3"/>
      </right>
      <top style="thin">
        <color rgb="FFFDE4E3"/>
      </top>
      <bottom/>
      <diagonal/>
    </border>
    <border>
      <left style="thin">
        <color rgb="FFFDE4E3"/>
      </left>
      <right/>
      <top/>
      <bottom/>
      <diagonal/>
    </border>
    <border>
      <left/>
      <right style="thin">
        <color rgb="FFFDE4E3"/>
      </right>
      <top/>
      <bottom/>
      <diagonal/>
    </border>
    <border>
      <left/>
      <right style="thin">
        <color rgb="FFFDE3E3"/>
      </right>
      <top/>
      <bottom/>
      <diagonal/>
    </border>
    <border>
      <left/>
      <right style="thin">
        <color rgb="FFFBCBC9"/>
      </right>
      <top/>
      <bottom/>
      <diagonal/>
    </border>
    <border>
      <left style="thin">
        <color rgb="FFFBCBC9"/>
      </left>
      <right/>
      <top/>
      <bottom style="thin">
        <color rgb="FFFBCBC9"/>
      </bottom>
      <diagonal/>
    </border>
    <border>
      <left/>
      <right/>
      <top/>
      <bottom style="thin">
        <color rgb="FFFBCBC9"/>
      </bottom>
      <diagonal/>
    </border>
    <border>
      <left style="thin">
        <color rgb="FFFDE4E3"/>
      </left>
      <right/>
      <top/>
      <bottom style="thin">
        <color rgb="FFFBCBC9"/>
      </bottom>
      <diagonal/>
    </border>
    <border>
      <left/>
      <right style="thin">
        <color rgb="FFFDE4E3"/>
      </right>
      <top/>
      <bottom style="thin">
        <color rgb="FFFBCBC9"/>
      </bottom>
      <diagonal/>
    </border>
    <border>
      <left/>
      <right/>
      <top/>
      <bottom style="thin">
        <color rgb="FFFCD0DA"/>
      </bottom>
      <diagonal/>
    </border>
    <border>
      <left style="thin">
        <color rgb="FFFCD0DA"/>
      </left>
      <right/>
      <top/>
      <bottom/>
      <diagonal/>
    </border>
    <border>
      <left/>
      <right/>
      <top style="thin">
        <color rgb="FFFBCBC9"/>
      </top>
      <bottom/>
      <diagonal/>
    </border>
    <border>
      <left style="thin">
        <color rgb="FFFBCBC9"/>
      </left>
      <right/>
      <top style="thin">
        <color rgb="FFFBCBC9"/>
      </top>
      <bottom/>
      <diagonal/>
    </border>
    <border>
      <left style="thin">
        <color rgb="FFF89696"/>
      </left>
      <right/>
      <top style="thin">
        <color rgb="FFFBCBC9"/>
      </top>
      <bottom/>
      <diagonal/>
    </border>
    <border>
      <left style="thin">
        <color rgb="FFFDE4E3"/>
      </left>
      <right/>
      <top style="thin">
        <color rgb="FFFBCBC9"/>
      </top>
      <bottom/>
      <diagonal/>
    </border>
    <border>
      <left/>
      <right style="thin">
        <color rgb="FFFDE3E3"/>
      </right>
      <top style="thin">
        <color rgb="FFFBCBC9"/>
      </top>
      <bottom/>
      <diagonal/>
    </border>
    <border>
      <left/>
      <right style="thin">
        <color rgb="FFFDE3E3"/>
      </right>
      <top/>
      <bottom style="thin">
        <color rgb="FFFCD0DA"/>
      </bottom>
      <diagonal/>
    </border>
    <border>
      <left style="thin">
        <color rgb="FFFCD0DA"/>
      </left>
      <right/>
      <top/>
      <bottom style="thin">
        <color rgb="FFFCD0DA"/>
      </bottom>
      <diagonal/>
    </border>
    <border>
      <left style="thin">
        <color rgb="FFFEEDED"/>
      </left>
      <right/>
      <top/>
      <bottom/>
      <diagonal/>
    </border>
    <border>
      <left/>
      <right/>
      <top/>
      <bottom style="thin">
        <color rgb="FFFDE4E3"/>
      </bottom>
      <diagonal/>
    </border>
    <border>
      <left/>
      <right style="thin">
        <color rgb="FFFDE4E3"/>
      </right>
      <top/>
      <bottom style="thin">
        <color rgb="FFFDE4E3"/>
      </bottom>
      <diagonal/>
    </border>
    <border>
      <left style="thin">
        <color rgb="FFFDE4E3"/>
      </left>
      <right/>
      <top/>
      <bottom style="thin">
        <color rgb="FFFDE4E3"/>
      </bottom>
      <diagonal/>
    </border>
    <border>
      <left style="thin">
        <color rgb="FFFDE4E3"/>
      </left>
      <right style="thin">
        <color rgb="FFFDE4E3"/>
      </right>
      <top style="thin">
        <color rgb="FFFDE4E3"/>
      </top>
      <bottom/>
      <diagonal/>
    </border>
    <border>
      <left/>
      <right/>
      <top style="thin">
        <color rgb="FFFDE4E3"/>
      </top>
      <bottom/>
      <diagonal/>
    </border>
    <border>
      <left style="thin">
        <color rgb="FFFDE4E3"/>
      </left>
      <right style="thin">
        <color rgb="FFFDE4E3"/>
      </right>
      <top style="thin">
        <color rgb="FFFDE4E3"/>
      </top>
      <bottom style="thin">
        <color rgb="FFFDE4E3"/>
      </bottom>
      <diagonal/>
    </border>
    <border>
      <left/>
      <right/>
      <top style="thin">
        <color rgb="FFFDE4E3"/>
      </top>
      <bottom style="thin">
        <color rgb="FFFDE4E3"/>
      </bottom>
      <diagonal/>
    </border>
    <border>
      <left/>
      <right style="thin">
        <color rgb="FFFDE4E3"/>
      </right>
      <top style="thin">
        <color rgb="FFFDE4E3"/>
      </top>
      <bottom style="thin">
        <color rgb="FFFDE4E3"/>
      </bottom>
      <diagonal/>
    </border>
    <border>
      <left/>
      <right style="thin">
        <color rgb="FFFDE4E3"/>
      </right>
      <top style="thin">
        <color rgb="FFFDE4E3"/>
      </top>
      <bottom/>
      <diagonal/>
    </border>
    <border>
      <left style="thin">
        <color rgb="FFFDE4E3"/>
      </left>
      <right/>
      <top style="thin">
        <color rgb="FFFDE4E3"/>
      </top>
      <bottom/>
      <diagonal/>
    </border>
    <border>
      <left/>
      <right style="thin">
        <color rgb="FFFBCBC9"/>
      </right>
      <top style="thin">
        <color rgb="FFFBCBC9"/>
      </top>
      <bottom/>
      <diagonal/>
    </border>
    <border>
      <left/>
      <right style="thin">
        <color rgb="FFFBCBC9"/>
      </right>
      <top/>
      <bottom style="thin">
        <color rgb="FFFBCBC9"/>
      </bottom>
      <diagonal/>
    </border>
    <border>
      <left style="thin">
        <color rgb="FFF34778"/>
      </left>
      <right/>
      <top style="thin">
        <color rgb="FFF34778"/>
      </top>
      <bottom/>
      <diagonal/>
    </border>
    <border>
      <left/>
      <right/>
      <top style="thin">
        <color rgb="FFF34778"/>
      </top>
      <bottom/>
      <diagonal/>
    </border>
    <border>
      <left/>
      <right style="thin">
        <color rgb="FFF34778"/>
      </right>
      <top style="thin">
        <color rgb="FFF34778"/>
      </top>
      <bottom/>
      <diagonal/>
    </border>
    <border>
      <left style="thin">
        <color rgb="FFF34778"/>
      </left>
      <right/>
      <top/>
      <bottom/>
      <diagonal/>
    </border>
    <border>
      <left/>
      <right style="thin">
        <color rgb="FFF34778"/>
      </right>
      <top/>
      <bottom/>
      <diagonal/>
    </border>
    <border>
      <left style="thin">
        <color rgb="FFF34778"/>
      </left>
      <right/>
      <top/>
      <bottom style="thin">
        <color rgb="FFF34778"/>
      </bottom>
      <diagonal/>
    </border>
    <border>
      <left/>
      <right/>
      <top/>
      <bottom style="thin">
        <color rgb="FFF34778"/>
      </bottom>
      <diagonal/>
    </border>
    <border>
      <left/>
      <right style="thin">
        <color rgb="FFF34778"/>
      </right>
      <top/>
      <bottom style="thin">
        <color rgb="FFF34778"/>
      </bottom>
      <diagonal/>
    </border>
    <border>
      <left/>
      <right/>
      <top style="thin">
        <color rgb="FFFDDBE5"/>
      </top>
      <bottom/>
      <diagonal/>
    </border>
    <border>
      <left/>
      <right style="thin">
        <color rgb="FFFDDBE5"/>
      </right>
      <top style="thin">
        <color rgb="FFFDDBE5"/>
      </top>
      <bottom/>
      <diagonal/>
    </border>
    <border>
      <left/>
      <right style="thin">
        <color rgb="FFFDDBE5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75" fillId="0" borderId="0" applyNumberFormat="0" applyFill="0" applyBorder="0" applyAlignment="0" applyProtection="0">
      <alignment vertical="center"/>
    </xf>
    <xf numFmtId="0" fontId="0" fillId="18" borderId="45" applyNumberFormat="0" applyFont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9" fillId="0" borderId="46" applyNumberFormat="0" applyFill="0" applyAlignment="0" applyProtection="0">
      <alignment vertical="center"/>
    </xf>
    <xf numFmtId="0" fontId="80" fillId="0" borderId="46" applyNumberFormat="0" applyFill="0" applyAlignment="0" applyProtection="0">
      <alignment vertical="center"/>
    </xf>
    <xf numFmtId="0" fontId="81" fillId="0" borderId="47" applyNumberFormat="0" applyFill="0" applyAlignment="0" applyProtection="0">
      <alignment vertical="center"/>
    </xf>
    <xf numFmtId="0" fontId="81" fillId="0" borderId="0" applyNumberFormat="0" applyFill="0" applyBorder="0" applyAlignment="0" applyProtection="0">
      <alignment vertical="center"/>
    </xf>
    <xf numFmtId="0" fontId="82" fillId="19" borderId="48" applyNumberFormat="0" applyAlignment="0" applyProtection="0">
      <alignment vertical="center"/>
    </xf>
    <xf numFmtId="0" fontId="83" fillId="20" borderId="49" applyNumberFormat="0" applyAlignment="0" applyProtection="0">
      <alignment vertical="center"/>
    </xf>
    <xf numFmtId="0" fontId="84" fillId="20" borderId="48" applyNumberFormat="0" applyAlignment="0" applyProtection="0">
      <alignment vertical="center"/>
    </xf>
    <xf numFmtId="0" fontId="85" fillId="21" borderId="50" applyNumberFormat="0" applyAlignment="0" applyProtection="0">
      <alignment vertical="center"/>
    </xf>
    <xf numFmtId="0" fontId="86" fillId="0" borderId="51" applyNumberFormat="0" applyFill="0" applyAlignment="0" applyProtection="0">
      <alignment vertical="center"/>
    </xf>
    <xf numFmtId="0" fontId="87" fillId="0" borderId="52" applyNumberFormat="0" applyFill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9" fillId="23" borderId="0" applyNumberFormat="0" applyBorder="0" applyAlignment="0" applyProtection="0">
      <alignment vertical="center"/>
    </xf>
    <xf numFmtId="0" fontId="90" fillId="24" borderId="0" applyNumberFormat="0" applyBorder="0" applyAlignment="0" applyProtection="0">
      <alignment vertical="center"/>
    </xf>
    <xf numFmtId="0" fontId="91" fillId="25" borderId="0" applyNumberFormat="0" applyBorder="0" applyAlignment="0" applyProtection="0">
      <alignment vertical="center"/>
    </xf>
    <xf numFmtId="0" fontId="92" fillId="26" borderId="0" applyNumberFormat="0" applyBorder="0" applyAlignment="0" applyProtection="0">
      <alignment vertical="center"/>
    </xf>
    <xf numFmtId="0" fontId="92" fillId="27" borderId="0" applyNumberFormat="0" applyBorder="0" applyAlignment="0" applyProtection="0">
      <alignment vertical="center"/>
    </xf>
    <xf numFmtId="0" fontId="91" fillId="28" borderId="0" applyNumberFormat="0" applyBorder="0" applyAlignment="0" applyProtection="0">
      <alignment vertical="center"/>
    </xf>
    <xf numFmtId="0" fontId="91" fillId="29" borderId="0" applyNumberFormat="0" applyBorder="0" applyAlignment="0" applyProtection="0">
      <alignment vertical="center"/>
    </xf>
    <xf numFmtId="0" fontId="92" fillId="30" borderId="0" applyNumberFormat="0" applyBorder="0" applyAlignment="0" applyProtection="0">
      <alignment vertical="center"/>
    </xf>
    <xf numFmtId="0" fontId="92" fillId="31" borderId="0" applyNumberFormat="0" applyBorder="0" applyAlignment="0" applyProtection="0">
      <alignment vertical="center"/>
    </xf>
    <xf numFmtId="0" fontId="91" fillId="32" borderId="0" applyNumberFormat="0" applyBorder="0" applyAlignment="0" applyProtection="0">
      <alignment vertical="center"/>
    </xf>
    <xf numFmtId="0" fontId="91" fillId="33" borderId="0" applyNumberFormat="0" applyBorder="0" applyAlignment="0" applyProtection="0">
      <alignment vertical="center"/>
    </xf>
    <xf numFmtId="0" fontId="92" fillId="34" borderId="0" applyNumberFormat="0" applyBorder="0" applyAlignment="0" applyProtection="0">
      <alignment vertical="center"/>
    </xf>
    <xf numFmtId="0" fontId="92" fillId="35" borderId="0" applyNumberFormat="0" applyBorder="0" applyAlignment="0" applyProtection="0">
      <alignment vertical="center"/>
    </xf>
    <xf numFmtId="0" fontId="91" fillId="36" borderId="0" applyNumberFormat="0" applyBorder="0" applyAlignment="0" applyProtection="0">
      <alignment vertical="center"/>
    </xf>
    <xf numFmtId="0" fontId="91" fillId="37" borderId="0" applyNumberFormat="0" applyBorder="0" applyAlignment="0" applyProtection="0">
      <alignment vertical="center"/>
    </xf>
    <xf numFmtId="0" fontId="92" fillId="38" borderId="0" applyNumberFormat="0" applyBorder="0" applyAlignment="0" applyProtection="0">
      <alignment vertical="center"/>
    </xf>
    <xf numFmtId="0" fontId="92" fillId="39" borderId="0" applyNumberFormat="0" applyBorder="0" applyAlignment="0" applyProtection="0">
      <alignment vertical="center"/>
    </xf>
    <xf numFmtId="0" fontId="91" fillId="40" borderId="0" applyNumberFormat="0" applyBorder="0" applyAlignment="0" applyProtection="0">
      <alignment vertical="center"/>
    </xf>
    <xf numFmtId="0" fontId="91" fillId="41" borderId="0" applyNumberFormat="0" applyBorder="0" applyAlignment="0" applyProtection="0">
      <alignment vertical="center"/>
    </xf>
    <xf numFmtId="0" fontId="92" fillId="42" borderId="0" applyNumberFormat="0" applyBorder="0" applyAlignment="0" applyProtection="0">
      <alignment vertical="center"/>
    </xf>
    <xf numFmtId="0" fontId="92" fillId="43" borderId="0" applyNumberFormat="0" applyBorder="0" applyAlignment="0" applyProtection="0">
      <alignment vertical="center"/>
    </xf>
    <xf numFmtId="0" fontId="91" fillId="44" borderId="0" applyNumberFormat="0" applyBorder="0" applyAlignment="0" applyProtection="0">
      <alignment vertical="center"/>
    </xf>
    <xf numFmtId="0" fontId="91" fillId="45" borderId="0" applyNumberFormat="0" applyBorder="0" applyAlignment="0" applyProtection="0">
      <alignment vertical="center"/>
    </xf>
    <xf numFmtId="0" fontId="92" fillId="46" borderId="0" applyNumberFormat="0" applyBorder="0" applyAlignment="0" applyProtection="0">
      <alignment vertical="center"/>
    </xf>
    <xf numFmtId="0" fontId="92" fillId="47" borderId="0" applyNumberFormat="0" applyBorder="0" applyAlignment="0" applyProtection="0">
      <alignment vertical="center"/>
    </xf>
    <xf numFmtId="0" fontId="91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11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NumberFormat="1" applyFont="1">
      <alignment vertical="center"/>
    </xf>
    <xf numFmtId="0" fontId="2" fillId="0" borderId="0" xfId="6">
      <alignment vertical="center"/>
    </xf>
    <xf numFmtId="0" fontId="1" fillId="0" borderId="0" xfId="50" applyFont="1">
      <alignment vertical="center"/>
    </xf>
    <xf numFmtId="176" fontId="1" fillId="0" borderId="0" xfId="0" applyNumberFormat="1" applyFont="1">
      <alignment vertical="center"/>
    </xf>
    <xf numFmtId="0" fontId="1" fillId="0" borderId="0" xfId="0" applyNumberFormat="1" applyFont="1" applyAlignment="1">
      <alignment vertical="center" wrapTex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 applyProtection="1">
      <alignment vertical="center"/>
      <protection hidden="1"/>
    </xf>
    <xf numFmtId="0" fontId="5" fillId="2" borderId="0" xfId="0" applyFont="1" applyFill="1" applyProtection="1">
      <alignment vertical="center"/>
      <protection hidden="1"/>
    </xf>
    <xf numFmtId="0" fontId="6" fillId="2" borderId="0" xfId="0" applyFont="1" applyFill="1" applyProtection="1">
      <alignment vertical="center"/>
      <protection hidden="1"/>
    </xf>
    <xf numFmtId="0" fontId="1" fillId="0" borderId="0" xfId="0" applyFont="1" applyAlignment="1">
      <alignment vertical="center" wrapText="1"/>
    </xf>
    <xf numFmtId="0" fontId="7" fillId="2" borderId="0" xfId="0" applyFont="1" applyFill="1" applyProtection="1">
      <alignment vertical="center"/>
      <protection hidden="1"/>
    </xf>
    <xf numFmtId="0" fontId="8" fillId="2" borderId="0" xfId="0" applyFont="1" applyFill="1" applyProtection="1">
      <alignment vertical="center"/>
      <protection hidden="1"/>
    </xf>
    <xf numFmtId="0" fontId="9" fillId="2" borderId="0" xfId="0" applyFont="1" applyFill="1" applyProtection="1">
      <alignment vertical="center"/>
      <protection hidden="1"/>
    </xf>
    <xf numFmtId="0" fontId="10" fillId="2" borderId="0" xfId="0" applyFont="1" applyFill="1" applyProtection="1">
      <alignment vertical="center"/>
      <protection hidden="1"/>
    </xf>
    <xf numFmtId="0" fontId="11" fillId="2" borderId="0" xfId="0" applyFont="1" applyFill="1" applyProtection="1">
      <alignment vertical="center"/>
      <protection hidden="1"/>
    </xf>
    <xf numFmtId="0" fontId="1" fillId="3" borderId="0" xfId="0" applyFont="1" applyFill="1">
      <alignment vertical="center"/>
    </xf>
    <xf numFmtId="0" fontId="12" fillId="0" borderId="0" xfId="0" applyFont="1">
      <alignment vertical="center"/>
    </xf>
    <xf numFmtId="177" fontId="1" fillId="0" borderId="0" xfId="0" applyNumberFormat="1" applyFont="1">
      <alignment vertical="center"/>
    </xf>
    <xf numFmtId="10" fontId="1" fillId="0" borderId="0" xfId="3" applyNumberFormat="1" applyFont="1" applyAlignment="1">
      <alignment vertical="center"/>
    </xf>
    <xf numFmtId="0" fontId="1" fillId="0" borderId="0" xfId="3" applyNumberFormat="1" applyFont="1" applyFill="1" applyBorder="1" applyAlignment="1" applyProtection="1">
      <alignment vertical="center"/>
    </xf>
    <xf numFmtId="10" fontId="1" fillId="0" borderId="0" xfId="3" applyNumberFormat="1" applyFont="1">
      <alignment vertical="center"/>
    </xf>
    <xf numFmtId="177" fontId="13" fillId="0" borderId="0" xfId="0" applyNumberFormat="1" applyFont="1">
      <alignment vertical="center"/>
    </xf>
    <xf numFmtId="10" fontId="14" fillId="0" borderId="0" xfId="3" applyNumberFormat="1" applyFont="1">
      <alignment vertical="center"/>
    </xf>
    <xf numFmtId="177" fontId="1" fillId="0" borderId="0" xfId="3" applyNumberFormat="1" applyFont="1">
      <alignment vertical="center"/>
    </xf>
    <xf numFmtId="9" fontId="1" fillId="0" borderId="0" xfId="3" applyFont="1">
      <alignment vertical="center"/>
    </xf>
    <xf numFmtId="177" fontId="1" fillId="0" borderId="0" xfId="0" applyNumberFormat="1" applyFont="1" applyAlignment="1">
      <alignment vertical="center" wrapText="1"/>
    </xf>
    <xf numFmtId="178" fontId="1" fillId="0" borderId="0" xfId="3" applyNumberFormat="1" applyFont="1">
      <alignment vertical="center"/>
    </xf>
    <xf numFmtId="178" fontId="1" fillId="0" borderId="0" xfId="0" applyNumberFormat="1" applyFont="1">
      <alignment vertical="center"/>
    </xf>
    <xf numFmtId="10" fontId="1" fillId="0" borderId="0" xfId="3" applyNumberFormat="1" applyFont="1" applyAlignment="1">
      <alignment horizontal="center" vertical="center"/>
    </xf>
    <xf numFmtId="177" fontId="1" fillId="0" borderId="0" xfId="3" applyNumberFormat="1" applyFont="1" applyAlignment="1">
      <alignment horizontal="center" vertical="center"/>
    </xf>
    <xf numFmtId="10" fontId="1" fillId="0" borderId="0" xfId="0" applyNumberFormat="1" applyFont="1" applyAlignment="1">
      <alignment vertical="center" wrapText="1"/>
    </xf>
    <xf numFmtId="0" fontId="1" fillId="0" borderId="0" xfId="3" applyNumberFormat="1" applyFont="1">
      <alignment vertical="center"/>
    </xf>
    <xf numFmtId="0" fontId="1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2" fontId="1" fillId="0" borderId="0" xfId="0" applyNumberFormat="1" applyFont="1">
      <alignment vertical="center"/>
    </xf>
    <xf numFmtId="0" fontId="15" fillId="0" borderId="0" xfId="0" applyFont="1">
      <alignment vertical="center"/>
    </xf>
    <xf numFmtId="10" fontId="1" fillId="0" borderId="0" xfId="3" applyNumberFormat="1" applyFont="1" applyAlignment="1">
      <alignment vertical="center" wrapText="1"/>
    </xf>
    <xf numFmtId="179" fontId="1" fillId="0" borderId="0" xfId="0" applyNumberFormat="1" applyFont="1" applyAlignment="1">
      <alignment vertical="center" wrapText="1"/>
    </xf>
    <xf numFmtId="10" fontId="1" fillId="4" borderId="0" xfId="3" applyNumberFormat="1" applyFont="1" applyFill="1">
      <alignment vertical="center"/>
    </xf>
    <xf numFmtId="10" fontId="1" fillId="4" borderId="0" xfId="3" applyNumberFormat="1" applyFont="1" applyFill="1" applyAlignment="1">
      <alignment vertical="center" wrapText="1"/>
    </xf>
    <xf numFmtId="0" fontId="1" fillId="5" borderId="0" xfId="0" applyFont="1" applyFill="1" applyAlignment="1">
      <alignment vertical="center" wrapText="1"/>
    </xf>
    <xf numFmtId="177" fontId="1" fillId="5" borderId="0" xfId="0" applyNumberFormat="1" applyFont="1" applyFill="1" applyAlignment="1">
      <alignment vertical="center" wrapText="1"/>
    </xf>
    <xf numFmtId="179" fontId="1" fillId="5" borderId="0" xfId="0" applyNumberFormat="1" applyFont="1" applyFill="1" applyAlignment="1">
      <alignment vertical="center" wrapText="1"/>
    </xf>
    <xf numFmtId="0" fontId="1" fillId="5" borderId="0" xfId="0" applyFont="1" applyFill="1">
      <alignment vertical="center"/>
    </xf>
    <xf numFmtId="10" fontId="1" fillId="0" borderId="0" xfId="3" applyNumberFormat="1" applyFont="1" applyFill="1">
      <alignment vertical="center"/>
    </xf>
    <xf numFmtId="0" fontId="1" fillId="3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0" fontId="0" fillId="0" borderId="0" xfId="3" applyNumberFormat="1" applyFont="1">
      <alignment vertical="center"/>
    </xf>
    <xf numFmtId="9" fontId="1" fillId="0" borderId="0" xfId="3" applyFont="1" applyAlignment="1">
      <alignment vertical="center" wrapText="1"/>
    </xf>
    <xf numFmtId="9" fontId="1" fillId="6" borderId="0" xfId="3" applyFont="1" applyFill="1" applyBorder="1" applyAlignment="1" applyProtection="1">
      <alignment vertical="center"/>
    </xf>
    <xf numFmtId="9" fontId="1" fillId="6" borderId="0" xfId="3" applyFont="1" applyFill="1" applyAlignment="1" applyProtection="1">
      <alignment vertical="center"/>
    </xf>
    <xf numFmtId="9" fontId="1" fillId="6" borderId="0" xfId="3" applyFont="1" applyFill="1">
      <alignment vertical="center"/>
    </xf>
    <xf numFmtId="9" fontId="1" fillId="0" borderId="0" xfId="3" applyFont="1" applyFill="1" applyBorder="1" applyAlignment="1" applyProtection="1">
      <alignment vertical="center"/>
    </xf>
    <xf numFmtId="0" fontId="1" fillId="0" borderId="0" xfId="0" applyFont="1" applyAlignment="1">
      <alignment horizontal="right" vertical="center"/>
    </xf>
    <xf numFmtId="0" fontId="14" fillId="3" borderId="0" xfId="0" applyFont="1" applyFill="1" applyAlignment="1">
      <alignment vertical="center" wrapText="1"/>
    </xf>
    <xf numFmtId="177" fontId="14" fillId="3" borderId="0" xfId="0" applyNumberFormat="1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177" fontId="1" fillId="0" borderId="0" xfId="0" applyNumberFormat="1" applyFont="1" applyAlignment="1" applyProtection="1">
      <alignment vertical="center" wrapText="1"/>
      <protection hidden="1"/>
    </xf>
    <xf numFmtId="0" fontId="1" fillId="0" borderId="0" xfId="0" applyFont="1" applyAlignment="1" applyProtection="1">
      <alignment horizontal="right" vertical="center" wrapText="1"/>
      <protection hidden="1"/>
    </xf>
    <xf numFmtId="0" fontId="1" fillId="0" borderId="0" xfId="0" applyFont="1" applyAlignment="1" applyProtection="1">
      <alignment vertical="center" wrapText="1"/>
      <protection hidden="1"/>
    </xf>
    <xf numFmtId="10" fontId="14" fillId="0" borderId="0" xfId="0" applyNumberFormat="1" applyFont="1" applyAlignment="1" applyProtection="1">
      <alignment vertical="center" wrapText="1"/>
      <protection hidden="1"/>
    </xf>
    <xf numFmtId="10" fontId="1" fillId="0" borderId="0" xfId="3" applyNumberFormat="1" applyFont="1" applyAlignment="1" applyProtection="1">
      <alignment horizontal="right" vertical="center" wrapText="1"/>
      <protection hidden="1"/>
    </xf>
    <xf numFmtId="0" fontId="14" fillId="0" borderId="0" xfId="3" applyNumberFormat="1" applyFont="1" applyAlignment="1" applyProtection="1">
      <alignment horizontal="right" vertical="center" wrapText="1"/>
      <protection hidden="1"/>
    </xf>
    <xf numFmtId="10" fontId="1" fillId="0" borderId="0" xfId="0" applyNumberFormat="1" applyFont="1" applyAlignment="1" applyProtection="1">
      <alignment horizontal="right" vertical="center" wrapText="1"/>
      <protection hidden="1"/>
    </xf>
    <xf numFmtId="0" fontId="14" fillId="0" borderId="0" xfId="0" applyFont="1" applyAlignment="1">
      <alignment vertical="center" wrapText="1"/>
    </xf>
    <xf numFmtId="0" fontId="14" fillId="0" borderId="0" xfId="0" applyFont="1" applyAlignment="1" applyProtection="1">
      <alignment vertical="center" wrapText="1"/>
      <protection locked="0"/>
    </xf>
    <xf numFmtId="0" fontId="16" fillId="7" borderId="0" xfId="0" applyFont="1" applyFill="1" applyAlignment="1">
      <alignment horizontal="center" vertical="center"/>
    </xf>
    <xf numFmtId="0" fontId="17" fillId="0" borderId="0" xfId="0" applyFont="1">
      <alignment vertical="center"/>
    </xf>
    <xf numFmtId="0" fontId="1" fillId="0" borderId="0" xfId="0" applyFont="1" applyAlignment="1">
      <alignment horizontal="right" vertical="center" wrapText="1"/>
    </xf>
    <xf numFmtId="178" fontId="1" fillId="0" borderId="0" xfId="0" applyNumberFormat="1" applyFont="1" applyAlignment="1">
      <alignment vertical="center" wrapText="1"/>
    </xf>
    <xf numFmtId="0" fontId="1" fillId="0" borderId="0" xfId="3" applyNumberFormat="1" applyFont="1" applyAlignment="1">
      <alignment vertical="center" wrapText="1"/>
    </xf>
    <xf numFmtId="0" fontId="1" fillId="6" borderId="0" xfId="0" applyFont="1" applyFill="1">
      <alignment vertical="center"/>
    </xf>
    <xf numFmtId="0" fontId="1" fillId="6" borderId="0" xfId="0" applyFont="1" applyFill="1" applyAlignment="1">
      <alignment vertical="center" wrapText="1"/>
    </xf>
    <xf numFmtId="10" fontId="1" fillId="0" borderId="0" xfId="0" applyNumberFormat="1" applyFont="1">
      <alignment vertical="center"/>
    </xf>
    <xf numFmtId="0" fontId="0" fillId="0" borderId="0" xfId="0" applyProtection="1">
      <alignment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178" fontId="1" fillId="0" borderId="0" xfId="0" applyNumberFormat="1" applyFont="1" applyProtection="1">
      <alignment vertical="center"/>
      <protection hidden="1"/>
    </xf>
    <xf numFmtId="177" fontId="1" fillId="0" borderId="0" xfId="0" applyNumberFormat="1" applyFont="1" applyProtection="1">
      <alignment vertical="center"/>
      <protection hidden="1"/>
    </xf>
    <xf numFmtId="0" fontId="1" fillId="0" borderId="0" xfId="0" applyFont="1" applyProtection="1">
      <alignment vertical="center"/>
      <protection hidden="1"/>
    </xf>
    <xf numFmtId="10" fontId="4" fillId="0" borderId="0" xfId="0" applyNumberFormat="1" applyFont="1" applyAlignment="1" applyProtection="1">
      <alignment horizontal="right" vertical="center" wrapText="1"/>
      <protection locked="0"/>
    </xf>
    <xf numFmtId="0" fontId="0" fillId="8" borderId="0" xfId="0" applyFill="1" applyProtection="1">
      <alignment vertical="center"/>
      <protection hidden="1"/>
    </xf>
    <xf numFmtId="0" fontId="0" fillId="8" borderId="0" xfId="0" applyFill="1">
      <alignment vertical="center"/>
    </xf>
    <xf numFmtId="0" fontId="18" fillId="9" borderId="1" xfId="0" applyFont="1" applyFill="1" applyBorder="1" applyAlignment="1" applyProtection="1">
      <alignment horizontal="center" vertical="center"/>
      <protection hidden="1"/>
    </xf>
    <xf numFmtId="0" fontId="18" fillId="9" borderId="0" xfId="0" applyFont="1" applyFill="1" applyAlignment="1" applyProtection="1">
      <alignment horizontal="center" vertical="center"/>
      <protection hidden="1"/>
    </xf>
    <xf numFmtId="1" fontId="19" fillId="10" borderId="2" xfId="0" applyNumberFormat="1" applyFont="1" applyFill="1" applyBorder="1" applyAlignment="1" applyProtection="1">
      <alignment horizontal="center" vertical="center"/>
      <protection hidden="1"/>
    </xf>
    <xf numFmtId="1" fontId="19" fillId="10" borderId="0" xfId="0" applyNumberFormat="1" applyFont="1" applyFill="1" applyAlignment="1" applyProtection="1">
      <alignment horizontal="center" vertical="center"/>
      <protection hidden="1"/>
    </xf>
    <xf numFmtId="0" fontId="20" fillId="11" borderId="1" xfId="0" applyFont="1" applyFill="1" applyBorder="1" applyProtection="1">
      <alignment vertical="center"/>
      <protection hidden="1"/>
    </xf>
    <xf numFmtId="0" fontId="21" fillId="8" borderId="3" xfId="0" applyFont="1" applyFill="1" applyBorder="1" applyAlignment="1" applyProtection="1">
      <alignment vertical="center" wrapText="1"/>
      <protection locked="0" hidden="1"/>
    </xf>
    <xf numFmtId="0" fontId="22" fillId="8" borderId="0" xfId="0" applyFont="1" applyFill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horizontal="left" vertical="center" wrapText="1"/>
      <protection locked="0"/>
    </xf>
    <xf numFmtId="0" fontId="23" fillId="8" borderId="0" xfId="0" applyFont="1" applyFill="1" applyAlignment="1" applyProtection="1">
      <alignment vertical="center" wrapText="1"/>
      <protection locked="0"/>
    </xf>
    <xf numFmtId="0" fontId="22" fillId="8" borderId="4" xfId="0" applyFont="1" applyFill="1" applyBorder="1" applyAlignment="1" applyProtection="1">
      <alignment horizontal="center" vertical="center"/>
      <protection hidden="1"/>
    </xf>
    <xf numFmtId="0" fontId="22" fillId="8" borderId="5" xfId="0" applyFont="1" applyFill="1" applyBorder="1" applyAlignment="1" applyProtection="1">
      <alignment horizontal="center" vertical="center"/>
      <protection hidden="1"/>
    </xf>
    <xf numFmtId="0" fontId="21" fillId="8" borderId="6" xfId="0" applyFont="1" applyFill="1" applyBorder="1" applyAlignment="1" applyProtection="1">
      <alignment vertical="center" wrapText="1"/>
      <protection locked="0" hidden="1"/>
    </xf>
    <xf numFmtId="0" fontId="23" fillId="8" borderId="4" xfId="0" applyFont="1" applyFill="1" applyBorder="1" applyAlignment="1" applyProtection="1">
      <alignment horizontal="center" vertical="center" wrapText="1"/>
      <protection hidden="1"/>
    </xf>
    <xf numFmtId="0" fontId="23" fillId="8" borderId="5" xfId="0" applyFont="1" applyFill="1" applyBorder="1" applyAlignment="1" applyProtection="1">
      <alignment vertical="center" wrapText="1"/>
      <protection locked="0"/>
    </xf>
    <xf numFmtId="10" fontId="21" fillId="8" borderId="6" xfId="3" applyNumberFormat="1" applyFont="1" applyFill="1" applyBorder="1" applyAlignment="1" applyProtection="1">
      <alignment vertical="center" wrapText="1"/>
      <protection locked="0" hidden="1"/>
    </xf>
    <xf numFmtId="0" fontId="23" fillId="8" borderId="0" xfId="0" applyFont="1" applyFill="1" applyAlignment="1" applyProtection="1">
      <alignment horizontal="left" vertical="center" wrapText="1"/>
      <protection locked="0" hidden="1"/>
    </xf>
    <xf numFmtId="0" fontId="24" fillId="8" borderId="4" xfId="0" applyFont="1" applyFill="1" applyBorder="1" applyAlignment="1" applyProtection="1">
      <alignment vertical="center" wrapText="1"/>
      <protection hidden="1"/>
    </xf>
    <xf numFmtId="0" fontId="24" fillId="8" borderId="5" xfId="0" applyFont="1" applyFill="1" applyBorder="1" applyAlignment="1" applyProtection="1">
      <alignment vertical="center" wrapText="1"/>
      <protection hidden="1"/>
    </xf>
    <xf numFmtId="0" fontId="23" fillId="8" borderId="5" xfId="0" applyFont="1" applyFill="1" applyBorder="1" applyAlignment="1" applyProtection="1">
      <alignment horizontal="center" vertical="center" wrapText="1"/>
      <protection locked="0"/>
    </xf>
    <xf numFmtId="0" fontId="0" fillId="8" borderId="7" xfId="0" applyFill="1" applyBorder="1" applyProtection="1">
      <alignment vertical="center"/>
      <protection hidden="1"/>
    </xf>
    <xf numFmtId="0" fontId="23" fillId="8" borderId="0" xfId="0" applyFont="1" applyFill="1" applyAlignment="1" applyProtection="1">
      <alignment horizontal="center" vertical="center" wrapText="1"/>
      <protection locked="0" hidden="1"/>
    </xf>
    <xf numFmtId="0" fontId="20" fillId="11" borderId="8" xfId="0" applyFont="1" applyFill="1" applyBorder="1" applyProtection="1">
      <alignment vertical="center"/>
      <protection hidden="1"/>
    </xf>
    <xf numFmtId="0" fontId="18" fillId="9" borderId="1" xfId="0" applyFont="1" applyFill="1" applyBorder="1" applyAlignment="1" applyProtection="1">
      <alignment horizontal="center" vertical="center"/>
      <protection locked="0" hidden="1"/>
    </xf>
    <xf numFmtId="0" fontId="18" fillId="9" borderId="0" xfId="0" applyFont="1" applyFill="1" applyAlignment="1" applyProtection="1">
      <alignment horizontal="center" vertical="center"/>
      <protection locked="0" hidden="1"/>
    </xf>
    <xf numFmtId="0" fontId="23" fillId="8" borderId="5" xfId="0" applyFont="1" applyFill="1" applyBorder="1" applyAlignment="1" applyProtection="1">
      <alignment horizontal="center" vertical="center" wrapText="1"/>
      <protection hidden="1"/>
    </xf>
    <xf numFmtId="1" fontId="25" fillId="12" borderId="0" xfId="0" applyNumberFormat="1" applyFont="1" applyFill="1" applyAlignment="1" applyProtection="1">
      <alignment horizontal="center" vertical="center"/>
      <protection locked="0"/>
    </xf>
    <xf numFmtId="0" fontId="24" fillId="8" borderId="4" xfId="0" applyFont="1" applyFill="1" applyBorder="1" applyProtection="1">
      <alignment vertical="center"/>
      <protection hidden="1"/>
    </xf>
    <xf numFmtId="0" fontId="24" fillId="8" borderId="5" xfId="0" applyFont="1" applyFill="1" applyBorder="1" applyProtection="1">
      <alignment vertical="center"/>
      <protection hidden="1"/>
    </xf>
    <xf numFmtId="1" fontId="25" fillId="12" borderId="1" xfId="0" applyNumberFormat="1" applyFont="1" applyFill="1" applyBorder="1" applyAlignment="1" applyProtection="1">
      <alignment horizontal="center" vertical="center"/>
      <protection locked="0"/>
    </xf>
    <xf numFmtId="1" fontId="25" fillId="12" borderId="9" xfId="0" applyNumberFormat="1" applyFont="1" applyFill="1" applyBorder="1" applyAlignment="1" applyProtection="1">
      <alignment horizontal="center" vertical="center"/>
      <protection locked="0"/>
    </xf>
    <xf numFmtId="0" fontId="22" fillId="8" borderId="9" xfId="0" applyFont="1" applyFill="1" applyBorder="1" applyAlignment="1" applyProtection="1">
      <alignment horizontal="center" vertical="center"/>
      <protection hidden="1"/>
    </xf>
    <xf numFmtId="0" fontId="23" fillId="8" borderId="9" xfId="0" applyFont="1" applyFill="1" applyBorder="1" applyAlignment="1" applyProtection="1">
      <alignment horizontal="left" vertical="center" wrapText="1"/>
      <protection locked="0"/>
    </xf>
    <xf numFmtId="0" fontId="23" fillId="8" borderId="9" xfId="0" applyFont="1" applyFill="1" applyBorder="1" applyAlignment="1" applyProtection="1">
      <alignment vertical="center" wrapText="1"/>
      <protection locked="0"/>
    </xf>
    <xf numFmtId="0" fontId="23" fillId="8" borderId="9" xfId="0" applyFont="1" applyFill="1" applyBorder="1" applyAlignment="1" applyProtection="1">
      <alignment horizontal="center" vertical="center" wrapText="1"/>
      <protection locked="0" hidden="1"/>
    </xf>
    <xf numFmtId="0" fontId="24" fillId="8" borderId="10" xfId="0" applyFont="1" applyFill="1" applyBorder="1" applyProtection="1">
      <alignment vertical="center"/>
      <protection hidden="1"/>
    </xf>
    <xf numFmtId="0" fontId="24" fillId="8" borderId="11" xfId="0" applyFont="1" applyFill="1" applyBorder="1" applyProtection="1">
      <alignment vertical="center"/>
      <protection hidden="1"/>
    </xf>
    <xf numFmtId="1" fontId="25" fillId="12" borderId="8" xfId="0" applyNumberFormat="1" applyFont="1" applyFill="1" applyBorder="1" applyAlignment="1" applyProtection="1">
      <alignment horizontal="center" vertical="center"/>
      <protection locked="0"/>
    </xf>
    <xf numFmtId="0" fontId="17" fillId="8" borderId="0" xfId="0" applyFont="1" applyFill="1" applyProtection="1">
      <alignment vertical="center"/>
      <protection hidden="1"/>
    </xf>
    <xf numFmtId="0" fontId="17" fillId="8" borderId="12" xfId="0" applyFont="1" applyFill="1" applyBorder="1" applyProtection="1">
      <alignment vertical="center"/>
      <protection hidden="1"/>
    </xf>
    <xf numFmtId="0" fontId="22" fillId="8" borderId="13" xfId="0" applyFont="1" applyFill="1" applyBorder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vertical="center" wrapText="1"/>
      <protection locked="0" hidden="1"/>
    </xf>
    <xf numFmtId="0" fontId="17" fillId="8" borderId="13" xfId="0" applyFont="1" applyFill="1" applyBorder="1" applyProtection="1">
      <alignment vertical="center"/>
      <protection hidden="1"/>
    </xf>
    <xf numFmtId="0" fontId="19" fillId="8" borderId="0" xfId="0" applyFont="1" applyFill="1" applyProtection="1">
      <alignment vertical="center"/>
      <protection hidden="1"/>
    </xf>
    <xf numFmtId="0" fontId="19" fillId="10" borderId="0" xfId="0" applyFont="1" applyFill="1" applyAlignment="1" applyProtection="1">
      <alignment horizontal="center" vertical="center"/>
      <protection hidden="1"/>
    </xf>
    <xf numFmtId="0" fontId="22" fillId="8" borderId="0" xfId="0" applyFont="1" applyFill="1" applyProtection="1">
      <alignment vertical="center"/>
      <protection hidden="1"/>
    </xf>
    <xf numFmtId="0" fontId="22" fillId="8" borderId="0" xfId="0" applyFont="1" applyFill="1" applyAlignment="1" applyProtection="1">
      <alignment horizontal="right" vertical="center"/>
      <protection hidden="1"/>
    </xf>
    <xf numFmtId="0" fontId="26" fillId="8" borderId="0" xfId="0" applyFont="1" applyFill="1" applyAlignment="1" applyProtection="1">
      <alignment horizontal="left" vertical="center"/>
      <protection hidden="1"/>
    </xf>
    <xf numFmtId="10" fontId="26" fillId="8" borderId="0" xfId="3" applyNumberFormat="1" applyFont="1" applyFill="1" applyBorder="1" applyAlignment="1" applyProtection="1">
      <alignment vertical="center" wrapText="1"/>
      <protection hidden="1"/>
    </xf>
    <xf numFmtId="9" fontId="17" fillId="8" borderId="0" xfId="3" applyFont="1" applyFill="1" applyProtection="1">
      <alignment vertical="center"/>
      <protection hidden="1"/>
    </xf>
    <xf numFmtId="0" fontId="26" fillId="8" borderId="0" xfId="0" applyFont="1" applyFill="1" applyProtection="1">
      <alignment vertical="center"/>
      <protection hidden="1"/>
    </xf>
    <xf numFmtId="0" fontId="23" fillId="8" borderId="0" xfId="0" applyFont="1" applyFill="1" applyAlignment="1" applyProtection="1">
      <alignment vertical="center" wrapText="1"/>
      <protection hidden="1"/>
    </xf>
    <xf numFmtId="0" fontId="17" fillId="0" borderId="0" xfId="0" applyFont="1" applyAlignment="1" applyProtection="1">
      <alignment vertical="center" wrapText="1"/>
      <protection hidden="1"/>
    </xf>
    <xf numFmtId="0" fontId="13" fillId="8" borderId="0" xfId="0" applyFont="1" applyFill="1" applyProtection="1">
      <alignment vertical="center"/>
      <protection hidden="1"/>
    </xf>
    <xf numFmtId="0" fontId="1" fillId="8" borderId="0" xfId="0" applyFont="1" applyFill="1" applyAlignment="1" applyProtection="1">
      <alignment vertical="center" wrapText="1"/>
      <protection hidden="1"/>
    </xf>
    <xf numFmtId="0" fontId="13" fillId="8" borderId="9" xfId="0" applyFont="1" applyFill="1" applyBorder="1" applyProtection="1">
      <alignment vertical="center"/>
      <protection hidden="1"/>
    </xf>
    <xf numFmtId="0" fontId="13" fillId="8" borderId="1" xfId="0" applyFont="1" applyFill="1" applyBorder="1" applyProtection="1">
      <alignment vertical="center"/>
      <protection hidden="1"/>
    </xf>
    <xf numFmtId="0" fontId="13" fillId="8" borderId="14" xfId="0" applyFont="1" applyFill="1" applyBorder="1" applyProtection="1">
      <alignment vertical="center"/>
      <protection hidden="1"/>
    </xf>
    <xf numFmtId="0" fontId="18" fillId="9" borderId="15" xfId="0" applyFont="1" applyFill="1" applyBorder="1" applyAlignment="1" applyProtection="1">
      <alignment horizontal="center" vertical="center"/>
      <protection hidden="1"/>
    </xf>
    <xf numFmtId="0" fontId="18" fillId="9" borderId="14" xfId="0" applyFont="1" applyFill="1" applyBorder="1" applyAlignment="1" applyProtection="1">
      <alignment horizontal="center" vertical="center"/>
      <protection hidden="1"/>
    </xf>
    <xf numFmtId="0" fontId="19" fillId="10" borderId="16" xfId="0" applyFont="1" applyFill="1" applyBorder="1" applyAlignment="1" applyProtection="1">
      <alignment horizontal="center" vertical="center"/>
      <protection hidden="1"/>
    </xf>
    <xf numFmtId="0" fontId="19" fillId="10" borderId="14" xfId="0" applyFont="1" applyFill="1" applyBorder="1" applyAlignment="1" applyProtection="1">
      <alignment horizontal="center" vertical="center"/>
      <protection hidden="1"/>
    </xf>
    <xf numFmtId="0" fontId="19" fillId="10" borderId="17" xfId="0" applyFont="1" applyFill="1" applyBorder="1" applyAlignment="1" applyProtection="1">
      <alignment horizontal="center" vertical="center"/>
      <protection hidden="1"/>
    </xf>
    <xf numFmtId="0" fontId="27" fillId="8" borderId="1" xfId="0" applyFont="1" applyFill="1" applyBorder="1" applyProtection="1">
      <alignment vertical="center"/>
      <protection hidden="1"/>
    </xf>
    <xf numFmtId="0" fontId="28" fillId="11" borderId="0" xfId="0" applyFont="1" applyFill="1" applyAlignment="1" applyProtection="1">
      <alignment horizontal="left" vertical="center" wrapText="1"/>
      <protection hidden="1"/>
    </xf>
    <xf numFmtId="0" fontId="24" fillId="8" borderId="0" xfId="0" applyFont="1" applyFill="1" applyProtection="1">
      <alignment vertical="center"/>
      <protection hidden="1"/>
    </xf>
    <xf numFmtId="0" fontId="24" fillId="8" borderId="1" xfId="0" applyFont="1" applyFill="1" applyBorder="1" applyProtection="1">
      <alignment vertical="center"/>
      <protection hidden="1"/>
    </xf>
    <xf numFmtId="0" fontId="21" fillId="8" borderId="3" xfId="0" applyFont="1" applyFill="1" applyBorder="1" applyAlignment="1" applyProtection="1">
      <alignment vertical="center" wrapText="1"/>
      <protection hidden="1"/>
    </xf>
    <xf numFmtId="0" fontId="24" fillId="8" borderId="0" xfId="0" applyFont="1" applyFill="1" applyAlignment="1" applyProtection="1">
      <alignment vertical="center" wrapText="1"/>
      <protection hidden="1"/>
    </xf>
    <xf numFmtId="0" fontId="23" fillId="8" borderId="0" xfId="0" applyFont="1" applyFill="1" applyAlignment="1" applyProtection="1">
      <alignment horizontal="left" vertical="center" wrapText="1"/>
      <protection hidden="1"/>
    </xf>
    <xf numFmtId="0" fontId="29" fillId="8" borderId="0" xfId="0" applyFont="1" applyFill="1" applyAlignment="1" applyProtection="1">
      <alignment horizontal="center" vertical="center"/>
      <protection hidden="1"/>
    </xf>
    <xf numFmtId="0" fontId="22" fillId="8" borderId="0" xfId="0" applyFont="1" applyFill="1" applyAlignment="1" applyProtection="1">
      <alignment horizontal="left" vertical="center"/>
      <protection hidden="1"/>
    </xf>
    <xf numFmtId="0" fontId="22" fillId="8" borderId="0" xfId="0" applyFont="1" applyFill="1" applyAlignment="1" applyProtection="1">
      <alignment horizontal="left" vertical="center" indent="1"/>
      <protection hidden="1"/>
    </xf>
    <xf numFmtId="0" fontId="2" fillId="11" borderId="0" xfId="6" applyFill="1" applyAlignment="1" applyProtection="1">
      <alignment horizontal="left" vertical="center" wrapText="1"/>
      <protection hidden="1"/>
    </xf>
    <xf numFmtId="0" fontId="17" fillId="8" borderId="0" xfId="0" applyFont="1" applyFill="1" applyAlignment="1" applyProtection="1">
      <alignment vertical="center" wrapText="1"/>
      <protection hidden="1"/>
    </xf>
    <xf numFmtId="0" fontId="21" fillId="8" borderId="6" xfId="0" applyFont="1" applyFill="1" applyBorder="1" applyAlignment="1" applyProtection="1">
      <alignment vertical="center" wrapText="1"/>
      <protection hidden="1"/>
    </xf>
    <xf numFmtId="0" fontId="23" fillId="8" borderId="0" xfId="0" applyFont="1" applyFill="1" applyAlignment="1">
      <alignment vertical="center" wrapText="1"/>
    </xf>
    <xf numFmtId="0" fontId="24" fillId="0" borderId="0" xfId="0" applyFont="1" applyAlignment="1" applyProtection="1">
      <alignment vertical="center" wrapText="1"/>
      <protection hidden="1"/>
    </xf>
    <xf numFmtId="10" fontId="21" fillId="8" borderId="6" xfId="3" applyNumberFormat="1" applyFont="1" applyFill="1" applyBorder="1" applyAlignment="1" applyProtection="1">
      <alignment vertical="center" wrapText="1"/>
      <protection hidden="1"/>
    </xf>
    <xf numFmtId="0" fontId="30" fillId="8" borderId="0" xfId="0" applyFont="1" applyFill="1" applyAlignment="1" applyProtection="1">
      <alignment vertical="center" wrapText="1"/>
      <protection hidden="1"/>
    </xf>
    <xf numFmtId="9" fontId="31" fillId="8" borderId="1" xfId="3" applyFont="1" applyFill="1" applyBorder="1" applyAlignment="1" applyProtection="1">
      <alignment vertical="center" wrapText="1"/>
      <protection hidden="1"/>
    </xf>
    <xf numFmtId="0" fontId="23" fillId="8" borderId="0" xfId="0" applyFont="1" applyFill="1" applyAlignment="1">
      <alignment horizontal="center" vertical="center" wrapText="1"/>
    </xf>
    <xf numFmtId="0" fontId="24" fillId="0" borderId="0" xfId="0" applyFont="1" applyAlignment="1" applyProtection="1">
      <alignment horizontal="center" vertical="center" wrapText="1"/>
      <protection hidden="1"/>
    </xf>
    <xf numFmtId="0" fontId="23" fillId="8" borderId="0" xfId="0" applyFont="1" applyFill="1" applyAlignment="1" applyProtection="1">
      <alignment horizontal="center" vertical="center" wrapText="1"/>
      <protection hidden="1"/>
    </xf>
    <xf numFmtId="0" fontId="22" fillId="8" borderId="7" xfId="0" applyFont="1" applyFill="1" applyBorder="1" applyAlignment="1" applyProtection="1">
      <alignment horizontal="center" vertical="center"/>
      <protection hidden="1"/>
    </xf>
    <xf numFmtId="0" fontId="23" fillId="8" borderId="7" xfId="0" applyFont="1" applyFill="1" applyBorder="1" applyAlignment="1" applyProtection="1">
      <alignment horizontal="left" vertical="center" wrapText="1"/>
      <protection hidden="1"/>
    </xf>
    <xf numFmtId="0" fontId="23" fillId="8" borderId="15" xfId="0" applyFont="1" applyFill="1" applyBorder="1" applyAlignment="1" applyProtection="1">
      <alignment horizontal="center" vertical="center"/>
      <protection hidden="1"/>
    </xf>
    <xf numFmtId="0" fontId="23" fillId="8" borderId="18" xfId="0" applyFont="1" applyFill="1" applyBorder="1" applyAlignment="1" applyProtection="1">
      <alignment horizontal="center" vertical="center"/>
      <protection hidden="1"/>
    </xf>
    <xf numFmtId="0" fontId="23" fillId="8" borderId="7" xfId="0" applyFont="1" applyFill="1" applyBorder="1" applyAlignment="1" applyProtection="1">
      <alignment vertical="center" wrapText="1"/>
      <protection hidden="1"/>
    </xf>
    <xf numFmtId="0" fontId="23" fillId="8" borderId="1" xfId="0" applyFont="1" applyFill="1" applyBorder="1" applyAlignment="1" applyProtection="1">
      <alignment horizontal="center" vertical="center"/>
      <protection hidden="1"/>
    </xf>
    <xf numFmtId="0" fontId="23" fillId="8" borderId="6" xfId="0" applyFont="1" applyFill="1" applyBorder="1" applyAlignment="1" applyProtection="1">
      <alignment horizontal="center" vertical="center"/>
      <protection hidden="1"/>
    </xf>
    <xf numFmtId="0" fontId="24" fillId="8" borderId="13" xfId="0" applyFont="1" applyFill="1" applyBorder="1" applyProtection="1">
      <alignment vertical="center"/>
      <protection hidden="1"/>
    </xf>
    <xf numFmtId="0" fontId="32" fillId="8" borderId="1" xfId="6" applyFont="1" applyFill="1" applyBorder="1" applyAlignment="1" applyProtection="1">
      <alignment horizontal="center" vertical="center"/>
      <protection hidden="1"/>
    </xf>
    <xf numFmtId="0" fontId="33" fillId="8" borderId="19" xfId="0" applyFont="1" applyFill="1" applyBorder="1" applyAlignment="1" applyProtection="1">
      <alignment horizontal="center" vertical="center"/>
      <protection hidden="1"/>
    </xf>
    <xf numFmtId="0" fontId="22" fillId="8" borderId="12" xfId="0" applyFont="1" applyFill="1" applyBorder="1" applyAlignment="1" applyProtection="1">
      <alignment horizontal="center" vertical="center"/>
      <protection hidden="1"/>
    </xf>
    <xf numFmtId="0" fontId="23" fillId="8" borderId="12" xfId="0" applyFont="1" applyFill="1" applyBorder="1" applyAlignment="1" applyProtection="1">
      <alignment vertical="center" wrapText="1"/>
      <protection locked="0"/>
    </xf>
    <xf numFmtId="0" fontId="24" fillId="8" borderId="9" xfId="0" applyFont="1" applyFill="1" applyBorder="1" applyProtection="1">
      <alignment vertical="center"/>
      <protection hidden="1"/>
    </xf>
    <xf numFmtId="0" fontId="23" fillId="8" borderId="9" xfId="0" applyFont="1" applyFill="1" applyBorder="1" applyAlignment="1" applyProtection="1">
      <alignment horizontal="center" vertical="center" wrapText="1"/>
      <protection hidden="1"/>
    </xf>
    <xf numFmtId="0" fontId="22" fillId="8" borderId="9" xfId="0" applyFont="1" applyFill="1" applyBorder="1" applyAlignment="1" applyProtection="1">
      <alignment horizontal="left" vertical="center"/>
      <protection hidden="1"/>
    </xf>
    <xf numFmtId="0" fontId="22" fillId="8" borderId="9" xfId="0" applyFont="1" applyFill="1" applyBorder="1" applyAlignment="1" applyProtection="1">
      <alignment horizontal="left" vertical="center" indent="1"/>
      <protection hidden="1"/>
    </xf>
    <xf numFmtId="0" fontId="34" fillId="8" borderId="10" xfId="0" applyFont="1" applyFill="1" applyBorder="1" applyAlignment="1" applyProtection="1">
      <alignment horizontal="center" vertical="center"/>
      <protection hidden="1"/>
    </xf>
    <xf numFmtId="0" fontId="34" fillId="8" borderId="9" xfId="0" applyFont="1" applyFill="1" applyBorder="1" applyAlignment="1" applyProtection="1">
      <alignment horizontal="center" vertical="center"/>
      <protection hidden="1"/>
    </xf>
    <xf numFmtId="0" fontId="20" fillId="11" borderId="1" xfId="0" applyFont="1" applyFill="1" applyBorder="1" applyAlignment="1" applyProtection="1">
      <alignment horizontal="left" vertical="center" indent="1"/>
      <protection hidden="1"/>
    </xf>
    <xf numFmtId="0" fontId="20" fillId="11" borderId="0" xfId="0" applyFont="1" applyFill="1" applyAlignment="1" applyProtection="1">
      <alignment horizontal="left" vertical="center" indent="1"/>
      <protection hidden="1"/>
    </xf>
    <xf numFmtId="180" fontId="23" fillId="8" borderId="0" xfId="3" applyNumberFormat="1" applyFont="1" applyFill="1" applyAlignment="1" applyProtection="1">
      <alignment horizontal="center" vertical="center" wrapText="1"/>
      <protection hidden="1"/>
    </xf>
    <xf numFmtId="180" fontId="23" fillId="8" borderId="0" xfId="3" applyNumberFormat="1" applyFont="1" applyFill="1" applyBorder="1" applyAlignment="1" applyProtection="1">
      <alignment horizontal="center" vertical="center" wrapText="1"/>
      <protection hidden="1"/>
    </xf>
    <xf numFmtId="0" fontId="23" fillId="8" borderId="2" xfId="0" applyFont="1" applyFill="1" applyBorder="1" applyAlignment="1" applyProtection="1">
      <alignment horizontal="left" vertical="center" wrapText="1" indent="1"/>
      <protection hidden="1"/>
    </xf>
    <xf numFmtId="0" fontId="23" fillId="8" borderId="0" xfId="0" applyFont="1" applyFill="1" applyAlignment="1" applyProtection="1">
      <alignment horizontal="left" vertical="center" wrapText="1" indent="1"/>
      <protection hidden="1"/>
    </xf>
    <xf numFmtId="0" fontId="23" fillId="8" borderId="0" xfId="0" applyFont="1" applyFill="1" applyAlignment="1" applyProtection="1">
      <alignment horizontal="right" vertical="center" wrapText="1" indent="1"/>
      <protection hidden="1"/>
    </xf>
    <xf numFmtId="0" fontId="22" fillId="8" borderId="2" xfId="0" applyFont="1" applyFill="1" applyBorder="1" applyAlignment="1" applyProtection="1">
      <alignment horizontal="left" vertical="center" indent="1"/>
      <protection hidden="1"/>
    </xf>
    <xf numFmtId="0" fontId="35" fillId="8" borderId="0" xfId="0" applyFont="1" applyFill="1" applyAlignment="1" applyProtection="1">
      <alignment horizontal="center" vertical="center" wrapText="1"/>
      <protection locked="0"/>
    </xf>
    <xf numFmtId="0" fontId="35" fillId="8" borderId="6" xfId="0" applyFont="1" applyFill="1" applyBorder="1" applyAlignment="1" applyProtection="1">
      <alignment horizontal="center" vertical="center" wrapText="1"/>
      <protection locked="0"/>
    </xf>
    <xf numFmtId="0" fontId="23" fillId="8" borderId="13" xfId="0" applyFont="1" applyFill="1" applyBorder="1" applyAlignment="1" applyProtection="1">
      <alignment horizontal="left" vertical="center" wrapText="1"/>
      <protection hidden="1"/>
    </xf>
    <xf numFmtId="10" fontId="36" fillId="8" borderId="0" xfId="3" applyNumberFormat="1" applyFont="1" applyFill="1" applyBorder="1" applyAlignment="1" applyProtection="1">
      <alignment horizontal="left" vertical="center" wrapText="1"/>
      <protection hidden="1"/>
    </xf>
    <xf numFmtId="10" fontId="23" fillId="8" borderId="0" xfId="3" applyNumberFormat="1" applyFont="1" applyFill="1" applyAlignment="1" applyProtection="1">
      <alignment horizontal="right" vertical="center" wrapText="1" indent="1"/>
      <protection hidden="1"/>
    </xf>
    <xf numFmtId="0" fontId="23" fillId="8" borderId="0" xfId="0" applyFont="1" applyFill="1" applyAlignment="1" applyProtection="1">
      <alignment horizontal="center" vertical="center" wrapText="1"/>
      <protection locked="0"/>
    </xf>
    <xf numFmtId="0" fontId="23" fillId="8" borderId="6" xfId="0" applyFont="1" applyFill="1" applyBorder="1" applyAlignment="1" applyProtection="1">
      <alignment horizontal="center" vertical="center" wrapText="1"/>
      <protection locked="0"/>
    </xf>
    <xf numFmtId="0" fontId="37" fillId="8" borderId="0" xfId="0" applyFont="1" applyFill="1" applyAlignment="1" applyProtection="1">
      <alignment vertical="center" wrapText="1"/>
      <protection hidden="1"/>
    </xf>
    <xf numFmtId="0" fontId="17" fillId="8" borderId="0" xfId="0" applyFont="1" applyFill="1" applyAlignment="1" applyProtection="1">
      <alignment horizontal="center" vertical="center" wrapText="1"/>
      <protection hidden="1"/>
    </xf>
    <xf numFmtId="0" fontId="38" fillId="8" borderId="0" xfId="0" applyFont="1" applyFill="1" applyAlignment="1" applyProtection="1">
      <alignment horizontal="center" vertical="center"/>
      <protection hidden="1"/>
    </xf>
    <xf numFmtId="0" fontId="23" fillId="8" borderId="0" xfId="0" applyFont="1" applyFill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vertical="center" wrapText="1"/>
      <protection hidden="1"/>
    </xf>
    <xf numFmtId="0" fontId="39" fillId="8" borderId="1" xfId="0" applyFont="1" applyFill="1" applyBorder="1" applyAlignment="1" applyProtection="1">
      <alignment horizontal="left" vertical="center" wrapText="1"/>
      <protection hidden="1"/>
    </xf>
    <xf numFmtId="0" fontId="39" fillId="8" borderId="0" xfId="0" applyFont="1" applyFill="1" applyAlignment="1" applyProtection="1">
      <alignment horizontal="left" vertical="center" wrapText="1"/>
      <protection hidden="1"/>
    </xf>
    <xf numFmtId="0" fontId="23" fillId="8" borderId="6" xfId="0" applyFont="1" applyFill="1" applyBorder="1" applyAlignment="1" applyProtection="1">
      <alignment vertical="center" wrapText="1"/>
      <protection locked="0"/>
    </xf>
    <xf numFmtId="0" fontId="28" fillId="8" borderId="1" xfId="0" applyFont="1" applyFill="1" applyBorder="1" applyAlignment="1" applyProtection="1">
      <alignment horizontal="left" vertical="center" wrapText="1"/>
      <protection hidden="1"/>
    </xf>
    <xf numFmtId="0" fontId="28" fillId="8" borderId="0" xfId="0" applyFont="1" applyFill="1" applyAlignment="1" applyProtection="1">
      <alignment horizontal="left" vertical="center" wrapText="1"/>
      <protection hidden="1"/>
    </xf>
    <xf numFmtId="0" fontId="24" fillId="8" borderId="0" xfId="0" applyFont="1" applyFill="1" applyAlignment="1" applyProtection="1">
      <alignment horizontal="left" vertical="center"/>
      <protection hidden="1"/>
    </xf>
    <xf numFmtId="0" fontId="24" fillId="8" borderId="7" xfId="0" applyFont="1" applyFill="1" applyBorder="1" applyProtection="1">
      <alignment vertical="center"/>
      <protection hidden="1"/>
    </xf>
    <xf numFmtId="0" fontId="28" fillId="8" borderId="13" xfId="0" applyFont="1" applyFill="1" applyBorder="1" applyAlignment="1" applyProtection="1">
      <alignment horizontal="left" vertical="center"/>
      <protection hidden="1"/>
    </xf>
    <xf numFmtId="0" fontId="28" fillId="8" borderId="0" xfId="0" applyFont="1" applyFill="1" applyAlignment="1" applyProtection="1">
      <alignment horizontal="left" vertical="center"/>
      <protection hidden="1"/>
    </xf>
    <xf numFmtId="0" fontId="28" fillId="8" borderId="13" xfId="0" applyFont="1" applyFill="1" applyBorder="1" applyAlignment="1" applyProtection="1">
      <alignment horizontal="justify" vertical="center" wrapText="1"/>
      <protection hidden="1"/>
    </xf>
    <xf numFmtId="0" fontId="40" fillId="8" borderId="0" xfId="6" applyFont="1" applyFill="1" applyBorder="1" applyAlignment="1" applyProtection="1">
      <alignment horizontal="justify" vertical="center" wrapText="1"/>
      <protection hidden="1"/>
    </xf>
    <xf numFmtId="0" fontId="20" fillId="13" borderId="20" xfId="6" applyFont="1" applyFill="1" applyBorder="1" applyAlignment="1" applyProtection="1">
      <alignment horizontal="left" vertical="center"/>
      <protection hidden="1"/>
    </xf>
    <xf numFmtId="0" fontId="20" fillId="13" borderId="12" xfId="0" applyFont="1" applyFill="1" applyBorder="1" applyAlignment="1" applyProtection="1">
      <alignment horizontal="left" vertical="center"/>
      <protection hidden="1"/>
    </xf>
    <xf numFmtId="0" fontId="41" fillId="0" borderId="0" xfId="0" applyFont="1" applyAlignment="1" applyProtection="1">
      <alignment horizontal="left" vertical="center"/>
      <protection hidden="1"/>
    </xf>
    <xf numFmtId="0" fontId="39" fillId="8" borderId="0" xfId="0" applyFont="1" applyFill="1" applyAlignment="1" applyProtection="1">
      <alignment vertical="center" wrapText="1"/>
      <protection hidden="1"/>
    </xf>
    <xf numFmtId="0" fontId="22" fillId="13" borderId="2" xfId="0" applyFont="1" applyFill="1" applyBorder="1" applyAlignment="1" applyProtection="1">
      <alignment horizontal="center" vertical="center"/>
      <protection hidden="1"/>
    </xf>
    <xf numFmtId="0" fontId="22" fillId="13" borderId="0" xfId="0" applyFont="1" applyFill="1" applyAlignment="1" applyProtection="1">
      <alignment horizontal="center" vertical="center"/>
      <protection hidden="1"/>
    </xf>
    <xf numFmtId="0" fontId="38" fillId="13" borderId="0" xfId="0" applyFont="1" applyFill="1" applyAlignment="1" applyProtection="1">
      <alignment horizontal="center" vertical="center"/>
      <protection hidden="1"/>
    </xf>
    <xf numFmtId="0" fontId="22" fillId="13" borderId="6" xfId="0" applyFont="1" applyFill="1" applyBorder="1" applyAlignment="1" applyProtection="1">
      <alignment horizontal="center" vertical="center"/>
      <protection hidden="1"/>
    </xf>
    <xf numFmtId="0" fontId="42" fillId="8" borderId="0" xfId="0" applyFont="1" applyFill="1" applyProtection="1">
      <alignment vertical="center"/>
      <protection hidden="1"/>
    </xf>
    <xf numFmtId="10" fontId="36" fillId="14" borderId="0" xfId="3" applyNumberFormat="1" applyFont="1" applyFill="1" applyBorder="1" applyAlignment="1" applyProtection="1">
      <alignment horizontal="left" vertical="center" wrapText="1"/>
      <protection hidden="1"/>
    </xf>
    <xf numFmtId="10" fontId="23" fillId="8" borderId="0" xfId="3" applyNumberFormat="1" applyFont="1" applyFill="1" applyAlignment="1" applyProtection="1">
      <alignment horizontal="right" vertical="center" wrapText="1"/>
      <protection hidden="1"/>
    </xf>
    <xf numFmtId="0" fontId="29" fillId="8" borderId="0" xfId="0" applyFont="1" applyFill="1" applyProtection="1">
      <alignment vertical="center"/>
      <protection hidden="1"/>
    </xf>
    <xf numFmtId="0" fontId="43" fillId="8" borderId="0" xfId="0" applyFont="1" applyFill="1" applyAlignment="1" applyProtection="1">
      <alignment horizontal="left" vertical="center"/>
      <protection hidden="1"/>
    </xf>
    <xf numFmtId="0" fontId="28" fillId="8" borderId="0" xfId="0" applyFont="1" applyFill="1" applyAlignment="1" applyProtection="1">
      <alignment horizontal="justify" vertical="center" wrapText="1"/>
      <protection hidden="1"/>
    </xf>
    <xf numFmtId="0" fontId="23" fillId="8" borderId="21" xfId="0" applyFont="1" applyFill="1" applyBorder="1" applyAlignment="1" applyProtection="1">
      <alignment vertical="center" wrapText="1"/>
      <protection hidden="1"/>
    </xf>
    <xf numFmtId="9" fontId="23" fillId="8" borderId="0" xfId="3" applyFont="1" applyFill="1" applyBorder="1" applyAlignment="1" applyProtection="1">
      <alignment horizontal="left" vertical="center" wrapText="1"/>
      <protection locked="0"/>
    </xf>
    <xf numFmtId="0" fontId="17" fillId="8" borderId="21" xfId="0" applyFont="1" applyFill="1" applyBorder="1" applyAlignment="1" applyProtection="1">
      <alignment vertical="center" wrapText="1"/>
      <protection hidden="1"/>
    </xf>
    <xf numFmtId="0" fontId="13" fillId="8" borderId="7" xfId="0" applyFont="1" applyFill="1" applyBorder="1" applyAlignment="1" applyProtection="1">
      <alignment horizontal="left" vertical="center"/>
      <protection hidden="1"/>
    </xf>
    <xf numFmtId="0" fontId="17" fillId="8" borderId="7" xfId="0" applyFont="1" applyFill="1" applyBorder="1" applyAlignment="1" applyProtection="1">
      <alignment vertical="center" wrapText="1"/>
      <protection hidden="1"/>
    </xf>
    <xf numFmtId="0" fontId="44" fillId="8" borderId="0" xfId="0" applyFont="1" applyFill="1" applyProtection="1">
      <alignment vertical="center"/>
      <protection hidden="1"/>
    </xf>
    <xf numFmtId="0" fontId="23" fillId="8" borderId="21" xfId="0" applyFont="1" applyFill="1" applyBorder="1" applyAlignment="1" applyProtection="1">
      <alignment horizontal="left" vertical="center" wrapText="1"/>
      <protection hidden="1"/>
    </xf>
    <xf numFmtId="0" fontId="29" fillId="8" borderId="0" xfId="0" applyFont="1" applyFill="1" applyAlignment="1" applyProtection="1">
      <alignment horizontal="left" vertical="center"/>
      <protection hidden="1"/>
    </xf>
    <xf numFmtId="0" fontId="13" fillId="8" borderId="0" xfId="0" applyFont="1" applyFill="1" applyAlignment="1" applyProtection="1">
      <alignment horizontal="left" vertical="center"/>
      <protection hidden="1"/>
    </xf>
    <xf numFmtId="0" fontId="13" fillId="8" borderId="7" xfId="0" applyFont="1" applyFill="1" applyBorder="1" applyProtection="1">
      <alignment vertical="center"/>
      <protection hidden="1"/>
    </xf>
    <xf numFmtId="0" fontId="45" fillId="8" borderId="2" xfId="0" applyFont="1" applyFill="1" applyBorder="1" applyAlignment="1" applyProtection="1">
      <alignment horizontal="left" vertical="center" indent="1"/>
      <protection hidden="1"/>
    </xf>
    <xf numFmtId="0" fontId="45" fillId="8" borderId="0" xfId="0" applyFont="1" applyFill="1" applyProtection="1">
      <alignment vertical="center"/>
      <protection hidden="1"/>
    </xf>
    <xf numFmtId="0" fontId="13" fillId="8" borderId="21" xfId="0" applyFont="1" applyFill="1" applyBorder="1" applyProtection="1">
      <alignment vertical="center"/>
      <protection hidden="1"/>
    </xf>
    <xf numFmtId="0" fontId="13" fillId="8" borderId="2" xfId="0" applyFont="1" applyFill="1" applyBorder="1" applyProtection="1">
      <alignment vertical="center"/>
      <protection hidden="1"/>
    </xf>
    <xf numFmtId="0" fontId="45" fillId="8" borderId="0" xfId="0" applyFont="1" applyFill="1" applyAlignment="1" applyProtection="1">
      <alignment horizontal="left" vertical="center" indent="1"/>
      <protection hidden="1"/>
    </xf>
    <xf numFmtId="1" fontId="19" fillId="10" borderId="1" xfId="0" applyNumberFormat="1" applyFont="1" applyFill="1" applyBorder="1" applyProtection="1">
      <alignment vertical="center"/>
      <protection hidden="1"/>
    </xf>
    <xf numFmtId="1" fontId="19" fillId="10" borderId="7" xfId="0" applyNumberFormat="1" applyFont="1" applyFill="1" applyBorder="1" applyAlignment="1" applyProtection="1">
      <alignment horizontal="center" vertical="center"/>
      <protection hidden="1"/>
    </xf>
    <xf numFmtId="0" fontId="29" fillId="8" borderId="4" xfId="0" applyFont="1" applyFill="1" applyBorder="1" applyAlignment="1" applyProtection="1">
      <alignment horizontal="center" vertical="center"/>
      <protection hidden="1"/>
    </xf>
    <xf numFmtId="0" fontId="46" fillId="8" borderId="1" xfId="0" applyFont="1" applyFill="1" applyBorder="1" applyAlignment="1" applyProtection="1">
      <alignment horizontal="left" vertical="center" wrapText="1"/>
      <protection hidden="1"/>
    </xf>
    <xf numFmtId="0" fontId="46" fillId="8" borderId="0" xfId="0" applyFont="1" applyFill="1" applyAlignment="1" applyProtection="1">
      <alignment horizontal="left" vertical="center" wrapText="1"/>
      <protection hidden="1"/>
    </xf>
    <xf numFmtId="0" fontId="22" fillId="11" borderId="4" xfId="0" applyFont="1" applyFill="1" applyBorder="1" applyProtection="1">
      <alignment vertical="center"/>
      <protection hidden="1"/>
    </xf>
    <xf numFmtId="0" fontId="23" fillId="8" borderId="0" xfId="0" applyFont="1" applyFill="1" applyAlignment="1" applyProtection="1">
      <alignment horizontal="right" vertical="center" wrapText="1"/>
      <protection locked="0"/>
    </xf>
    <xf numFmtId="0" fontId="23" fillId="8" borderId="4" xfId="0" applyFont="1" applyFill="1" applyBorder="1" applyAlignment="1" applyProtection="1">
      <alignment horizontal="right" vertical="center" wrapText="1"/>
      <protection hidden="1"/>
    </xf>
    <xf numFmtId="0" fontId="23" fillId="8" borderId="0" xfId="0" applyFont="1" applyFill="1" applyAlignment="1" applyProtection="1">
      <alignment horizontal="right" vertical="center" wrapText="1"/>
      <protection hidden="1"/>
    </xf>
    <xf numFmtId="0" fontId="23" fillId="8" borderId="5" xfId="0" applyFont="1" applyFill="1" applyBorder="1" applyAlignment="1" applyProtection="1">
      <alignment horizontal="right" vertical="center" wrapText="1"/>
      <protection hidden="1"/>
    </xf>
    <xf numFmtId="0" fontId="29" fillId="8" borderId="0" xfId="0" applyFont="1" applyFill="1" applyAlignment="1" applyProtection="1">
      <alignment horizontal="left" vertical="center" indent="1"/>
      <protection hidden="1"/>
    </xf>
    <xf numFmtId="10" fontId="23" fillId="8" borderId="0" xfId="3" applyNumberFormat="1" applyFont="1" applyFill="1" applyAlignment="1" applyProtection="1">
      <alignment vertical="center" wrapText="1"/>
      <protection locked="0"/>
    </xf>
    <xf numFmtId="10" fontId="23" fillId="8" borderId="4" xfId="3" applyNumberFormat="1" applyFont="1" applyFill="1" applyBorder="1" applyAlignment="1" applyProtection="1">
      <alignment horizontal="right" vertical="center" wrapText="1"/>
      <protection hidden="1"/>
    </xf>
    <xf numFmtId="10" fontId="23" fillId="8" borderId="4" xfId="0" applyNumberFormat="1" applyFont="1" applyFill="1" applyBorder="1" applyAlignment="1" applyProtection="1">
      <alignment horizontal="right" vertical="center" wrapText="1"/>
      <protection hidden="1"/>
    </xf>
    <xf numFmtId="10" fontId="23" fillId="8" borderId="5" xfId="0" applyNumberFormat="1" applyFont="1" applyFill="1" applyBorder="1" applyAlignment="1" applyProtection="1">
      <alignment horizontal="right" vertical="center" wrapText="1"/>
      <protection hidden="1"/>
    </xf>
    <xf numFmtId="177" fontId="23" fillId="8" borderId="4" xfId="0" applyNumberFormat="1" applyFont="1" applyFill="1" applyBorder="1" applyAlignment="1" applyProtection="1">
      <alignment horizontal="right" vertical="center" wrapText="1"/>
      <protection hidden="1"/>
    </xf>
    <xf numFmtId="177" fontId="23" fillId="8" borderId="5" xfId="0" applyNumberFormat="1" applyFont="1" applyFill="1" applyBorder="1" applyAlignment="1" applyProtection="1">
      <alignment horizontal="right" vertical="center" wrapText="1"/>
      <protection hidden="1"/>
    </xf>
    <xf numFmtId="10" fontId="23" fillId="8" borderId="5" xfId="3" applyNumberFormat="1" applyFont="1" applyFill="1" applyBorder="1" applyAlignment="1" applyProtection="1">
      <alignment horizontal="right" vertical="center" wrapText="1"/>
      <protection hidden="1"/>
    </xf>
    <xf numFmtId="0" fontId="23" fillId="8" borderId="22" xfId="0" applyFont="1" applyFill="1" applyBorder="1" applyAlignment="1" applyProtection="1">
      <alignment vertical="center" wrapText="1"/>
      <protection locked="0"/>
    </xf>
    <xf numFmtId="0" fontId="23" fillId="8" borderId="23" xfId="0" applyFont="1" applyFill="1" applyBorder="1" applyAlignment="1" applyProtection="1">
      <alignment vertical="center" wrapText="1"/>
      <protection locked="0"/>
    </xf>
    <xf numFmtId="0" fontId="23" fillId="8" borderId="24" xfId="0" applyFont="1" applyFill="1" applyBorder="1" applyAlignment="1" applyProtection="1">
      <alignment horizontal="right" vertical="center" wrapText="1"/>
      <protection hidden="1"/>
    </xf>
    <xf numFmtId="0" fontId="23" fillId="8" borderId="22" xfId="0" applyFont="1" applyFill="1" applyBorder="1" applyAlignment="1" applyProtection="1">
      <alignment horizontal="right" vertical="center" wrapText="1"/>
      <protection hidden="1"/>
    </xf>
    <xf numFmtId="0" fontId="47" fillId="8" borderId="0" xfId="0" applyFont="1" applyFill="1" applyAlignment="1" applyProtection="1">
      <alignment vertical="center" wrapText="1"/>
      <protection hidden="1"/>
    </xf>
    <xf numFmtId="0" fontId="46" fillId="8" borderId="5" xfId="0" applyFont="1" applyFill="1" applyBorder="1" applyAlignment="1" applyProtection="1">
      <alignment horizontal="left" vertical="center" wrapText="1"/>
      <protection hidden="1"/>
    </xf>
    <xf numFmtId="0" fontId="22" fillId="8" borderId="25" xfId="0" applyFont="1" applyFill="1" applyBorder="1" applyAlignment="1" applyProtection="1">
      <alignment horizontal="left" vertical="center"/>
      <protection hidden="1"/>
    </xf>
    <xf numFmtId="0" fontId="48" fillId="8" borderId="26" xfId="0" applyFont="1" applyFill="1" applyBorder="1" applyAlignment="1" applyProtection="1">
      <alignment horizontal="right" vertical="center"/>
      <protection hidden="1"/>
    </xf>
    <xf numFmtId="0" fontId="48" fillId="8" borderId="0" xfId="0" applyFont="1" applyFill="1" applyAlignment="1" applyProtection="1">
      <alignment horizontal="right" vertical="center"/>
      <protection hidden="1"/>
    </xf>
    <xf numFmtId="0" fontId="48" fillId="8" borderId="5" xfId="0" applyFont="1" applyFill="1" applyBorder="1" applyAlignment="1" applyProtection="1">
      <alignment horizontal="right" vertical="center"/>
      <protection hidden="1"/>
    </xf>
    <xf numFmtId="0" fontId="37" fillId="0" borderId="0" xfId="0" applyFont="1" applyAlignment="1" applyProtection="1">
      <alignment horizontal="center" vertical="center" wrapText="1"/>
      <protection locked="0"/>
    </xf>
    <xf numFmtId="0" fontId="31" fillId="0" borderId="0" xfId="0" applyFont="1" applyAlignment="1" applyProtection="1">
      <alignment horizontal="center" vertical="center" wrapText="1"/>
      <protection hidden="1"/>
    </xf>
    <xf numFmtId="0" fontId="22" fillId="8" borderId="27" xfId="0" applyFont="1" applyFill="1" applyBorder="1" applyAlignment="1" applyProtection="1">
      <alignment horizontal="left" vertical="center"/>
      <protection hidden="1"/>
    </xf>
    <xf numFmtId="0" fontId="48" fillId="8" borderId="28" xfId="0" applyFont="1" applyFill="1" applyBorder="1" applyAlignment="1" applyProtection="1">
      <alignment horizontal="right" vertical="center"/>
      <protection hidden="1"/>
    </xf>
    <xf numFmtId="0" fontId="48" fillId="8" borderId="29" xfId="0" applyFont="1" applyFill="1" applyBorder="1" applyAlignment="1" applyProtection="1">
      <alignment horizontal="right" vertical="center"/>
      <protection hidden="1"/>
    </xf>
    <xf numFmtId="0" fontId="37" fillId="0" borderId="22" xfId="0" applyFont="1" applyBorder="1" applyAlignment="1" applyProtection="1">
      <alignment horizontal="center" vertical="center" wrapText="1"/>
      <protection locked="0"/>
    </xf>
    <xf numFmtId="0" fontId="31" fillId="0" borderId="28" xfId="0" applyFont="1" applyBorder="1" applyAlignment="1" applyProtection="1">
      <alignment horizontal="center" vertical="center" wrapText="1"/>
      <protection hidden="1"/>
    </xf>
    <xf numFmtId="0" fontId="46" fillId="8" borderId="8" xfId="0" applyFont="1" applyFill="1" applyBorder="1" applyAlignment="1" applyProtection="1">
      <alignment horizontal="left" vertical="center" wrapText="1"/>
      <protection hidden="1"/>
    </xf>
    <xf numFmtId="0" fontId="46" fillId="8" borderId="11" xfId="0" applyFont="1" applyFill="1" applyBorder="1" applyAlignment="1" applyProtection="1">
      <alignment horizontal="left" vertical="center" wrapText="1"/>
      <protection hidden="1"/>
    </xf>
    <xf numFmtId="0" fontId="22" fillId="8" borderId="25" xfId="0" applyFont="1" applyFill="1" applyBorder="1" applyProtection="1">
      <alignment vertical="center"/>
      <protection hidden="1"/>
    </xf>
    <xf numFmtId="0" fontId="23" fillId="8" borderId="26" xfId="0" applyFont="1" applyFill="1" applyBorder="1" applyAlignment="1" applyProtection="1">
      <alignment horizontal="left" vertical="center" wrapText="1" indent="1"/>
      <protection hidden="1"/>
    </xf>
    <xf numFmtId="0" fontId="23" fillId="8" borderId="30" xfId="0" applyFont="1" applyFill="1" applyBorder="1" applyAlignment="1" applyProtection="1">
      <alignment horizontal="left" vertical="center" wrapText="1" indent="1"/>
      <protection hidden="1"/>
    </xf>
    <xf numFmtId="0" fontId="23" fillId="8" borderId="31" xfId="0" applyFont="1" applyFill="1" applyBorder="1" applyAlignment="1" applyProtection="1">
      <alignment horizontal="left" vertical="center" wrapText="1" indent="1"/>
      <protection hidden="1"/>
    </xf>
    <xf numFmtId="0" fontId="48" fillId="8" borderId="0" xfId="0" applyFont="1" applyFill="1" applyAlignment="1" applyProtection="1">
      <alignment horizontal="center" vertical="center"/>
      <protection hidden="1"/>
    </xf>
    <xf numFmtId="0" fontId="48" fillId="8" borderId="7" xfId="0" applyFont="1" applyFill="1" applyBorder="1" applyAlignment="1" applyProtection="1">
      <alignment horizontal="center" vertical="center"/>
      <protection hidden="1"/>
    </xf>
    <xf numFmtId="0" fontId="13" fillId="8" borderId="15" xfId="0" applyFont="1" applyFill="1" applyBorder="1" applyProtection="1">
      <alignment vertical="center"/>
      <protection hidden="1"/>
    </xf>
    <xf numFmtId="0" fontId="38" fillId="8" borderId="14" xfId="0" applyFont="1" applyFill="1" applyBorder="1" applyProtection="1">
      <alignment vertical="center"/>
      <protection hidden="1"/>
    </xf>
    <xf numFmtId="0" fontId="23" fillId="8" borderId="14" xfId="0" applyFont="1" applyFill="1" applyBorder="1" applyAlignment="1" applyProtection="1">
      <alignment vertical="center" wrapText="1"/>
      <protection hidden="1"/>
    </xf>
    <xf numFmtId="0" fontId="24" fillId="8" borderId="14" xfId="0" applyFont="1" applyFill="1" applyBorder="1" applyProtection="1">
      <alignment vertical="center"/>
      <protection hidden="1"/>
    </xf>
    <xf numFmtId="0" fontId="13" fillId="8" borderId="32" xfId="0" applyFont="1" applyFill="1" applyBorder="1" applyProtection="1">
      <alignment vertical="center"/>
      <protection hidden="1"/>
    </xf>
    <xf numFmtId="0" fontId="38" fillId="8" borderId="0" xfId="0" applyFont="1" applyFill="1" applyProtection="1">
      <alignment vertical="center"/>
      <protection hidden="1"/>
    </xf>
    <xf numFmtId="0" fontId="49" fillId="8" borderId="1" xfId="0" applyFont="1" applyFill="1" applyBorder="1" applyAlignment="1" applyProtection="1">
      <alignment horizontal="left" vertical="center" wrapText="1"/>
      <protection hidden="1"/>
    </xf>
    <xf numFmtId="0" fontId="49" fillId="8" borderId="0" xfId="0" applyFont="1" applyFill="1" applyAlignment="1" applyProtection="1">
      <alignment horizontal="left" vertical="center" wrapText="1"/>
      <protection hidden="1"/>
    </xf>
    <xf numFmtId="0" fontId="50" fillId="8" borderId="1" xfId="0" applyFont="1" applyFill="1" applyBorder="1" applyAlignment="1" applyProtection="1">
      <alignment horizontal="left" vertical="center" wrapText="1"/>
      <protection hidden="1"/>
    </xf>
    <xf numFmtId="0" fontId="50" fillId="8" borderId="0" xfId="0" applyFont="1" applyFill="1" applyAlignment="1" applyProtection="1">
      <alignment horizontal="left" vertical="center" wrapText="1"/>
      <protection hidden="1"/>
    </xf>
    <xf numFmtId="0" fontId="23" fillId="8" borderId="1" xfId="0" applyFont="1" applyFill="1" applyBorder="1" applyAlignment="1" applyProtection="1">
      <alignment horizontal="left" vertical="center" wrapText="1"/>
      <protection hidden="1"/>
    </xf>
    <xf numFmtId="0" fontId="1" fillId="8" borderId="1" xfId="0" applyFont="1" applyFill="1" applyBorder="1" applyAlignment="1" applyProtection="1">
      <alignment horizontal="center" vertical="center" wrapText="1"/>
      <protection hidden="1"/>
    </xf>
    <xf numFmtId="0" fontId="1" fillId="8" borderId="0" xfId="0" applyFont="1" applyFill="1" applyAlignment="1" applyProtection="1">
      <alignment horizontal="center" vertical="center" wrapText="1"/>
      <protection hidden="1"/>
    </xf>
    <xf numFmtId="0" fontId="51" fillId="8" borderId="0" xfId="0" applyFont="1" applyFill="1" applyAlignment="1" applyProtection="1">
      <alignment horizontal="left" vertical="center" wrapText="1"/>
      <protection hidden="1"/>
    </xf>
    <xf numFmtId="0" fontId="22" fillId="8" borderId="1" xfId="0" applyFont="1" applyFill="1" applyBorder="1" applyAlignment="1" applyProtection="1">
      <alignment horizontal="left" vertical="center" wrapText="1"/>
      <protection hidden="1"/>
    </xf>
    <xf numFmtId="0" fontId="22" fillId="8" borderId="0" xfId="0" applyFont="1" applyFill="1" applyAlignment="1" applyProtection="1">
      <alignment horizontal="left" vertical="center" wrapText="1"/>
      <protection hidden="1"/>
    </xf>
    <xf numFmtId="0" fontId="51" fillId="8" borderId="1" xfId="0" applyFont="1" applyFill="1" applyBorder="1" applyAlignment="1" applyProtection="1">
      <alignment horizontal="left" vertical="center" wrapText="1"/>
      <protection hidden="1"/>
    </xf>
    <xf numFmtId="0" fontId="1" fillId="8" borderId="1" xfId="0" applyFont="1" applyFill="1" applyBorder="1" applyAlignment="1" applyProtection="1">
      <alignment vertical="center" wrapText="1"/>
      <protection hidden="1"/>
    </xf>
    <xf numFmtId="0" fontId="1" fillId="8" borderId="8" xfId="0" applyFont="1" applyFill="1" applyBorder="1" applyAlignment="1" applyProtection="1">
      <alignment horizontal="center" vertical="center" wrapText="1"/>
      <protection hidden="1"/>
    </xf>
    <xf numFmtId="0" fontId="1" fillId="8" borderId="9" xfId="0" applyFont="1" applyFill="1" applyBorder="1" applyAlignment="1" applyProtection="1">
      <alignment horizontal="center" vertical="center" wrapText="1"/>
      <protection hidden="1"/>
    </xf>
    <xf numFmtId="0" fontId="1" fillId="8" borderId="9" xfId="0" applyFont="1" applyFill="1" applyBorder="1" applyAlignment="1" applyProtection="1">
      <alignment vertical="center" wrapText="1"/>
      <protection hidden="1"/>
    </xf>
    <xf numFmtId="0" fontId="13" fillId="8" borderId="33" xfId="0" applyFont="1" applyFill="1" applyBorder="1" applyProtection="1">
      <alignment vertical="center"/>
      <protection hidden="1"/>
    </xf>
    <xf numFmtId="0" fontId="0" fillId="15" borderId="0" xfId="0" applyFill="1" applyProtection="1">
      <alignment vertical="center"/>
      <protection hidden="1"/>
    </xf>
    <xf numFmtId="0" fontId="52" fillId="16" borderId="34" xfId="0" applyFont="1" applyFill="1" applyBorder="1" applyAlignment="1" applyProtection="1">
      <alignment horizontal="centerContinuous" vertical="center"/>
      <protection hidden="1"/>
    </xf>
    <xf numFmtId="0" fontId="52" fillId="16" borderId="35" xfId="0" applyFont="1" applyFill="1" applyBorder="1" applyAlignment="1" applyProtection="1">
      <alignment horizontal="centerContinuous" vertical="center"/>
      <protection hidden="1"/>
    </xf>
    <xf numFmtId="0" fontId="52" fillId="8" borderId="35" xfId="0" applyFont="1" applyFill="1" applyBorder="1" applyAlignment="1" applyProtection="1">
      <alignment horizontal="centerContinuous" vertical="center"/>
      <protection hidden="1"/>
    </xf>
    <xf numFmtId="0" fontId="0" fillId="8" borderId="35" xfId="0" applyFill="1" applyBorder="1" applyProtection="1">
      <alignment vertical="center"/>
      <protection hidden="1"/>
    </xf>
    <xf numFmtId="0" fontId="23" fillId="8" borderId="36" xfId="0" applyFont="1" applyFill="1" applyBorder="1" applyAlignment="1" applyProtection="1">
      <alignment horizontal="left" vertical="center"/>
      <protection hidden="1"/>
    </xf>
    <xf numFmtId="0" fontId="52" fillId="16" borderId="37" xfId="0" applyFont="1" applyFill="1" applyBorder="1" applyAlignment="1" applyProtection="1">
      <alignment horizontal="centerContinuous" vertical="center"/>
      <protection hidden="1"/>
    </xf>
    <xf numFmtId="0" fontId="52" fillId="16" borderId="0" xfId="0" applyFont="1" applyFill="1" applyAlignment="1" applyProtection="1">
      <alignment horizontal="centerContinuous" vertical="center"/>
      <protection hidden="1"/>
    </xf>
    <xf numFmtId="0" fontId="52" fillId="8" borderId="0" xfId="0" applyFont="1" applyFill="1" applyAlignment="1" applyProtection="1">
      <alignment horizontal="centerContinuous" vertical="center"/>
      <protection hidden="1"/>
    </xf>
    <xf numFmtId="177" fontId="53" fillId="8" borderId="0" xfId="0" applyNumberFormat="1" applyFont="1" applyFill="1" applyAlignment="1" applyProtection="1">
      <alignment horizontal="center" vertical="center"/>
      <protection hidden="1"/>
    </xf>
    <xf numFmtId="0" fontId="35" fillId="8" borderId="0" xfId="0" applyFont="1" applyFill="1" applyProtection="1">
      <alignment vertical="center"/>
      <protection locked="0" hidden="1"/>
    </xf>
    <xf numFmtId="0" fontId="35" fillId="8" borderId="0" xfId="0" applyFont="1" applyFill="1" applyAlignment="1" applyProtection="1">
      <alignment horizontal="left" vertical="center"/>
      <protection locked="0" hidden="1"/>
    </xf>
    <xf numFmtId="0" fontId="35" fillId="8" borderId="0" xfId="0" applyFont="1" applyFill="1" applyAlignment="1" applyProtection="1">
      <alignment horizontal="left" vertical="center"/>
      <protection hidden="1"/>
    </xf>
    <xf numFmtId="0" fontId="35" fillId="8" borderId="0" xfId="0" applyFont="1" applyFill="1" applyAlignment="1" applyProtection="1">
      <alignment horizontal="left" vertical="center" wrapText="1"/>
      <protection hidden="1"/>
    </xf>
    <xf numFmtId="0" fontId="23" fillId="8" borderId="38" xfId="0" applyFont="1" applyFill="1" applyBorder="1" applyAlignment="1" applyProtection="1">
      <alignment horizontal="left" vertical="center"/>
      <protection hidden="1"/>
    </xf>
    <xf numFmtId="0" fontId="23" fillId="8" borderId="0" xfId="0" applyFont="1" applyFill="1" applyAlignment="1" applyProtection="1">
      <alignment horizontal="left" vertical="center"/>
      <protection hidden="1"/>
    </xf>
    <xf numFmtId="0" fontId="23" fillId="8" borderId="0" xfId="0" applyFont="1" applyFill="1" applyAlignment="1" applyProtection="1">
      <alignment horizontal="left" vertical="center"/>
      <protection locked="0" hidden="1"/>
    </xf>
    <xf numFmtId="0" fontId="23" fillId="8" borderId="0" xfId="0" applyFont="1" applyFill="1" applyProtection="1">
      <alignment vertical="center"/>
      <protection hidden="1"/>
    </xf>
    <xf numFmtId="0" fontId="23" fillId="8" borderId="0" xfId="0" applyFont="1" applyFill="1" applyProtection="1">
      <alignment vertical="center"/>
      <protection locked="0" hidden="1"/>
    </xf>
    <xf numFmtId="0" fontId="22" fillId="8" borderId="0" xfId="0" applyFont="1" applyFill="1" applyProtection="1">
      <alignment vertical="center"/>
      <protection locked="0" hidden="1"/>
    </xf>
    <xf numFmtId="0" fontId="54" fillId="8" borderId="0" xfId="0" applyFont="1" applyFill="1" applyProtection="1">
      <alignment vertical="center"/>
      <protection hidden="1"/>
    </xf>
    <xf numFmtId="0" fontId="0" fillId="8" borderId="38" xfId="0" applyFill="1" applyBorder="1" applyProtection="1">
      <alignment vertical="center"/>
      <protection hidden="1"/>
    </xf>
    <xf numFmtId="0" fontId="55" fillId="8" borderId="0" xfId="0" applyFont="1" applyFill="1" applyAlignment="1" applyProtection="1">
      <alignment horizontal="centerContinuous" vertical="center"/>
      <protection hidden="1"/>
    </xf>
    <xf numFmtId="0" fontId="0" fillId="8" borderId="0" xfId="0" applyFill="1" applyAlignment="1" applyProtection="1">
      <alignment horizontal="centerContinuous" vertical="center"/>
      <protection hidden="1"/>
    </xf>
    <xf numFmtId="0" fontId="52" fillId="8" borderId="38" xfId="0" applyFont="1" applyFill="1" applyBorder="1" applyAlignment="1" applyProtection="1">
      <alignment horizontal="centerContinuous" vertical="center"/>
      <protection hidden="1"/>
    </xf>
    <xf numFmtId="180" fontId="23" fillId="8" borderId="0" xfId="3" applyNumberFormat="1" applyFont="1" applyFill="1" applyAlignment="1" applyProtection="1">
      <alignment vertical="center" wrapText="1"/>
      <protection hidden="1"/>
    </xf>
    <xf numFmtId="180" fontId="23" fillId="8" borderId="0" xfId="3" applyNumberFormat="1" applyFont="1" applyFill="1" applyAlignment="1" applyProtection="1">
      <alignment horizontal="right" vertical="center" wrapText="1"/>
      <protection hidden="1"/>
    </xf>
    <xf numFmtId="0" fontId="23" fillId="8" borderId="38" xfId="0" applyFont="1" applyFill="1" applyBorder="1" applyAlignment="1" applyProtection="1">
      <alignment vertical="center" wrapText="1"/>
      <protection hidden="1"/>
    </xf>
    <xf numFmtId="0" fontId="56" fillId="16" borderId="0" xfId="0" applyFont="1" applyFill="1" applyAlignment="1" applyProtection="1">
      <alignment horizontal="center" vertical="center"/>
      <protection hidden="1"/>
    </xf>
    <xf numFmtId="0" fontId="57" fillId="8" borderId="0" xfId="0" applyFont="1" applyFill="1" applyAlignment="1" applyProtection="1">
      <alignment horizontal="left" vertical="center"/>
      <protection locked="0" hidden="1"/>
    </xf>
    <xf numFmtId="10" fontId="22" fillId="8" borderId="0" xfId="3" applyNumberFormat="1" applyFont="1" applyFill="1" applyBorder="1" applyAlignment="1" applyProtection="1">
      <alignment horizontal="left" vertical="center"/>
      <protection hidden="1"/>
    </xf>
    <xf numFmtId="0" fontId="22" fillId="8" borderId="38" xfId="0" applyFont="1" applyFill="1" applyBorder="1" applyProtection="1">
      <alignment vertical="center"/>
      <protection hidden="1"/>
    </xf>
    <xf numFmtId="0" fontId="58" fillId="16" borderId="0" xfId="0" applyFont="1" applyFill="1" applyAlignment="1" applyProtection="1">
      <alignment horizontal="center" vertical="center"/>
      <protection hidden="1"/>
    </xf>
    <xf numFmtId="0" fontId="57" fillId="8" borderId="0" xfId="0" applyFont="1" applyFill="1" applyProtection="1">
      <alignment vertical="center"/>
      <protection locked="0" hidden="1"/>
    </xf>
    <xf numFmtId="0" fontId="23" fillId="8" borderId="0" xfId="0" applyFont="1" applyFill="1" applyAlignment="1" applyProtection="1">
      <alignment horizontal="center" vertical="center"/>
      <protection locked="0" hidden="1"/>
    </xf>
    <xf numFmtId="0" fontId="59" fillId="16" borderId="0" xfId="0" applyFont="1" applyFill="1" applyAlignment="1" applyProtection="1">
      <alignment horizontal="center" vertical="center"/>
      <protection hidden="1"/>
    </xf>
    <xf numFmtId="10" fontId="58" fillId="16" borderId="0" xfId="3" applyNumberFormat="1" applyFont="1" applyFill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56" fillId="16" borderId="0" xfId="0" applyFont="1" applyFill="1" applyProtection="1">
      <alignment vertical="center"/>
      <protection hidden="1"/>
    </xf>
    <xf numFmtId="0" fontId="0" fillId="8" borderId="0" xfId="0" applyFill="1" applyProtection="1">
      <alignment vertical="center"/>
      <protection locked="0" hidden="1"/>
    </xf>
    <xf numFmtId="0" fontId="23" fillId="8" borderId="38" xfId="0" applyFont="1" applyFill="1" applyBorder="1" applyAlignment="1" applyProtection="1">
      <alignment horizontal="centerContinuous" vertical="center" wrapText="1"/>
      <protection hidden="1"/>
    </xf>
    <xf numFmtId="0" fontId="22" fillId="8" borderId="38" xfId="0" applyFont="1" applyFill="1" applyBorder="1" applyAlignment="1" applyProtection="1">
      <alignment horizontal="left" vertical="center"/>
      <protection hidden="1"/>
    </xf>
    <xf numFmtId="0" fontId="58" fillId="16" borderId="0" xfId="3" applyNumberFormat="1" applyFont="1" applyFill="1" applyAlignment="1" applyProtection="1">
      <alignment horizontal="center" vertical="center"/>
      <protection hidden="1"/>
    </xf>
    <xf numFmtId="0" fontId="0" fillId="16" borderId="37" xfId="0" applyFill="1" applyBorder="1" applyProtection="1">
      <alignment vertical="center"/>
      <protection hidden="1"/>
    </xf>
    <xf numFmtId="0" fontId="0" fillId="16" borderId="0" xfId="0" applyFill="1" applyProtection="1">
      <alignment vertical="center"/>
      <protection hidden="1"/>
    </xf>
    <xf numFmtId="0" fontId="22" fillId="16" borderId="37" xfId="0" applyFont="1" applyFill="1" applyBorder="1" applyAlignment="1" applyProtection="1">
      <alignment horizontal="left" vertical="center" indent="1"/>
      <protection hidden="1"/>
    </xf>
    <xf numFmtId="0" fontId="22" fillId="16" borderId="0" xfId="0" applyFont="1" applyFill="1" applyAlignment="1" applyProtection="1">
      <alignment horizontal="left" vertical="center" indent="1"/>
      <protection hidden="1"/>
    </xf>
    <xf numFmtId="0" fontId="60" fillId="16" borderId="37" xfId="0" applyFont="1" applyFill="1" applyBorder="1" applyAlignment="1" applyProtection="1">
      <alignment horizontal="center" vertical="center" wrapText="1"/>
      <protection hidden="1"/>
    </xf>
    <xf numFmtId="0" fontId="60" fillId="16" borderId="0" xfId="0" applyFont="1" applyFill="1" applyAlignment="1" applyProtection="1">
      <alignment horizontal="center" vertical="center" wrapText="1"/>
      <protection hidden="1"/>
    </xf>
    <xf numFmtId="0" fontId="60" fillId="8" borderId="0" xfId="0" applyFont="1" applyFill="1" applyAlignment="1" applyProtection="1">
      <alignment horizontal="center" vertical="center" wrapText="1"/>
      <protection hidden="1"/>
    </xf>
    <xf numFmtId="0" fontId="23" fillId="16" borderId="37" xfId="0" applyFont="1" applyFill="1" applyBorder="1" applyAlignment="1" applyProtection="1">
      <alignment horizontal="left" vertical="center" indent="1"/>
      <protection hidden="1"/>
    </xf>
    <xf numFmtId="0" fontId="23" fillId="16" borderId="0" xfId="0" applyFont="1" applyFill="1" applyAlignment="1" applyProtection="1">
      <alignment horizontal="left" vertical="center" indent="1"/>
      <protection hidden="1"/>
    </xf>
    <xf numFmtId="0" fontId="23" fillId="8" borderId="0" xfId="0" applyFont="1" applyFill="1" applyAlignment="1" applyProtection="1">
      <alignment horizontal="left" vertical="center" indent="1"/>
      <protection hidden="1"/>
    </xf>
    <xf numFmtId="0" fontId="61" fillId="8" borderId="0" xfId="0" applyFont="1" applyFill="1" applyAlignment="1" applyProtection="1">
      <alignment horizontal="center" vertical="center" wrapText="1"/>
      <protection hidden="1"/>
    </xf>
    <xf numFmtId="0" fontId="22" fillId="16" borderId="39" xfId="0" applyFont="1" applyFill="1" applyBorder="1" applyAlignment="1" applyProtection="1">
      <alignment horizontal="left" vertical="center" indent="1"/>
      <protection hidden="1"/>
    </xf>
    <xf numFmtId="0" fontId="22" fillId="16" borderId="40" xfId="0" applyFont="1" applyFill="1" applyBorder="1" applyAlignment="1" applyProtection="1">
      <alignment horizontal="left" vertical="center" indent="1"/>
      <protection hidden="1"/>
    </xf>
    <xf numFmtId="0" fontId="0" fillId="15" borderId="40" xfId="0" applyFill="1" applyBorder="1" applyProtection="1">
      <alignment vertical="center"/>
      <protection hidden="1"/>
    </xf>
    <xf numFmtId="0" fontId="6" fillId="15" borderId="40" xfId="0" applyFont="1" applyFill="1" applyBorder="1" applyProtection="1">
      <alignment vertical="center"/>
      <protection hidden="1"/>
    </xf>
    <xf numFmtId="0" fontId="0" fillId="15" borderId="41" xfId="0" applyFill="1" applyBorder="1" applyProtection="1">
      <alignment vertical="center"/>
      <protection hidden="1"/>
    </xf>
    <xf numFmtId="0" fontId="54" fillId="16" borderId="0" xfId="0" applyFont="1" applyFill="1" applyProtection="1">
      <alignment vertical="center"/>
      <protection hidden="1"/>
    </xf>
    <xf numFmtId="0" fontId="62" fillId="16" borderId="0" xfId="0" applyFont="1" applyFill="1" applyAlignment="1" applyProtection="1">
      <alignment horizontal="left" vertical="center" indent="1"/>
      <protection hidden="1"/>
    </xf>
    <xf numFmtId="0" fontId="62" fillId="16" borderId="0" xfId="0" applyFont="1" applyFill="1" applyProtection="1">
      <alignment vertical="center"/>
      <protection hidden="1"/>
    </xf>
    <xf numFmtId="0" fontId="54" fillId="17" borderId="0" xfId="0" applyFont="1" applyFill="1" applyProtection="1">
      <alignment vertical="center"/>
      <protection locked="0" hidden="1"/>
    </xf>
    <xf numFmtId="0" fontId="22" fillId="16" borderId="0" xfId="0" applyFont="1" applyFill="1" applyAlignment="1" applyProtection="1">
      <alignment horizontal="right" vertical="center"/>
      <protection hidden="1"/>
    </xf>
    <xf numFmtId="0" fontId="22" fillId="16" borderId="0" xfId="0" applyFont="1" applyFill="1" applyAlignment="1" applyProtection="1">
      <alignment horizontal="center" vertical="center"/>
      <protection hidden="1"/>
    </xf>
    <xf numFmtId="0" fontId="22" fillId="17" borderId="0" xfId="0" applyFont="1" applyFill="1" applyAlignment="1" applyProtection="1">
      <alignment horizontal="right" vertical="center"/>
      <protection locked="0"/>
    </xf>
    <xf numFmtId="0" fontId="22" fillId="17" borderId="0" xfId="0" applyFont="1" applyFill="1" applyAlignment="1" applyProtection="1">
      <alignment horizontal="right" vertical="center"/>
      <protection hidden="1"/>
    </xf>
    <xf numFmtId="0" fontId="22" fillId="17" borderId="0" xfId="0" applyFont="1" applyFill="1" applyAlignment="1" applyProtection="1">
      <alignment horizontal="center" vertical="center"/>
      <protection locked="0"/>
    </xf>
    <xf numFmtId="0" fontId="0" fillId="17" borderId="0" xfId="0" applyFill="1" applyProtection="1">
      <alignment vertical="center"/>
      <protection locked="0"/>
    </xf>
    <xf numFmtId="0" fontId="46" fillId="16" borderId="0" xfId="0" applyFont="1" applyFill="1" applyAlignment="1" applyProtection="1">
      <alignment vertical="center" wrapText="1"/>
      <protection hidden="1"/>
    </xf>
    <xf numFmtId="10" fontId="22" fillId="17" borderId="0" xfId="3" applyNumberFormat="1" applyFont="1" applyFill="1" applyAlignment="1" applyProtection="1">
      <alignment horizontal="right" vertical="center"/>
      <protection locked="0"/>
    </xf>
    <xf numFmtId="10" fontId="22" fillId="17" borderId="0" xfId="3" applyNumberFormat="1" applyFont="1" applyFill="1" applyAlignment="1" applyProtection="1">
      <alignment horizontal="right" vertical="center"/>
      <protection hidden="1"/>
    </xf>
    <xf numFmtId="0" fontId="0" fillId="17" borderId="0" xfId="0" applyFill="1" applyProtection="1">
      <alignment vertical="center"/>
      <protection locked="0" hidden="1"/>
    </xf>
    <xf numFmtId="0" fontId="23" fillId="17" borderId="42" xfId="0" applyFont="1" applyFill="1" applyBorder="1" applyAlignment="1" applyProtection="1">
      <alignment horizontal="center" vertical="center"/>
      <protection hidden="1"/>
    </xf>
    <xf numFmtId="0" fontId="23" fillId="17" borderId="43" xfId="0" applyFont="1" applyFill="1" applyBorder="1" applyAlignment="1" applyProtection="1">
      <alignment horizontal="center" vertical="center"/>
      <protection hidden="1"/>
    </xf>
    <xf numFmtId="0" fontId="37" fillId="0" borderId="26" xfId="0" applyFont="1" applyBorder="1" applyAlignment="1" applyProtection="1">
      <alignment horizontal="center" vertical="center" wrapText="1"/>
      <protection locked="0"/>
    </xf>
    <xf numFmtId="0" fontId="37" fillId="0" borderId="30" xfId="0" applyFont="1" applyBorder="1" applyAlignment="1" applyProtection="1">
      <alignment horizontal="center" vertical="center" wrapText="1"/>
      <protection locked="0"/>
    </xf>
    <xf numFmtId="0" fontId="23" fillId="17" borderId="42" xfId="0" applyFont="1" applyFill="1" applyBorder="1" applyAlignment="1" applyProtection="1">
      <alignment horizontal="center" vertical="center" wrapText="1"/>
      <protection hidden="1"/>
    </xf>
    <xf numFmtId="0" fontId="23" fillId="17" borderId="43" xfId="0" applyFont="1" applyFill="1" applyBorder="1" applyAlignment="1" applyProtection="1">
      <alignment horizontal="center" vertical="center" wrapText="1"/>
      <protection hidden="1"/>
    </xf>
    <xf numFmtId="0" fontId="23" fillId="17" borderId="0" xfId="0" applyFont="1" applyFill="1" applyAlignment="1" applyProtection="1">
      <alignment horizontal="center" vertical="center"/>
      <protection hidden="1"/>
    </xf>
    <xf numFmtId="0" fontId="23" fillId="17" borderId="44" xfId="0" applyFont="1" applyFill="1" applyBorder="1" applyAlignment="1" applyProtection="1">
      <alignment horizontal="center" vertical="center"/>
      <protection hidden="1"/>
    </xf>
    <xf numFmtId="0" fontId="37" fillId="0" borderId="28" xfId="0" applyFont="1" applyBorder="1" applyAlignment="1" applyProtection="1">
      <alignment horizontal="center" vertical="center" wrapText="1"/>
      <protection locked="0"/>
    </xf>
    <xf numFmtId="0" fontId="37" fillId="0" borderId="29" xfId="0" applyFont="1" applyBorder="1" applyAlignment="1" applyProtection="1">
      <alignment horizontal="center" vertical="center" wrapText="1"/>
      <protection locked="0"/>
    </xf>
    <xf numFmtId="0" fontId="23" fillId="17" borderId="0" xfId="0" applyFont="1" applyFill="1" applyAlignment="1" applyProtection="1">
      <alignment horizontal="center" vertical="center" wrapText="1"/>
      <protection hidden="1"/>
    </xf>
    <xf numFmtId="0" fontId="23" fillId="17" borderId="44" xfId="0" applyFont="1" applyFill="1" applyBorder="1" applyAlignment="1" applyProtection="1">
      <alignment horizontal="center" vertical="center" wrapText="1"/>
      <protection hidden="1"/>
    </xf>
    <xf numFmtId="0" fontId="63" fillId="2" borderId="0" xfId="0" applyFont="1" applyFill="1" applyProtection="1">
      <alignment vertical="center"/>
      <protection locked="0"/>
    </xf>
    <xf numFmtId="0" fontId="64" fillId="2" borderId="0" xfId="0" applyFont="1" applyFill="1" applyProtection="1">
      <alignment vertical="center"/>
      <protection locked="0"/>
    </xf>
    <xf numFmtId="0" fontId="65" fillId="2" borderId="0" xfId="0" applyFont="1" applyFill="1" applyProtection="1">
      <alignment vertical="center"/>
      <protection locked="0"/>
    </xf>
    <xf numFmtId="0" fontId="66" fillId="2" borderId="0" xfId="0" applyFont="1" applyFill="1" applyProtection="1">
      <alignment vertical="center"/>
      <protection locked="0"/>
    </xf>
    <xf numFmtId="0" fontId="67" fillId="8" borderId="0" xfId="0" applyFont="1" applyFill="1">
      <alignment vertical="center"/>
    </xf>
    <xf numFmtId="0" fontId="68" fillId="8" borderId="0" xfId="0" applyFont="1" applyFill="1" applyAlignment="1">
      <alignment horizontal="left" vertical="center"/>
    </xf>
    <xf numFmtId="0" fontId="69" fillId="8" borderId="0" xfId="0" applyFont="1" applyFill="1" applyAlignment="1">
      <alignment horizontal="left" vertical="center"/>
    </xf>
    <xf numFmtId="0" fontId="70" fillId="8" borderId="0" xfId="0" applyFont="1" applyFill="1" applyAlignment="1">
      <alignment horizontal="left" vertical="center"/>
    </xf>
    <xf numFmtId="0" fontId="71" fillId="8" borderId="0" xfId="0" applyFont="1" applyFill="1" applyAlignment="1">
      <alignment horizontal="left" vertical="center" wrapText="1"/>
    </xf>
    <xf numFmtId="0" fontId="71" fillId="8" borderId="0" xfId="0" applyFont="1" applyFill="1" applyAlignment="1">
      <alignment horizontal="left" vertical="center"/>
    </xf>
    <xf numFmtId="0" fontId="72" fillId="8" borderId="0" xfId="0" applyFont="1" applyFill="1" applyAlignment="1">
      <alignment horizontal="left" vertical="center"/>
    </xf>
    <xf numFmtId="0" fontId="73" fillId="8" borderId="0" xfId="0" applyFont="1" applyFill="1" applyAlignment="1">
      <alignment horizontal="left" vertical="center"/>
    </xf>
    <xf numFmtId="0" fontId="74" fillId="8" borderId="0" xfId="0" applyFont="1" applyFill="1" applyAlignment="1">
      <alignment horizontal="left" vertical="center"/>
    </xf>
    <xf numFmtId="0" fontId="67" fillId="8" borderId="0" xfId="0" applyFont="1" applyFill="1" applyAlignment="1">
      <alignment horizontal="left" vertical="center"/>
    </xf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4" xfId="49"/>
    <cellStyle name="常规 5 3" xfId="50"/>
  </cellStyles>
  <dxfs count="152">
    <dxf>
      <font>
        <color rgb="FFFF0000"/>
      </font>
    </dxf>
    <dxf>
      <font>
        <color theme="3" tint="0.399853511154515"/>
      </font>
    </dxf>
    <dxf>
      <font>
        <color theme="3" tint="0.399884029663991"/>
      </font>
    </dxf>
    <dxf>
      <fill>
        <patternFill patternType="solid">
          <bgColor theme="0" tint="-0.0499893185216834"/>
        </patternFill>
      </fill>
    </dxf>
    <dxf>
      <fill>
        <patternFill patternType="solid">
          <bgColor rgb="FFFFF9FB"/>
        </patternFill>
      </fill>
    </dxf>
    <dxf>
      <fill>
        <patternFill patternType="solid">
          <bgColor rgb="FFFAFAFA"/>
        </patternFill>
      </fill>
    </dxf>
    <dxf>
      <fill>
        <patternFill patternType="solid">
          <bgColor theme="0"/>
        </patternFill>
      </fill>
    </dxf>
    <dxf>
      <font>
        <color theme="0" tint="-0.149876400036622"/>
      </font>
    </dxf>
    <dxf>
      <font>
        <color rgb="FFF56584"/>
      </font>
    </dxf>
    <dxf>
      <font>
        <b val="1"/>
        <i val="0"/>
        <color rgb="FFF56584"/>
      </font>
    </dxf>
    <dxf>
      <font>
        <color rgb="FF00B0F0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78" formatCode="0.00_ 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color rgb="FF9C0006"/>
      </font>
      <fill>
        <patternFill patternType="solid">
          <bgColor rgb="FFFFC7CE"/>
        </patternFill>
      </fill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numFmt numFmtId="0" formatCode="General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sz val="9"/>
      </font>
    </dxf>
    <dxf>
      <font>
        <name val="微软雅黑"/>
        <scheme val="none"/>
        <sz val="9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77" formatCode="0_ "/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77" formatCode="0_ "/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auto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auto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auto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auto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auto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auto="1"/>
      </font>
      <numFmt numFmtId="10" formatCode="0.00%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font>
        <name val="微软雅黑"/>
        <scheme val="none"/>
        <charset val="134"/>
        <b val="0"/>
        <i val="0"/>
        <strike val="0"/>
        <u val="none"/>
        <sz val="9"/>
        <color rgb="FFFF0000"/>
      </font>
      <alignment vertical="center" wrapText="1"/>
    </dxf>
    <dxf>
      <font>
        <name val="微软雅黑"/>
        <scheme val="none"/>
        <charset val="134"/>
        <b val="0"/>
        <i val="0"/>
        <strike val="0"/>
        <u val="none"/>
        <sz val="9"/>
        <color theme="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00ED4276"/>
      <color rgb="00F56991"/>
      <color rgb="00C2E2F9"/>
      <color rgb="00F34778"/>
      <color rgb="00F45473"/>
      <color rgb="00F24E80"/>
      <color rgb="00FDDDE7"/>
      <color rgb="00FFEFF6"/>
      <color rgb="00FFEBEF"/>
      <color rgb="00FCBD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2" Type="http://schemas.openxmlformats.org/officeDocument/2006/relationships/customXml" Target="../customXml/item2.xml"/><Relationship Id="rId41" Type="http://schemas.openxmlformats.org/officeDocument/2006/relationships/styles" Target="styles.xml"/><Relationship Id="rId40" Type="http://www.wps.cn/officeDocument/2018/jdeExtension" Target="JDEData.bin"/><Relationship Id="rId4" Type="http://schemas.openxmlformats.org/officeDocument/2006/relationships/worksheet" Target="worksheets/sheet4.xml"/><Relationship Id="rId39" Type="http://schemas.openxmlformats.org/officeDocument/2006/relationships/sheetMetadata" Target="metadata.xml"/><Relationship Id="rId38" Type="http://schemas.openxmlformats.org/officeDocument/2006/relationships/sharedStrings" Target="sharedStrings.xml"/><Relationship Id="rId37" Type="http://schemas.openxmlformats.org/officeDocument/2006/relationships/theme" Target="theme/theme1.xml"/><Relationship Id="rId36" Type="http://schemas.openxmlformats.org/officeDocument/2006/relationships/connections" Target="connections.xml"/><Relationship Id="rId35" Type="http://schemas.openxmlformats.org/officeDocument/2006/relationships/customXml" Target="../customXml/item1.xml"/><Relationship Id="rId34" Type="http://schemas.openxmlformats.org/officeDocument/2006/relationships/worksheet" Target="worksheets/sheet34.xml"/><Relationship Id="rId33" Type="http://schemas.openxmlformats.org/officeDocument/2006/relationships/worksheet" Target="worksheets/sheet33.xml"/><Relationship Id="rId32" Type="http://schemas.openxmlformats.org/officeDocument/2006/relationships/worksheet" Target="worksheets/sheet32.xml"/><Relationship Id="rId31" Type="http://schemas.openxmlformats.org/officeDocument/2006/relationships/worksheet" Target="worksheets/sheet31.xml"/><Relationship Id="rId30" Type="http://schemas.openxmlformats.org/officeDocument/2006/relationships/worksheet" Target="worksheets/sheet30.xml"/><Relationship Id="rId3" Type="http://schemas.openxmlformats.org/officeDocument/2006/relationships/worksheet" Target="worksheets/sheet3.xml"/><Relationship Id="rId29" Type="http://schemas.openxmlformats.org/officeDocument/2006/relationships/worksheet" Target="worksheets/sheet29.xml"/><Relationship Id="rId28" Type="http://schemas.openxmlformats.org/officeDocument/2006/relationships/worksheet" Target="worksheets/sheet28.xml"/><Relationship Id="rId27" Type="http://schemas.openxmlformats.org/officeDocument/2006/relationships/worksheet" Target="worksheets/sheet27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CheckBox" checked="Checked" fmlaLink="角色属性!$AJ$33" val="0"/>
</file>

<file path=xl/ctrlProps/ctrlProp2.xml><?xml version="1.0" encoding="utf-8"?>
<formControlPr xmlns="http://schemas.microsoft.com/office/spreadsheetml/2009/9/main" objectType="CheckBox" checked="Checked" fmlaLink="角色属性!$AK$33" val="0"/>
</file>

<file path=xl/ctrlProps/ctrlProp3.xml><?xml version="1.0" encoding="utf-8"?>
<formControlPr xmlns="http://schemas.microsoft.com/office/spreadsheetml/2009/9/main" objectType="CheckBox" checked="Checked" fmlaLink="角色属性!$AL$33" val="0"/>
</file>

<file path=xl/ctrlProps/ctrlProp4.xml><?xml version="1.0" encoding="utf-8"?>
<formControlPr xmlns="http://schemas.microsoft.com/office/spreadsheetml/2009/9/main" objectType="CheckBox" checked="Checked" fmlaLink="角色属性!$AJ$34" val="0"/>
</file>

<file path=xl/ctrlProps/ctrlProp5.xml><?xml version="1.0" encoding="utf-8"?>
<formControlPr xmlns="http://schemas.microsoft.com/office/spreadsheetml/2009/9/main" objectType="CheckBox" checked="Checked" fmlaLink="角色属性!$AK$34" val="0"/>
</file>

<file path=xl/ctrlProps/ctrlProp6.xml><?xml version="1.0" encoding="utf-8"?>
<formControlPr xmlns="http://schemas.microsoft.com/office/spreadsheetml/2009/9/main" objectType="CheckBox" checked="Checked" fmlaLink="角色属性!$AL$34" val="0"/>
</file>

<file path=xl/ctrlProps/ctrlProp7.xml><?xml version="1.0" encoding="utf-8"?>
<formControlPr xmlns="http://schemas.microsoft.com/office/spreadsheetml/2009/9/main" objectType="CheckBox" checked="Checked" fmlaLink="角色属性!$AM$34" val="0"/>
</file>

<file path=xl/ctrlProps/ctrlProp8.xml><?xml version="1.0" encoding="utf-8"?>
<formControlPr xmlns="http://schemas.microsoft.com/office/spreadsheetml/2009/9/main" objectType="CheckBox" fmlaLink="角色属性!$AN$34" val="0"/>
</file>

<file path=xl/ctrlProps/ctrlProp9.xml><?xml version="1.0" encoding="utf-8"?>
<formControlPr xmlns="http://schemas.microsoft.com/office/spreadsheetml/2009/9/main" objectType="CheckBox" checked="Checked" fmlaLink="角色属性!$AJ$35" val="0"/>
</file>

<file path=xl/ctrlProps/ctrlProp10.xml><?xml version="1.0" encoding="utf-8"?>
<formControlPr xmlns="http://schemas.microsoft.com/office/spreadsheetml/2009/9/main" objectType="CheckBox" checked="Checked" fmlaLink="角色属性!$AK$35" val="0"/>
</file>

<file path=xl/ctrlProps/ctrlProp11.xml><?xml version="1.0" encoding="utf-8"?>
<formControlPr xmlns="http://schemas.microsoft.com/office/spreadsheetml/2009/9/main" objectType="CheckBox" checked="Checked" fmlaLink="角色属性!$AL$35" val="0"/>
</file>

<file path=xl/ctrlProps/ctrlProp12.xml><?xml version="1.0" encoding="utf-8"?>
<formControlPr xmlns="http://schemas.microsoft.com/office/spreadsheetml/2009/9/main" objectType="CheckBox" checked="Checked" fmlaLink="角色属性!$AM$35" val="0"/>
</file>

<file path=xl/ctrlProps/ctrlProp13.xml><?xml version="1.0" encoding="utf-8"?>
<formControlPr xmlns="http://schemas.microsoft.com/office/spreadsheetml/2009/9/main" objectType="CheckBox" fmlaLink="增益大全!$G$116" val="0"/>
</file>

<file path=xl/ctrlProps/ctrlProp14.xml><?xml version="1.0" encoding="utf-8"?>
<formControlPr xmlns="http://schemas.microsoft.com/office/spreadsheetml/2009/9/main" objectType="CheckBox" fmlaLink="增益大全!$G$117" val="0"/>
</file>

<file path=xl/ctrlProps/ctrlProp15.xml><?xml version="1.0" encoding="utf-8"?>
<formControlPr xmlns="http://schemas.microsoft.com/office/spreadsheetml/2009/9/main" objectType="CheckBox" fmlaLink="增益大全!$G$118" val="0"/>
</file>

<file path=xl/ctrlProps/ctrlProp16.xml><?xml version="1.0" encoding="utf-8"?>
<formControlPr xmlns="http://schemas.microsoft.com/office/spreadsheetml/2009/9/main" objectType="CheckBox" fmlaLink="增益大全!$G$119" val="0"/>
</file>

<file path=xl/ctrlProps/ctrlProp17.xml><?xml version="1.0" encoding="utf-8"?>
<formControlPr xmlns="http://schemas.microsoft.com/office/spreadsheetml/2009/9/main" objectType="CheckBox" fmlaLink="增益大全!$G$120" val="0"/>
</file>

<file path=xl/ctrlProps/ctrlProp18.xml><?xml version="1.0" encoding="utf-8"?>
<formControlPr xmlns="http://schemas.microsoft.com/office/spreadsheetml/2009/9/main" objectType="CheckBox" fmlaLink="增益大全!$G$121" val="0"/>
</file>

<file path=xl/ctrlProps/ctrlProp19.xml><?xml version="1.0" encoding="utf-8"?>
<formControlPr xmlns="http://schemas.microsoft.com/office/spreadsheetml/2009/9/main" objectType="CheckBox" fmlaLink="增益大全!$G$122" val="0"/>
</file>

<file path=xl/ctrlProps/ctrlProp20.xml><?xml version="1.0" encoding="utf-8"?>
<formControlPr xmlns="http://schemas.microsoft.com/office/spreadsheetml/2009/9/main" objectType="CheckBox" fmlaLink="增益大全!$G$124" val="0"/>
</file>

<file path=xl/ctrlProps/ctrlProp21.xml><?xml version="1.0" encoding="utf-8"?>
<formControlPr xmlns="http://schemas.microsoft.com/office/spreadsheetml/2009/9/main" objectType="CheckBox" fmlaLink="增益大全!$G$125" val="0"/>
</file>

<file path=xl/ctrlProps/ctrlProp22.xml><?xml version="1.0" encoding="utf-8"?>
<formControlPr xmlns="http://schemas.microsoft.com/office/spreadsheetml/2009/9/main" objectType="CheckBox" fmlaLink="增益大全!$G$126" val="0"/>
</file>

<file path=xl/ctrlProps/ctrlProp23.xml><?xml version="1.0" encoding="utf-8"?>
<formControlPr xmlns="http://schemas.microsoft.com/office/spreadsheetml/2009/9/main" objectType="CheckBox" fmlaLink="增益大全!$G$127" val="0"/>
</file>

<file path=xl/ctrlProps/ctrlProp24.xml><?xml version="1.0" encoding="utf-8"?>
<formControlPr xmlns="http://schemas.microsoft.com/office/spreadsheetml/2009/9/main" objectType="CheckBox" fmlaLink="增益大全!$G$128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docs.cn/l/ckVRfNFXuBZJ" TargetMode="External"/></Relationships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s://www.jx3box.com/bps/83897" TargetMode="External"/><Relationship Id="rId3" Type="http://schemas.openxmlformats.org/officeDocument/2006/relationships/hyperlink" Target="https://www.jx3box.com/macro/106910" TargetMode="External"/><Relationship Id="rId2" Type="http://schemas.openxmlformats.org/officeDocument/2006/relationships/hyperlink" Target="https://www.jx3box.com/bps/107327" TargetMode="External"/><Relationship Id="rId1" Type="http://schemas.openxmlformats.org/officeDocument/2006/relationships/hyperlink" Target="https://www.kdocs.cn/l/ckVRfNFXuBZJ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1304925</xdr:colOff>
      <xdr:row>2</xdr:row>
      <xdr:rowOff>28575</xdr:rowOff>
    </xdr:from>
    <xdr:to>
      <xdr:col>20</xdr:col>
      <xdr:colOff>678180</xdr:colOff>
      <xdr:row>15</xdr:row>
      <xdr:rowOff>3175</xdr:rowOff>
    </xdr:to>
    <xdr:sp>
      <xdr:nvSpPr>
        <xdr:cNvPr id="4" name="文本框 3">
          <a:hlinkClick xmlns:r="http://schemas.openxmlformats.org/officeDocument/2006/relationships" r:id="rId1"/>
        </xdr:cNvPr>
        <xdr:cNvSpPr txBox="1"/>
      </xdr:nvSpPr>
      <xdr:spPr>
        <a:xfrm>
          <a:off x="10315575" y="447675"/>
          <a:ext cx="5345430" cy="2955925"/>
        </a:xfrm>
        <a:prstGeom prst="rect">
          <a:avLst/>
        </a:prstGeom>
        <a:solidFill>
          <a:schemeClr val="lt1"/>
        </a:solidFill>
        <a:ln w="9525" cmpd="sng">
          <a:solidFill>
            <a:srgbClr val="F8969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18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特别鸣谢</a:t>
          </a:r>
          <a:r>
            <a:rPr lang="zh-CN" altLang="en-US" sz="18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！</a:t>
          </a:r>
          <a:endParaRPr lang="zh-CN" altLang="en-US" sz="14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以下同学的鼎力支持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！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*水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*翎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*月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*茶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*柳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*涟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*🍀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*浆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*鱼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*菜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*y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*子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*朵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*雪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*牧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*鹿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*器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*霨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虞、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*冒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*溪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菲、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*雷、*啾、*l、*e、*🍊、*沫、*花、*咕、*。、*卿、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*®、*▫、*忠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p*l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*离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*凝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w*y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l*%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*儿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*漏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*名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*壑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*米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*❀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A*o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*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云、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*s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*鱼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*芽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*花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、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*🍊、*鐵、**</a:t>
          </a:r>
          <a:endParaRPr lang="en-US" altLang="zh-CN" sz="1100">
            <a:solidFill>
              <a:srgbClr val="F33939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100">
            <a:solidFill>
              <a:srgbClr val="F33939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（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可点击加群，定制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属于自己配色图片</a:t>
          </a:r>
          <a:r>
            <a:rPr lang="en-US" altLang="zh-CN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的纪念版计算器</a:t>
          </a:r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）</a:t>
          </a:r>
          <a:endParaRPr lang="zh-CN" altLang="en-US" sz="1100"/>
        </a:p>
        <a:p>
          <a:pPr algn="l"/>
          <a:endParaRPr lang="en-US" altLang="zh-CN" sz="1100">
            <a:solidFill>
              <a:srgbClr val="F33939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0</xdr:col>
      <xdr:colOff>131445</xdr:colOff>
      <xdr:row>0</xdr:row>
      <xdr:rowOff>99695</xdr:rowOff>
    </xdr:from>
    <xdr:to>
      <xdr:col>13</xdr:col>
      <xdr:colOff>406400</xdr:colOff>
      <xdr:row>32</xdr:row>
      <xdr:rowOff>60325</xdr:rowOff>
    </xdr:to>
    <xdr:sp>
      <xdr:nvSpPr>
        <xdr:cNvPr id="5" name="文本框 4"/>
        <xdr:cNvSpPr txBox="1"/>
      </xdr:nvSpPr>
      <xdr:spPr>
        <a:xfrm>
          <a:off x="131445" y="99695"/>
          <a:ext cx="9285605" cy="692340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en-US" altLang="zh-CN" sz="28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冰心DPS期望计算器-</a:t>
          </a:r>
          <a:r>
            <a:rPr lang="zh-CN" altLang="en-US" sz="28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暗影千机</a:t>
          </a:r>
          <a:endParaRPr lang="zh-CN" altLang="en-US" sz="26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0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本计算器仅能用于自己配装参考，禁止和其他门派比较，禁止使用本计算器牟利，最终解释权归作者所有。若你是通过付费途径才获取到本计算器的，建议你申请退款。在使用过程中，若出现乱码情况，请使用最新版的WPS、Microsoft office 365 版本。</a:t>
          </a:r>
          <a:endParaRPr lang="en-US" altLang="zh-CN" sz="10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0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zh-CN" altLang="en-US" sz="14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4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注意事项：</a:t>
          </a:r>
          <a:endParaRPr lang="zh-CN" altLang="en-US" sz="14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0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1.本计算器计算的是纯站桩的伤害期望，并不是伤害模拟更不是实战，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由于不同的人手法存在差距，再加上硬件等不可抗力方面的影响，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DPS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仅供参考，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以你实际打出来的为准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！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若有异议可删掉本计算器。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2.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冰心诀目前支持【江破玳】和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【破气玳】、【拼好玳（测试）】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循环计算，提供多种手法选择：</a:t>
          </a:r>
          <a:endParaRPr lang="zh-CN" altLang="en-US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武学助手：官方奇穴一键推荐，然后武学助手开启即可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纯手打：芳姿采用2+2（仅一次）+1的传统分配打法。（5分钟750玳64剑破64江海以上则为优秀-31799加速）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●破气玳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：芳姿采用3+0打法，即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繁音期间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3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芳姿全开，平时不开芳姿。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（5分钟790玳60剑破60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剑气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以上则为优秀-31799加速）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sym typeface="+mn-ea"/>
          </a:endParaRP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●拼好玳（测试）：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传统313打法，不太准，仅用来参考属性收益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sym typeface="+mn-ea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大橙武：默认在手打的基础上，江破玳以剑气代替江海的方式来处理特效（卡5层满堂），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破气玳也卡五层满堂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，结果仅供参考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4.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冰心诀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•悟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支持以下循环选择，均为助手延迟：</a:t>
          </a:r>
          <a:endParaRPr lang="zh-CN" altLang="en-US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武学助手：官方一键推荐，大招起手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 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●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自定义序列：具体顺序请参考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计算主页右上角链接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5.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当前版本数值膨胀厉害，木桩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DPS上下浮动8w~15w也是属于正常范围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，有时候换了装备，改个奇穴或改个打法的收益，甚至还不如波动来的大。</a:t>
          </a:r>
          <a:endParaRPr lang="zh-CN" altLang="en-US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6. 当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选择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【木桩DPS】时，所选的「T奶增益」、「阵眼」以及「小吃小药」增益均不生效（加速相关的除外）。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7. 若需要计算魔盒的配装，或是想要自己手动输入属性计算的话，请使用自定义填写功能，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但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</a:rPr>
            <a:t>注意需要自己勾选装备套装特效。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8. </a:t>
          </a:r>
          <a:r>
            <a:rPr lang="zh-CN" altLang="en-US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保存装备、装备推荐、在线更新功能，需要启用宏功能</a:t>
          </a:r>
          <a:r>
            <a:rPr lang="en-US" altLang="zh-CN" sz="1200" b="1"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sym typeface="+mn-ea"/>
            </a:rPr>
            <a:t>。</a:t>
          </a:r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en-US" altLang="zh-CN" sz="1200" b="1"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</xdr:col>
      <xdr:colOff>9525</xdr:colOff>
      <xdr:row>1</xdr:row>
      <xdr:rowOff>5715</xdr:rowOff>
    </xdr:from>
    <xdr:to>
      <xdr:col>5</xdr:col>
      <xdr:colOff>0</xdr:colOff>
      <xdr:row>8</xdr:row>
      <xdr:rowOff>55245</xdr:rowOff>
    </xdr:to>
    <xdr:sp>
      <xdr:nvSpPr>
        <xdr:cNvPr id="2" name="同侧圆角矩形 1"/>
        <xdr:cNvSpPr/>
      </xdr:nvSpPr>
      <xdr:spPr>
        <a:xfrm rot="10800000">
          <a:off x="981075" y="234315"/>
          <a:ext cx="2143125" cy="1730375"/>
        </a:xfrm>
        <a:prstGeom prst="round2SameRect">
          <a:avLst>
            <a:gd name="adj1" fmla="val 50000"/>
            <a:gd name="adj2" fmla="val 0"/>
          </a:avLst>
        </a:prstGeom>
        <a:gradFill>
          <a:gsLst>
            <a:gs pos="0">
              <a:srgbClr val="FCBDD6"/>
            </a:gs>
            <a:gs pos="100000">
              <a:srgbClr val="FFEBEF"/>
            </a:gs>
          </a:gsLst>
          <a:lin ang="16200000" scaled="1"/>
        </a:gradFill>
        <a:ln w="3175">
          <a:noFill/>
        </a:ln>
        <a:effectLst>
          <a:outerShdw blurRad="63500" dist="25400" dir="5400000" algn="t" rotWithShape="0">
            <a:srgbClr val="FCBDD6">
              <a:alpha val="25000"/>
            </a:srgbClr>
          </a:outerShdw>
        </a:effectLst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18</xdr:col>
      <xdr:colOff>40005</xdr:colOff>
      <xdr:row>2</xdr:row>
      <xdr:rowOff>205105</xdr:rowOff>
    </xdr:from>
    <xdr:to>
      <xdr:col>19</xdr:col>
      <xdr:colOff>353695</xdr:colOff>
      <xdr:row>4</xdr:row>
      <xdr:rowOff>1905</xdr:rowOff>
    </xdr:to>
    <xdr:sp>
      <xdr:nvSpPr>
        <xdr:cNvPr id="11" name="文本框 10"/>
        <xdr:cNvSpPr txBox="1"/>
      </xdr:nvSpPr>
      <xdr:spPr>
        <a:xfrm>
          <a:off x="10365105" y="612775"/>
          <a:ext cx="894715" cy="2159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（小吃小药）</a:t>
          </a:r>
          <a:endParaRPr lang="zh-CN" altLang="en-US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20</xdr:col>
      <xdr:colOff>647700</xdr:colOff>
      <xdr:row>2</xdr:row>
      <xdr:rowOff>205105</xdr:rowOff>
    </xdr:from>
    <xdr:to>
      <xdr:col>23</xdr:col>
      <xdr:colOff>19050</xdr:colOff>
      <xdr:row>4</xdr:row>
      <xdr:rowOff>1905</xdr:rowOff>
    </xdr:to>
    <xdr:sp>
      <xdr:nvSpPr>
        <xdr:cNvPr id="12" name="文本框 11"/>
        <xdr:cNvSpPr txBox="1"/>
      </xdr:nvSpPr>
      <xdr:spPr>
        <a:xfrm>
          <a:off x="12306300" y="612775"/>
          <a:ext cx="1257300" cy="21590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（家园磨石）</a:t>
          </a:r>
          <a:endParaRPr lang="zh-CN" altLang="en-US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oneCell">
    <xdr:from>
      <xdr:col>18</xdr:col>
      <xdr:colOff>240665</xdr:colOff>
      <xdr:row>7</xdr:row>
      <xdr:rowOff>85725</xdr:rowOff>
    </xdr:from>
    <xdr:to>
      <xdr:col>18</xdr:col>
      <xdr:colOff>242570</xdr:colOff>
      <xdr:row>29</xdr:row>
      <xdr:rowOff>216535</xdr:rowOff>
    </xdr:to>
    <xdr:cxnSp>
      <xdr:nvCxnSpPr>
        <xdr:cNvPr id="5" name="直接连接符 4"/>
        <xdr:cNvCxnSpPr/>
      </xdr:nvCxnSpPr>
      <xdr:spPr>
        <a:xfrm flipH="1">
          <a:off x="10565765" y="1625600"/>
          <a:ext cx="1905" cy="6101080"/>
        </a:xfrm>
        <a:prstGeom prst="line">
          <a:avLst/>
        </a:prstGeom>
        <a:ln w="12700" cmpd="sng">
          <a:solidFill>
            <a:srgbClr val="FDDDE7"/>
          </a:solidFill>
          <a:prstDash val="solid"/>
        </a:ln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405130</xdr:colOff>
      <xdr:row>7</xdr:row>
      <xdr:rowOff>33020</xdr:rowOff>
    </xdr:from>
    <xdr:to>
      <xdr:col>20</xdr:col>
      <xdr:colOff>632460</xdr:colOff>
      <xdr:row>8</xdr:row>
      <xdr:rowOff>30480</xdr:rowOff>
    </xdr:to>
    <xdr:sp>
      <xdr:nvSpPr>
        <xdr:cNvPr id="7" name="文本框 6"/>
        <xdr:cNvSpPr txBox="1"/>
      </xdr:nvSpPr>
      <xdr:spPr>
        <a:xfrm>
          <a:off x="11311255" y="1572895"/>
          <a:ext cx="979805" cy="36703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收益表</a:t>
          </a:r>
          <a:endParaRPr lang="zh-CN" altLang="en-US" sz="10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 editAs="oneCell">
    <xdr:from>
      <xdr:col>6</xdr:col>
      <xdr:colOff>0</xdr:colOff>
      <xdr:row>23</xdr:row>
      <xdr:rowOff>252730</xdr:rowOff>
    </xdr:from>
    <xdr:to>
      <xdr:col>8</xdr:col>
      <xdr:colOff>0</xdr:colOff>
      <xdr:row>25</xdr:row>
      <xdr:rowOff>72390</xdr:rowOff>
    </xdr:to>
    <xdr:sp>
      <xdr:nvSpPr>
        <xdr:cNvPr id="14" name="云形标注 13"/>
        <xdr:cNvSpPr/>
      </xdr:nvSpPr>
      <xdr:spPr>
        <a:xfrm>
          <a:off x="3352800" y="6162675"/>
          <a:ext cx="1162050" cy="353060"/>
        </a:xfrm>
        <a:prstGeom prst="cloudCallout">
          <a:avLst>
            <a:gd name="adj1" fmla="val 41237"/>
            <a:gd name="adj2" fmla="val 31110"/>
          </a:avLst>
        </a:prstGeom>
        <a:solidFill>
          <a:srgbClr val="FFEFF6">
            <a:alpha val="73000"/>
          </a:srgbClr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endParaRPr lang="zh-CN" altLang="en-US" sz="1100"/>
        </a:p>
      </xdr:txBody>
    </xdr:sp>
    <xdr:clientData/>
  </xdr:twoCellAnchor>
  <xdr:twoCellAnchor editAs="oneCell">
    <xdr:from>
      <xdr:col>6</xdr:col>
      <xdr:colOff>104140</xdr:colOff>
      <xdr:row>23</xdr:row>
      <xdr:rowOff>204470</xdr:rowOff>
    </xdr:from>
    <xdr:to>
      <xdr:col>7</xdr:col>
      <xdr:colOff>499745</xdr:colOff>
      <xdr:row>25</xdr:row>
      <xdr:rowOff>97790</xdr:rowOff>
    </xdr:to>
    <xdr:sp>
      <xdr:nvSpPr>
        <xdr:cNvPr id="15" name="文本框 14"/>
        <xdr:cNvSpPr txBox="1"/>
      </xdr:nvSpPr>
      <xdr:spPr>
        <a:xfrm>
          <a:off x="3456940" y="6114415"/>
          <a:ext cx="976630" cy="42672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2F2F2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奇穴</a:t>
          </a:r>
          <a:endParaRPr lang="zh-CN" altLang="en-US" sz="10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absolute">
    <xdr:from>
      <xdr:col>1</xdr:col>
      <xdr:colOff>118745</xdr:colOff>
      <xdr:row>5</xdr:row>
      <xdr:rowOff>305435</xdr:rowOff>
    </xdr:from>
    <xdr:to>
      <xdr:col>3</xdr:col>
      <xdr:colOff>958215</xdr:colOff>
      <xdr:row>7</xdr:row>
      <xdr:rowOff>257810</xdr:rowOff>
    </xdr:to>
    <xdr:sp macro="[0]!填写昵称" textlink="计算主页!$C$33">
      <xdr:nvSpPr>
        <xdr:cNvPr id="49" name="文本框 48"/>
        <xdr:cNvSpPr txBox="1"/>
      </xdr:nvSpPr>
      <xdr:spPr>
        <a:xfrm>
          <a:off x="1090295" y="1463675"/>
          <a:ext cx="1925320" cy="33401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fld id="{BB962C8B-B14F-4D97-AF65-F5344CB8AC3E}" type="TxLink">
            <a:rPr lang="zh-CN" altLang="en-US" b="1">
              <a:ln>
                <a:noFill/>
              </a:ln>
              <a:solidFill>
                <a:srgbClr val="F34778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未填写昵称</a:t>
          </a:fld>
          <a:endParaRPr lang="zh-CN" altLang="en-US" b="1">
            <a:ln>
              <a:noFill/>
            </a:ln>
            <a:solidFill>
              <a:srgbClr val="538DD5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6</xdr:col>
      <xdr:colOff>1270</xdr:colOff>
      <xdr:row>26</xdr:row>
      <xdr:rowOff>22225</xdr:rowOff>
    </xdr:from>
    <xdr:to>
      <xdr:col>18</xdr:col>
      <xdr:colOff>0</xdr:colOff>
      <xdr:row>26</xdr:row>
      <xdr:rowOff>253365</xdr:rowOff>
    </xdr:to>
    <xdr:sp>
      <xdr:nvSpPr>
        <xdr:cNvPr id="88" name="圆角矩形 87"/>
        <xdr:cNvSpPr/>
      </xdr:nvSpPr>
      <xdr:spPr>
        <a:xfrm>
          <a:off x="3354070" y="6732270"/>
          <a:ext cx="6971030" cy="231140"/>
        </a:xfrm>
        <a:prstGeom prst="roundRect">
          <a:avLst/>
        </a:prstGeom>
        <a:noFill/>
        <a:ln w="12700" cmpd="sng">
          <a:solidFill>
            <a:srgbClr val="FDDDE7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6</xdr:col>
      <xdr:colOff>190500</xdr:colOff>
      <xdr:row>22</xdr:row>
      <xdr:rowOff>37465</xdr:rowOff>
    </xdr:from>
    <xdr:to>
      <xdr:col>7</xdr:col>
      <xdr:colOff>463550</xdr:colOff>
      <xdr:row>22</xdr:row>
      <xdr:rowOff>237490</xdr:rowOff>
    </xdr:to>
    <xdr:sp macro="[0]!保存装备1">
      <xdr:nvSpPr>
        <xdr:cNvPr id="13" name="文本框 12"/>
        <xdr:cNvSpPr txBox="1"/>
      </xdr:nvSpPr>
      <xdr:spPr>
        <a:xfrm>
          <a:off x="3543300" y="5680710"/>
          <a:ext cx="854075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存到装备1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8</xdr:col>
      <xdr:colOff>59690</xdr:colOff>
      <xdr:row>22</xdr:row>
      <xdr:rowOff>36830</xdr:rowOff>
    </xdr:from>
    <xdr:to>
      <xdr:col>9</xdr:col>
      <xdr:colOff>333375</xdr:colOff>
      <xdr:row>22</xdr:row>
      <xdr:rowOff>236855</xdr:rowOff>
    </xdr:to>
    <xdr:sp macro="[0]!保存装备2">
      <xdr:nvSpPr>
        <xdr:cNvPr id="19" name="文本框 18"/>
        <xdr:cNvSpPr txBox="1"/>
      </xdr:nvSpPr>
      <xdr:spPr>
        <a:xfrm>
          <a:off x="4574540" y="5680075"/>
          <a:ext cx="854710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存到装备2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9</xdr:col>
      <xdr:colOff>509270</xdr:colOff>
      <xdr:row>22</xdr:row>
      <xdr:rowOff>36830</xdr:rowOff>
    </xdr:from>
    <xdr:to>
      <xdr:col>11</xdr:col>
      <xdr:colOff>203200</xdr:colOff>
      <xdr:row>22</xdr:row>
      <xdr:rowOff>236855</xdr:rowOff>
    </xdr:to>
    <xdr:sp macro="[0]!保存装备3">
      <xdr:nvSpPr>
        <xdr:cNvPr id="20" name="文本框 19"/>
        <xdr:cNvSpPr txBox="1"/>
      </xdr:nvSpPr>
      <xdr:spPr>
        <a:xfrm>
          <a:off x="5605145" y="5680075"/>
          <a:ext cx="855980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存到装备3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11</xdr:col>
      <xdr:colOff>379095</xdr:colOff>
      <xdr:row>22</xdr:row>
      <xdr:rowOff>44450</xdr:rowOff>
    </xdr:from>
    <xdr:to>
      <xdr:col>13</xdr:col>
      <xdr:colOff>71120</xdr:colOff>
      <xdr:row>22</xdr:row>
      <xdr:rowOff>244475</xdr:rowOff>
    </xdr:to>
    <xdr:sp macro="[0]!保存装备4">
      <xdr:nvSpPr>
        <xdr:cNvPr id="21" name="文本框 20"/>
        <xdr:cNvSpPr txBox="1"/>
      </xdr:nvSpPr>
      <xdr:spPr>
        <a:xfrm>
          <a:off x="6637020" y="5687695"/>
          <a:ext cx="854075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存到装备4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5</xdr:col>
      <xdr:colOff>64770</xdr:colOff>
      <xdr:row>1</xdr:row>
      <xdr:rowOff>114935</xdr:rowOff>
    </xdr:from>
    <xdr:to>
      <xdr:col>9</xdr:col>
      <xdr:colOff>191770</xdr:colOff>
      <xdr:row>5</xdr:row>
      <xdr:rowOff>34925</xdr:rowOff>
    </xdr:to>
    <xdr:sp>
      <xdr:nvSpPr>
        <xdr:cNvPr id="10" name="云形标注 9"/>
        <xdr:cNvSpPr/>
      </xdr:nvSpPr>
      <xdr:spPr>
        <a:xfrm rot="180000">
          <a:off x="3188970" y="343535"/>
          <a:ext cx="2098675" cy="849630"/>
        </a:xfrm>
        <a:prstGeom prst="cloudCallout">
          <a:avLst>
            <a:gd name="adj1" fmla="val 63845"/>
            <a:gd name="adj2" fmla="val -17646"/>
          </a:avLst>
        </a:prstGeom>
        <a:noFill/>
        <a:ln w="12700" cmpd="sng">
          <a:solidFill>
            <a:srgbClr val="FDDDE7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>
            <a:noFill/>
          </a:endParaRPr>
        </a:p>
      </xdr:txBody>
    </xdr:sp>
    <xdr:clientData/>
  </xdr:twoCellAnchor>
  <xdr:twoCellAnchor editAs="oneCell">
    <xdr:from>
      <xdr:col>6</xdr:col>
      <xdr:colOff>302260</xdr:colOff>
      <xdr:row>2</xdr:row>
      <xdr:rowOff>32385</xdr:rowOff>
    </xdr:from>
    <xdr:to>
      <xdr:col>8</xdr:col>
      <xdr:colOff>308610</xdr:colOff>
      <xdr:row>2</xdr:row>
      <xdr:rowOff>245110</xdr:rowOff>
    </xdr:to>
    <xdr:sp>
      <xdr:nvSpPr>
        <xdr:cNvPr id="24" name="文本框 23"/>
        <xdr:cNvSpPr txBox="1"/>
      </xdr:nvSpPr>
      <xdr:spPr>
        <a:xfrm>
          <a:off x="3655060" y="440055"/>
          <a:ext cx="1168400" cy="212725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900">
              <a:ln>
                <a:noFill/>
              </a:ln>
              <a:solidFill>
                <a:srgbClr val="F24E80"/>
              </a:solidFill>
              <a:effectLst/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期望参考（5分钟）</a:t>
          </a:r>
          <a:endParaRPr lang="zh-CN" altLang="en-US" sz="900">
            <a:ln>
              <a:noFill/>
            </a:ln>
            <a:solidFill>
              <a:srgbClr val="8DB4E2"/>
            </a:solidFill>
            <a:effectLst/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5</xdr:col>
      <xdr:colOff>10160</xdr:colOff>
      <xdr:row>7</xdr:row>
      <xdr:rowOff>66040</xdr:rowOff>
    </xdr:from>
    <xdr:to>
      <xdr:col>27</xdr:col>
      <xdr:colOff>7620</xdr:colOff>
      <xdr:row>7</xdr:row>
      <xdr:rowOff>73025</xdr:rowOff>
    </xdr:to>
    <xdr:cxnSp>
      <xdr:nvCxnSpPr>
        <xdr:cNvPr id="26" name="直接连接符 25"/>
        <xdr:cNvCxnSpPr/>
      </xdr:nvCxnSpPr>
      <xdr:spPr>
        <a:xfrm flipV="1">
          <a:off x="3134360" y="1605915"/>
          <a:ext cx="12341860" cy="6985"/>
        </a:xfrm>
        <a:prstGeom prst="line">
          <a:avLst/>
        </a:prstGeom>
        <a:ln w="12700" cmpd="sng">
          <a:solidFill>
            <a:srgbClr val="FDDDE7"/>
          </a:solidFill>
          <a:prstDash val="solid"/>
        </a:ln>
        <a:effectLst>
          <a:outerShdw blurRad="63500" dist="36830" dir="2700000" sx="0" sy="0" rotWithShape="0">
            <a:srgbClr val="FCBDD6"/>
          </a:outerShdw>
        </a:effectLst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 editAs="oneCell">
    <xdr:from>
      <xdr:col>22</xdr:col>
      <xdr:colOff>247650</xdr:colOff>
      <xdr:row>7</xdr:row>
      <xdr:rowOff>85725</xdr:rowOff>
    </xdr:from>
    <xdr:to>
      <xdr:col>22</xdr:col>
      <xdr:colOff>257175</xdr:colOff>
      <xdr:row>29</xdr:row>
      <xdr:rowOff>226060</xdr:rowOff>
    </xdr:to>
    <xdr:cxnSp>
      <xdr:nvCxnSpPr>
        <xdr:cNvPr id="28" name="直接连接符 27"/>
        <xdr:cNvCxnSpPr/>
      </xdr:nvCxnSpPr>
      <xdr:spPr>
        <a:xfrm flipH="1">
          <a:off x="13211175" y="1625600"/>
          <a:ext cx="9525" cy="6110605"/>
        </a:xfrm>
        <a:prstGeom prst="line">
          <a:avLst/>
        </a:prstGeom>
        <a:ln w="12700" cmpd="sng">
          <a:solidFill>
            <a:srgbClr val="FDDDE7"/>
          </a:solidFill>
          <a:prstDash val="solid"/>
        </a:ln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 editAs="oneCell">
    <xdr:from>
      <xdr:col>19</xdr:col>
      <xdr:colOff>5080</xdr:colOff>
      <xdr:row>16</xdr:row>
      <xdr:rowOff>151765</xdr:rowOff>
    </xdr:from>
    <xdr:to>
      <xdr:col>22</xdr:col>
      <xdr:colOff>46355</xdr:colOff>
      <xdr:row>16</xdr:row>
      <xdr:rowOff>158115</xdr:rowOff>
    </xdr:to>
    <xdr:cxnSp>
      <xdr:nvCxnSpPr>
        <xdr:cNvPr id="30" name="直接连接符 29"/>
        <xdr:cNvCxnSpPr/>
      </xdr:nvCxnSpPr>
      <xdr:spPr>
        <a:xfrm flipH="1" flipV="1">
          <a:off x="10911205" y="4194810"/>
          <a:ext cx="2098675" cy="6350"/>
        </a:xfrm>
        <a:prstGeom prst="line">
          <a:avLst/>
        </a:prstGeom>
        <a:ln w="12700" cmpd="sng">
          <a:solidFill>
            <a:srgbClr val="FDDDE7"/>
          </a:solidFill>
          <a:prstDash val="solid"/>
        </a:ln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284480</xdr:colOff>
      <xdr:row>7</xdr:row>
      <xdr:rowOff>33020</xdr:rowOff>
    </xdr:from>
    <xdr:to>
      <xdr:col>25</xdr:col>
      <xdr:colOff>368935</xdr:colOff>
      <xdr:row>8</xdr:row>
      <xdr:rowOff>30480</xdr:rowOff>
    </xdr:to>
    <xdr:sp>
      <xdr:nvSpPr>
        <xdr:cNvPr id="4" name="文本框 3"/>
        <xdr:cNvSpPr txBox="1"/>
      </xdr:nvSpPr>
      <xdr:spPr>
        <a:xfrm>
          <a:off x="13829030" y="1572895"/>
          <a:ext cx="979805" cy="36703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伤害占比</a:t>
          </a:r>
          <a:endParaRPr lang="zh-CN" altLang="en-US" sz="10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61595</xdr:colOff>
      <xdr:row>17</xdr:row>
      <xdr:rowOff>44450</xdr:rowOff>
    </xdr:from>
    <xdr:to>
      <xdr:col>2</xdr:col>
      <xdr:colOff>901700</xdr:colOff>
      <xdr:row>17</xdr:row>
      <xdr:rowOff>252095</xdr:rowOff>
    </xdr:to>
    <xdr:sp>
      <xdr:nvSpPr>
        <xdr:cNvPr id="62" name="文本框 61"/>
        <xdr:cNvSpPr txBox="1"/>
      </xdr:nvSpPr>
      <xdr:spPr>
        <a:xfrm>
          <a:off x="1156970" y="4354195"/>
          <a:ext cx="840105" cy="2076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破防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123190</xdr:colOff>
      <xdr:row>17</xdr:row>
      <xdr:rowOff>44450</xdr:rowOff>
    </xdr:from>
    <xdr:to>
      <xdr:col>3</xdr:col>
      <xdr:colOff>833120</xdr:colOff>
      <xdr:row>17</xdr:row>
      <xdr:rowOff>252095</xdr:rowOff>
    </xdr:to>
    <xdr:sp>
      <xdr:nvSpPr>
        <xdr:cNvPr id="65" name="文本框 64"/>
        <xdr:cNvSpPr txBox="1"/>
      </xdr:nvSpPr>
      <xdr:spPr>
        <a:xfrm>
          <a:off x="2180590" y="4354195"/>
          <a:ext cx="709930" cy="2076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无双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97790</xdr:colOff>
      <xdr:row>20</xdr:row>
      <xdr:rowOff>46990</xdr:rowOff>
    </xdr:from>
    <xdr:to>
      <xdr:col>3</xdr:col>
      <xdr:colOff>859155</xdr:colOff>
      <xdr:row>20</xdr:row>
      <xdr:rowOff>255270</xdr:rowOff>
    </xdr:to>
    <xdr:sp>
      <xdr:nvSpPr>
        <xdr:cNvPr id="68" name="文本框 67"/>
        <xdr:cNvSpPr txBox="1"/>
      </xdr:nvSpPr>
      <xdr:spPr>
        <a:xfrm>
          <a:off x="2155190" y="5156835"/>
          <a:ext cx="761365" cy="2082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破招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58420</xdr:colOff>
      <xdr:row>14</xdr:row>
      <xdr:rowOff>68580</xdr:rowOff>
    </xdr:from>
    <xdr:to>
      <xdr:col>3</xdr:col>
      <xdr:colOff>898525</xdr:colOff>
      <xdr:row>15</xdr:row>
      <xdr:rowOff>10160</xdr:rowOff>
    </xdr:to>
    <xdr:sp>
      <xdr:nvSpPr>
        <xdr:cNvPr id="71" name="文本框 70"/>
        <xdr:cNvSpPr txBox="1"/>
      </xdr:nvSpPr>
      <xdr:spPr>
        <a:xfrm>
          <a:off x="2115820" y="3578225"/>
          <a:ext cx="840105" cy="2082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会效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61595</xdr:colOff>
      <xdr:row>14</xdr:row>
      <xdr:rowOff>68580</xdr:rowOff>
    </xdr:from>
    <xdr:to>
      <xdr:col>2</xdr:col>
      <xdr:colOff>901700</xdr:colOff>
      <xdr:row>15</xdr:row>
      <xdr:rowOff>10160</xdr:rowOff>
    </xdr:to>
    <xdr:sp>
      <xdr:nvSpPr>
        <xdr:cNvPr id="74" name="文本框 73"/>
        <xdr:cNvSpPr txBox="1"/>
      </xdr:nvSpPr>
      <xdr:spPr>
        <a:xfrm>
          <a:off x="1156970" y="3578225"/>
          <a:ext cx="840105" cy="2082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会心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100965</xdr:colOff>
      <xdr:row>11</xdr:row>
      <xdr:rowOff>171450</xdr:rowOff>
    </xdr:from>
    <xdr:to>
      <xdr:col>2</xdr:col>
      <xdr:colOff>862330</xdr:colOff>
      <xdr:row>12</xdr:row>
      <xdr:rowOff>113030</xdr:rowOff>
    </xdr:to>
    <xdr:sp>
      <xdr:nvSpPr>
        <xdr:cNvPr id="77" name="文本框 76"/>
        <xdr:cNvSpPr txBox="1"/>
      </xdr:nvSpPr>
      <xdr:spPr>
        <a:xfrm>
          <a:off x="1196340" y="2880995"/>
          <a:ext cx="761365" cy="208280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根骨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3</xdr:col>
      <xdr:colOff>97790</xdr:colOff>
      <xdr:row>11</xdr:row>
      <xdr:rowOff>171450</xdr:rowOff>
    </xdr:from>
    <xdr:to>
      <xdr:col>3</xdr:col>
      <xdr:colOff>859155</xdr:colOff>
      <xdr:row>12</xdr:row>
      <xdr:rowOff>112395</xdr:rowOff>
    </xdr:to>
    <xdr:sp>
      <xdr:nvSpPr>
        <xdr:cNvPr id="80" name="文本框 79"/>
        <xdr:cNvSpPr txBox="1"/>
      </xdr:nvSpPr>
      <xdr:spPr>
        <a:xfrm>
          <a:off x="2155190" y="2880995"/>
          <a:ext cx="761365" cy="2076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基础攻击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100965</xdr:colOff>
      <xdr:row>20</xdr:row>
      <xdr:rowOff>46990</xdr:rowOff>
    </xdr:from>
    <xdr:to>
      <xdr:col>2</xdr:col>
      <xdr:colOff>862330</xdr:colOff>
      <xdr:row>20</xdr:row>
      <xdr:rowOff>254635</xdr:rowOff>
    </xdr:to>
    <xdr:sp>
      <xdr:nvSpPr>
        <xdr:cNvPr id="83" name="文本框 82"/>
        <xdr:cNvSpPr txBox="1"/>
      </xdr:nvSpPr>
      <xdr:spPr>
        <a:xfrm>
          <a:off x="1196340" y="5156835"/>
          <a:ext cx="761365" cy="207645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加速</a:t>
          </a:r>
          <a:endParaRPr lang="en-US" altLang="zh-CN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553085</xdr:colOff>
      <xdr:row>21</xdr:row>
      <xdr:rowOff>173355</xdr:rowOff>
    </xdr:from>
    <xdr:to>
      <xdr:col>3</xdr:col>
      <xdr:colOff>398780</xdr:colOff>
      <xdr:row>22</xdr:row>
      <xdr:rowOff>110490</xdr:rowOff>
    </xdr:to>
    <xdr:sp macro="[0]!自定义填写">
      <xdr:nvSpPr>
        <xdr:cNvPr id="23" name="文本框 22"/>
        <xdr:cNvSpPr txBox="1"/>
      </xdr:nvSpPr>
      <xdr:spPr>
        <a:xfrm>
          <a:off x="1648460" y="5549900"/>
          <a:ext cx="807720" cy="20383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手动填写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2</xdr:col>
      <xdr:colOff>33020</xdr:colOff>
      <xdr:row>25</xdr:row>
      <xdr:rowOff>263525</xdr:rowOff>
    </xdr:from>
    <xdr:to>
      <xdr:col>6</xdr:col>
      <xdr:colOff>5715</xdr:colOff>
      <xdr:row>27</xdr:row>
      <xdr:rowOff>73025</xdr:rowOff>
    </xdr:to>
    <xdr:sp textlink="全局设置!$B$8">
      <xdr:nvSpPr>
        <xdr:cNvPr id="27" name="文本框 26"/>
        <xdr:cNvSpPr txBox="1"/>
      </xdr:nvSpPr>
      <xdr:spPr>
        <a:xfrm>
          <a:off x="1128395" y="6706870"/>
          <a:ext cx="2230120" cy="34290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BB962C8B-B14F-4D97-AF65-F5344CB8AC3E}" type="TxLink">
            <a:rPr lang="zh-CN" altLang="en-US" sz="900" b="1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感谢：冰气、明月杳杳、南真帆</a:t>
          </a:fld>
          <a:endParaRPr lang="zh-CN" altLang="en-US" sz="900" b="1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2</xdr:col>
      <xdr:colOff>33020</xdr:colOff>
      <xdr:row>25</xdr:row>
      <xdr:rowOff>18415</xdr:rowOff>
    </xdr:from>
    <xdr:to>
      <xdr:col>4</xdr:col>
      <xdr:colOff>96520</xdr:colOff>
      <xdr:row>26</xdr:row>
      <xdr:rowOff>93980</xdr:rowOff>
    </xdr:to>
    <xdr:sp textlink="全局设置!$A$2">
      <xdr:nvSpPr>
        <xdr:cNvPr id="29" name="文本框 28"/>
        <xdr:cNvSpPr txBox="1"/>
      </xdr:nvSpPr>
      <xdr:spPr>
        <a:xfrm>
          <a:off x="1128395" y="6461760"/>
          <a:ext cx="1987550" cy="342265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fld id="{BB962C8B-B14F-4D97-AF65-F5344CB8AC3E}" type="TxLink">
            <a:rPr lang="zh-CN" altLang="en-US" sz="900" b="1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版本：1.4</a:t>
          </a:fld>
          <a:endParaRPr lang="zh-CN" altLang="en-US" sz="900" b="1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1</xdr:col>
      <xdr:colOff>103505</xdr:colOff>
      <xdr:row>24</xdr:row>
      <xdr:rowOff>260350</xdr:rowOff>
    </xdr:from>
    <xdr:to>
      <xdr:col>4</xdr:col>
      <xdr:colOff>10795</xdr:colOff>
      <xdr:row>28</xdr:row>
      <xdr:rowOff>180975</xdr:rowOff>
    </xdr:to>
    <xdr:sp>
      <xdr:nvSpPr>
        <xdr:cNvPr id="31" name="圆角矩形 30"/>
        <xdr:cNvSpPr/>
      </xdr:nvSpPr>
      <xdr:spPr>
        <a:xfrm rot="5400000">
          <a:off x="1558925" y="5953125"/>
          <a:ext cx="987425" cy="1955165"/>
        </a:xfrm>
        <a:prstGeom prst="roundRect">
          <a:avLst>
            <a:gd name="adj" fmla="val 7579"/>
          </a:avLst>
        </a:prstGeom>
        <a:noFill/>
        <a:ln w="12700">
          <a:noFill/>
          <a:prstDash val="dash"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176530</xdr:colOff>
      <xdr:row>23</xdr:row>
      <xdr:rowOff>139700</xdr:rowOff>
    </xdr:from>
    <xdr:to>
      <xdr:col>3</xdr:col>
      <xdr:colOff>775335</xdr:colOff>
      <xdr:row>24</xdr:row>
      <xdr:rowOff>92075</xdr:rowOff>
    </xdr:to>
    <xdr:sp>
      <xdr:nvSpPr>
        <xdr:cNvPr id="33" name="文本框 32">
          <a:hlinkClick xmlns:r="http://schemas.openxmlformats.org/officeDocument/2006/relationships" r:id="rId1"/>
        </xdr:cNvPr>
        <xdr:cNvSpPr txBox="1"/>
      </xdr:nvSpPr>
      <xdr:spPr>
        <a:xfrm>
          <a:off x="1271905" y="6049645"/>
          <a:ext cx="1560830" cy="21907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奖励作者喝杯蜜雪冰城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2</xdr:col>
      <xdr:colOff>79375</xdr:colOff>
      <xdr:row>27</xdr:row>
      <xdr:rowOff>95250</xdr:rowOff>
    </xdr:from>
    <xdr:to>
      <xdr:col>2</xdr:col>
      <xdr:colOff>793115</xdr:colOff>
      <xdr:row>28</xdr:row>
      <xdr:rowOff>28575</xdr:rowOff>
    </xdr:to>
    <xdr:sp macro="[0]!同步数据">
      <xdr:nvSpPr>
        <xdr:cNvPr id="40" name="文本框 39"/>
        <xdr:cNvSpPr txBox="1"/>
      </xdr:nvSpPr>
      <xdr:spPr>
        <a:xfrm>
          <a:off x="1174750" y="7071995"/>
          <a:ext cx="713740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在线更新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3</xdr:col>
      <xdr:colOff>164465</xdr:colOff>
      <xdr:row>27</xdr:row>
      <xdr:rowOff>95250</xdr:rowOff>
    </xdr:from>
    <xdr:to>
      <xdr:col>3</xdr:col>
      <xdr:colOff>872490</xdr:colOff>
      <xdr:row>28</xdr:row>
      <xdr:rowOff>28575</xdr:rowOff>
    </xdr:to>
    <xdr:sp>
      <xdr:nvSpPr>
        <xdr:cNvPr id="41" name="文本框 40">
          <a:hlinkClick xmlns:r="http://schemas.openxmlformats.org/officeDocument/2006/relationships" r:id="rId2"/>
        </xdr:cNvPr>
        <xdr:cNvSpPr txBox="1"/>
      </xdr:nvSpPr>
      <xdr:spPr>
        <a:xfrm>
          <a:off x="2221865" y="7071995"/>
          <a:ext cx="708025" cy="20002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问题反馈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27</xdr:col>
      <xdr:colOff>225425</xdr:colOff>
      <xdr:row>1</xdr:row>
      <xdr:rowOff>7620</xdr:rowOff>
    </xdr:from>
    <xdr:to>
      <xdr:col>29</xdr:col>
      <xdr:colOff>448310</xdr:colOff>
      <xdr:row>2</xdr:row>
      <xdr:rowOff>94615</xdr:rowOff>
    </xdr:to>
    <xdr:sp>
      <xdr:nvSpPr>
        <xdr:cNvPr id="42" name="文本框 41">
          <a:hlinkClick xmlns:r="http://schemas.openxmlformats.org/officeDocument/2006/relationships" r:id="rId3"/>
        </xdr:cNvPr>
        <xdr:cNvSpPr txBox="1"/>
      </xdr:nvSpPr>
      <xdr:spPr>
        <a:xfrm>
          <a:off x="15694025" y="236220"/>
          <a:ext cx="1461135" cy="266065"/>
        </a:xfrm>
        <a:prstGeom prst="roundRect">
          <a:avLst>
            <a:gd name="adj" fmla="val 24078"/>
          </a:avLst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冰心常用宏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-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点击查看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27</xdr:col>
      <xdr:colOff>225425</xdr:colOff>
      <xdr:row>2</xdr:row>
      <xdr:rowOff>180975</xdr:rowOff>
    </xdr:from>
    <xdr:to>
      <xdr:col>29</xdr:col>
      <xdr:colOff>534035</xdr:colOff>
      <xdr:row>4</xdr:row>
      <xdr:rowOff>27940</xdr:rowOff>
    </xdr:to>
    <xdr:sp>
      <xdr:nvSpPr>
        <xdr:cNvPr id="44" name="文本框 43">
          <a:hlinkClick xmlns:r="http://schemas.openxmlformats.org/officeDocument/2006/relationships" r:id="rId4"/>
        </xdr:cNvPr>
        <xdr:cNvSpPr txBox="1"/>
      </xdr:nvSpPr>
      <xdr:spPr>
        <a:xfrm>
          <a:off x="15694025" y="588645"/>
          <a:ext cx="1546860" cy="266065"/>
        </a:xfrm>
        <a:prstGeom prst="roundRect">
          <a:avLst>
            <a:gd name="adj" fmla="val 23866"/>
          </a:avLst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无界冰心攻略-点击查看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 editAs="oneCell">
    <xdr:from>
      <xdr:col>6</xdr:col>
      <xdr:colOff>15875</xdr:colOff>
      <xdr:row>7</xdr:row>
      <xdr:rowOff>205740</xdr:rowOff>
    </xdr:from>
    <xdr:to>
      <xdr:col>8</xdr:col>
      <xdr:colOff>0</xdr:colOff>
      <xdr:row>8</xdr:row>
      <xdr:rowOff>189865</xdr:rowOff>
    </xdr:to>
    <xdr:sp>
      <xdr:nvSpPr>
        <xdr:cNvPr id="9" name="云形标注 8"/>
        <xdr:cNvSpPr/>
      </xdr:nvSpPr>
      <xdr:spPr>
        <a:xfrm>
          <a:off x="3368675" y="1745615"/>
          <a:ext cx="1146175" cy="353695"/>
        </a:xfrm>
        <a:prstGeom prst="cloudCallout">
          <a:avLst>
            <a:gd name="adj1" fmla="val 41237"/>
            <a:gd name="adj2" fmla="val 31110"/>
          </a:avLst>
        </a:prstGeom>
        <a:solidFill>
          <a:srgbClr val="FFEFF6"/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6</xdr:col>
      <xdr:colOff>74930</xdr:colOff>
      <xdr:row>7</xdr:row>
      <xdr:rowOff>157480</xdr:rowOff>
    </xdr:from>
    <xdr:to>
      <xdr:col>7</xdr:col>
      <xdr:colOff>456565</xdr:colOff>
      <xdr:row>8</xdr:row>
      <xdr:rowOff>214630</xdr:rowOff>
    </xdr:to>
    <xdr:sp>
      <xdr:nvSpPr>
        <xdr:cNvPr id="18" name="文本框 17"/>
        <xdr:cNvSpPr txBox="1"/>
      </xdr:nvSpPr>
      <xdr:spPr>
        <a:xfrm>
          <a:off x="3427730" y="1697355"/>
          <a:ext cx="962660" cy="42672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2F2F2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装备</a:t>
          </a:r>
          <a:endParaRPr lang="zh-CN" altLang="en-US" sz="10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13</xdr:col>
      <xdr:colOff>0</xdr:colOff>
      <xdr:row>7</xdr:row>
      <xdr:rowOff>205740</xdr:rowOff>
    </xdr:from>
    <xdr:to>
      <xdr:col>14</xdr:col>
      <xdr:colOff>485140</xdr:colOff>
      <xdr:row>8</xdr:row>
      <xdr:rowOff>189865</xdr:rowOff>
    </xdr:to>
    <xdr:sp>
      <xdr:nvSpPr>
        <xdr:cNvPr id="39" name="云形标注 38"/>
        <xdr:cNvSpPr/>
      </xdr:nvSpPr>
      <xdr:spPr>
        <a:xfrm>
          <a:off x="7419975" y="1745615"/>
          <a:ext cx="1066165" cy="353695"/>
        </a:xfrm>
        <a:prstGeom prst="cloudCallout">
          <a:avLst>
            <a:gd name="adj1" fmla="val 41237"/>
            <a:gd name="adj2" fmla="val 31110"/>
          </a:avLst>
        </a:prstGeom>
        <a:solidFill>
          <a:srgbClr val="FFEFF6">
            <a:alpha val="73000"/>
          </a:srgbClr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13</xdr:col>
      <xdr:colOff>55245</xdr:colOff>
      <xdr:row>7</xdr:row>
      <xdr:rowOff>157480</xdr:rowOff>
    </xdr:from>
    <xdr:to>
      <xdr:col>14</xdr:col>
      <xdr:colOff>419100</xdr:colOff>
      <xdr:row>8</xdr:row>
      <xdr:rowOff>214630</xdr:rowOff>
    </xdr:to>
    <xdr:sp>
      <xdr:nvSpPr>
        <xdr:cNvPr id="43" name="文本框 42"/>
        <xdr:cNvSpPr txBox="1"/>
      </xdr:nvSpPr>
      <xdr:spPr>
        <a:xfrm>
          <a:off x="7475220" y="1697355"/>
          <a:ext cx="944880" cy="42672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2F2F2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大小附魔</a:t>
          </a:r>
          <a:endParaRPr lang="zh-CN" altLang="en-US" sz="10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16</xdr:col>
      <xdr:colOff>0</xdr:colOff>
      <xdr:row>7</xdr:row>
      <xdr:rowOff>205740</xdr:rowOff>
    </xdr:from>
    <xdr:to>
      <xdr:col>18</xdr:col>
      <xdr:colOff>0</xdr:colOff>
      <xdr:row>8</xdr:row>
      <xdr:rowOff>189865</xdr:rowOff>
    </xdr:to>
    <xdr:sp>
      <xdr:nvSpPr>
        <xdr:cNvPr id="46" name="云形标注 45"/>
        <xdr:cNvSpPr/>
      </xdr:nvSpPr>
      <xdr:spPr>
        <a:xfrm>
          <a:off x="9163050" y="1745615"/>
          <a:ext cx="1162050" cy="353695"/>
        </a:xfrm>
        <a:prstGeom prst="cloudCallout">
          <a:avLst>
            <a:gd name="adj1" fmla="val 41237"/>
            <a:gd name="adj2" fmla="val 31110"/>
          </a:avLst>
        </a:prstGeom>
        <a:solidFill>
          <a:srgbClr val="FFEFF6">
            <a:alpha val="73000"/>
          </a:srgbClr>
        </a:solidFill>
        <a:ln>
          <a:noFill/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 editAs="oneCell">
    <xdr:from>
      <xdr:col>16</xdr:col>
      <xdr:colOff>57150</xdr:colOff>
      <xdr:row>7</xdr:row>
      <xdr:rowOff>157480</xdr:rowOff>
    </xdr:from>
    <xdr:to>
      <xdr:col>17</xdr:col>
      <xdr:colOff>454660</xdr:colOff>
      <xdr:row>8</xdr:row>
      <xdr:rowOff>214630</xdr:rowOff>
    </xdr:to>
    <xdr:sp>
      <xdr:nvSpPr>
        <xdr:cNvPr id="47" name="文本框 46"/>
        <xdr:cNvSpPr txBox="1"/>
      </xdr:nvSpPr>
      <xdr:spPr>
        <a:xfrm>
          <a:off x="9220200" y="1697355"/>
          <a:ext cx="978535" cy="426720"/>
        </a:xfrm>
        <a:prstGeom prst="rect">
          <a:avLst/>
        </a:prstGeom>
        <a:noFill/>
        <a:ln w="12700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2F2F2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镶嵌</a:t>
          </a:r>
          <a:endParaRPr lang="zh-CN" altLang="en-US" sz="10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 editAs="oneCell">
    <xdr:from>
      <xdr:col>23</xdr:col>
      <xdr:colOff>504825</xdr:colOff>
      <xdr:row>0</xdr:row>
      <xdr:rowOff>125095</xdr:rowOff>
    </xdr:from>
    <xdr:to>
      <xdr:col>26</xdr:col>
      <xdr:colOff>362585</xdr:colOff>
      <xdr:row>7</xdr:row>
      <xdr:rowOff>82550</xdr:rowOff>
    </xdr:to>
    <xdr:pic>
      <xdr:nvPicPr>
        <xdr:cNvPr id="48" name="图片 47" descr="C:/Users/Crayon/Desktop/图片扇子修改 (1).png图片扇子修改 (1)"/>
        <xdr:cNvPicPr>
          <a:picLocks noChangeAspect="1"/>
        </xdr:cNvPicPr>
      </xdr:nvPicPr>
      <xdr:blipFill>
        <a:blip r:embed="rId5"/>
        <a:srcRect l="6603" r="7063"/>
        <a:stretch>
          <a:fillRect/>
        </a:stretch>
      </xdr:blipFill>
      <xdr:spPr>
        <a:xfrm>
          <a:off x="14049375" y="125095"/>
          <a:ext cx="1296035" cy="1497330"/>
        </a:xfrm>
        <a:prstGeom prst="rect">
          <a:avLst/>
        </a:prstGeom>
        <a:noFill/>
      </xdr:spPr>
    </xdr:pic>
    <xdr:clientData/>
  </xdr:twoCellAnchor>
  <xdr:twoCellAnchor>
    <xdr:from>
      <xdr:col>27</xdr:col>
      <xdr:colOff>225425</xdr:colOff>
      <xdr:row>9</xdr:row>
      <xdr:rowOff>119380</xdr:rowOff>
    </xdr:from>
    <xdr:to>
      <xdr:col>29</xdr:col>
      <xdr:colOff>276225</xdr:colOff>
      <xdr:row>14</xdr:row>
      <xdr:rowOff>92075</xdr:rowOff>
    </xdr:to>
    <xdr:sp>
      <xdr:nvSpPr>
        <xdr:cNvPr id="32" name="文本框 31"/>
        <xdr:cNvSpPr txBox="1"/>
      </xdr:nvSpPr>
      <xdr:spPr>
        <a:xfrm>
          <a:off x="15694025" y="2295525"/>
          <a:ext cx="1289050" cy="1306195"/>
        </a:xfrm>
        <a:prstGeom prst="foldedCorner">
          <a:avLst/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导出图片：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按住鼠标左键，拖动选中红色框线内部分，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ctr+c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，在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qq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聊天窗口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ctr+v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，即可把配装存为图片</a:t>
          </a:r>
          <a:endParaRPr lang="en-US" altLang="zh-CN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0</xdr:col>
      <xdr:colOff>602615</xdr:colOff>
      <xdr:row>10</xdr:row>
      <xdr:rowOff>90805</xdr:rowOff>
    </xdr:from>
    <xdr:to>
      <xdr:col>0</xdr:col>
      <xdr:colOff>608330</xdr:colOff>
      <xdr:row>10</xdr:row>
      <xdr:rowOff>93980</xdr:rowOff>
    </xdr:to>
    <xdr:cxnSp>
      <xdr:nvCxnSpPr>
        <xdr:cNvPr id="34" name="曲线连接符 33"/>
        <xdr:cNvCxnSpPr/>
      </xdr:nvCxnSpPr>
      <xdr:spPr>
        <a:xfrm>
          <a:off x="602615" y="2533650"/>
          <a:ext cx="5715" cy="3175"/>
        </a:xfrm>
        <a:prstGeom prst="curvedConnector2">
          <a:avLst/>
        </a:prstGeom>
        <a:ln w="12700" cmpd="sng">
          <a:solidFill>
            <a:srgbClr val="FBB4D0"/>
          </a:solidFill>
          <a:prstDash val="solid"/>
        </a:ln>
        <a:effectLst>
          <a:outerShdw blurRad="50800" dist="12700" dir="16200000" rotWithShape="0">
            <a:srgbClr val="F56991">
              <a:alpha val="40000"/>
            </a:srgbClr>
          </a:outerShdw>
        </a:effectLst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3</xdr:col>
      <xdr:colOff>613410</xdr:colOff>
      <xdr:row>9</xdr:row>
      <xdr:rowOff>135890</xdr:rowOff>
    </xdr:from>
    <xdr:to>
      <xdr:col>3</xdr:col>
      <xdr:colOff>885825</xdr:colOff>
      <xdr:row>10</xdr:row>
      <xdr:rowOff>108585</xdr:rowOff>
    </xdr:to>
    <xdr:sp>
      <xdr:nvSpPr>
        <xdr:cNvPr id="53" name="弧形 52"/>
        <xdr:cNvSpPr/>
      </xdr:nvSpPr>
      <xdr:spPr>
        <a:xfrm>
          <a:off x="2670810" y="2312035"/>
          <a:ext cx="272415" cy="239395"/>
        </a:xfrm>
        <a:prstGeom prst="arc">
          <a:avLst>
            <a:gd name="adj1" fmla="val 16323292"/>
            <a:gd name="adj2" fmla="val 0"/>
          </a:avLst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/>
        <a:lstStyle/>
        <a:p>
          <a:endParaRPr lang="zh-CN" altLang="en-US"/>
        </a:p>
      </xdr:txBody>
    </xdr:sp>
    <xdr:clientData/>
  </xdr:twoCellAnchor>
  <xdr:twoCellAnchor>
    <xdr:from>
      <xdr:col>3</xdr:col>
      <xdr:colOff>892810</xdr:colOff>
      <xdr:row>9</xdr:row>
      <xdr:rowOff>267335</xdr:rowOff>
    </xdr:from>
    <xdr:to>
      <xdr:col>3</xdr:col>
      <xdr:colOff>895350</xdr:colOff>
      <xdr:row>22</xdr:row>
      <xdr:rowOff>77470</xdr:rowOff>
    </xdr:to>
    <xdr:cxnSp>
      <xdr:nvCxnSpPr>
        <xdr:cNvPr id="54" name="直接连接符 53"/>
        <xdr:cNvCxnSpPr>
          <a:endCxn id="55" idx="0"/>
        </xdr:cNvCxnSpPr>
      </xdr:nvCxnSpPr>
      <xdr:spPr>
        <a:xfrm flipH="1">
          <a:off x="2950210" y="2442845"/>
          <a:ext cx="2540" cy="327787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652780</xdr:colOff>
      <xdr:row>21</xdr:row>
      <xdr:rowOff>204470</xdr:rowOff>
    </xdr:from>
    <xdr:to>
      <xdr:col>3</xdr:col>
      <xdr:colOff>892810</xdr:colOff>
      <xdr:row>22</xdr:row>
      <xdr:rowOff>209550</xdr:rowOff>
    </xdr:to>
    <xdr:sp>
      <xdr:nvSpPr>
        <xdr:cNvPr id="55" name="弧形 54"/>
        <xdr:cNvSpPr/>
      </xdr:nvSpPr>
      <xdr:spPr>
        <a:xfrm rot="5400000">
          <a:off x="2694305" y="5596890"/>
          <a:ext cx="271780" cy="240030"/>
        </a:xfrm>
        <a:prstGeom prst="arc">
          <a:avLst>
            <a:gd name="adj1" fmla="val 16323292"/>
            <a:gd name="adj2" fmla="val 0"/>
          </a:avLst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2</xdr:col>
      <xdr:colOff>69215</xdr:colOff>
      <xdr:row>21</xdr:row>
      <xdr:rowOff>234315</xdr:rowOff>
    </xdr:from>
    <xdr:to>
      <xdr:col>2</xdr:col>
      <xdr:colOff>340995</xdr:colOff>
      <xdr:row>22</xdr:row>
      <xdr:rowOff>207010</xdr:rowOff>
    </xdr:to>
    <xdr:sp>
      <xdr:nvSpPr>
        <xdr:cNvPr id="56" name="弧形 55"/>
        <xdr:cNvSpPr/>
      </xdr:nvSpPr>
      <xdr:spPr>
        <a:xfrm rot="10800000">
          <a:off x="1164590" y="5610860"/>
          <a:ext cx="271780" cy="239395"/>
        </a:xfrm>
        <a:prstGeom prst="arc">
          <a:avLst>
            <a:gd name="adj1" fmla="val 16323292"/>
            <a:gd name="adj2" fmla="val 0"/>
          </a:avLst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2</xdr:col>
      <xdr:colOff>65087</xdr:colOff>
      <xdr:row>9</xdr:row>
      <xdr:rowOff>136842</xdr:rowOff>
    </xdr:from>
    <xdr:to>
      <xdr:col>2</xdr:col>
      <xdr:colOff>304482</xdr:colOff>
      <xdr:row>10</xdr:row>
      <xdr:rowOff>141922</xdr:rowOff>
    </xdr:to>
    <xdr:sp>
      <xdr:nvSpPr>
        <xdr:cNvPr id="58" name="弧形 57"/>
        <xdr:cNvSpPr/>
      </xdr:nvSpPr>
      <xdr:spPr>
        <a:xfrm rot="16200000">
          <a:off x="1143635" y="2328545"/>
          <a:ext cx="271780" cy="239395"/>
        </a:xfrm>
        <a:prstGeom prst="arc">
          <a:avLst>
            <a:gd name="adj1" fmla="val 16323292"/>
            <a:gd name="adj2" fmla="val 0"/>
          </a:avLst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zh-CN" altLang="en-US"/>
        </a:p>
      </xdr:txBody>
    </xdr:sp>
    <xdr:clientData/>
  </xdr:twoCellAnchor>
  <xdr:twoCellAnchor>
    <xdr:from>
      <xdr:col>2</xdr:col>
      <xdr:colOff>64135</xdr:colOff>
      <xdr:row>9</xdr:row>
      <xdr:rowOff>267335</xdr:rowOff>
    </xdr:from>
    <xdr:to>
      <xdr:col>2</xdr:col>
      <xdr:colOff>69215</xdr:colOff>
      <xdr:row>22</xdr:row>
      <xdr:rowOff>87630</xdr:rowOff>
    </xdr:to>
    <xdr:cxnSp>
      <xdr:nvCxnSpPr>
        <xdr:cNvPr id="59" name="直接连接符 58"/>
        <xdr:cNvCxnSpPr>
          <a:stCxn id="58" idx="0"/>
          <a:endCxn id="56" idx="2"/>
        </xdr:cNvCxnSpPr>
      </xdr:nvCxnSpPr>
      <xdr:spPr>
        <a:xfrm>
          <a:off x="1159510" y="2442845"/>
          <a:ext cx="5080" cy="328803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2</xdr:col>
      <xdr:colOff>200660</xdr:colOff>
      <xdr:row>22</xdr:row>
      <xdr:rowOff>207010</xdr:rowOff>
    </xdr:from>
    <xdr:to>
      <xdr:col>3</xdr:col>
      <xdr:colOff>772795</xdr:colOff>
      <xdr:row>22</xdr:row>
      <xdr:rowOff>209550</xdr:rowOff>
    </xdr:to>
    <xdr:cxnSp>
      <xdr:nvCxnSpPr>
        <xdr:cNvPr id="84" name="直接连接符 83"/>
        <xdr:cNvCxnSpPr>
          <a:stCxn id="56" idx="0"/>
          <a:endCxn id="55" idx="2"/>
        </xdr:cNvCxnSpPr>
      </xdr:nvCxnSpPr>
      <xdr:spPr>
        <a:xfrm>
          <a:off x="1296035" y="5850255"/>
          <a:ext cx="1534160" cy="254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184150</xdr:colOff>
      <xdr:row>9</xdr:row>
      <xdr:rowOff>129540</xdr:rowOff>
    </xdr:from>
    <xdr:to>
      <xdr:col>2</xdr:col>
      <xdr:colOff>396875</xdr:colOff>
      <xdr:row>9</xdr:row>
      <xdr:rowOff>135890</xdr:rowOff>
    </xdr:to>
    <xdr:cxnSp>
      <xdr:nvCxnSpPr>
        <xdr:cNvPr id="85" name="直接连接符 84"/>
        <xdr:cNvCxnSpPr>
          <a:stCxn id="58" idx="2"/>
          <a:endCxn id="6" idx="1"/>
        </xdr:cNvCxnSpPr>
      </xdr:nvCxnSpPr>
      <xdr:spPr>
        <a:xfrm flipV="1">
          <a:off x="1279525" y="2305685"/>
          <a:ext cx="212725" cy="635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3</xdr:col>
      <xdr:colOff>555625</xdr:colOff>
      <xdr:row>9</xdr:row>
      <xdr:rowOff>129540</xdr:rowOff>
    </xdr:from>
    <xdr:to>
      <xdr:col>3</xdr:col>
      <xdr:colOff>753745</xdr:colOff>
      <xdr:row>9</xdr:row>
      <xdr:rowOff>135890</xdr:rowOff>
    </xdr:to>
    <xdr:cxnSp>
      <xdr:nvCxnSpPr>
        <xdr:cNvPr id="86" name="直接连接符 85"/>
        <xdr:cNvCxnSpPr>
          <a:stCxn id="6" idx="3"/>
          <a:endCxn id="53" idx="0"/>
        </xdr:cNvCxnSpPr>
      </xdr:nvCxnSpPr>
      <xdr:spPr>
        <a:xfrm>
          <a:off x="2613025" y="2305685"/>
          <a:ext cx="198120" cy="6350"/>
        </a:xfrm>
        <a:prstGeom prst="line">
          <a:avLst/>
        </a:prstGeom>
        <a:ln w="12700" cmpd="sng">
          <a:solidFill>
            <a:srgbClr val="FDDDE7"/>
          </a:solidFill>
          <a:prstDash val="dash"/>
        </a:ln>
        <a:effectLst/>
      </xdr:spPr>
      <xdr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396875</xdr:colOff>
      <xdr:row>8</xdr:row>
      <xdr:rowOff>222250</xdr:rowOff>
    </xdr:from>
    <xdr:to>
      <xdr:col>3</xdr:col>
      <xdr:colOff>555625</xdr:colOff>
      <xdr:row>10</xdr:row>
      <xdr:rowOff>36195</xdr:rowOff>
    </xdr:to>
    <xdr:sp>
      <xdr:nvSpPr>
        <xdr:cNvPr id="6" name="文本框 5"/>
        <xdr:cNvSpPr txBox="1"/>
      </xdr:nvSpPr>
      <xdr:spPr>
        <a:xfrm>
          <a:off x="1492250" y="2131695"/>
          <a:ext cx="1120775" cy="347345"/>
        </a:xfrm>
        <a:prstGeom prst="doubleWave">
          <a:avLst/>
        </a:prstGeom>
        <a:noFill/>
        <a:ln w="12700" cmpd="sng">
          <a:solidFill>
            <a:srgbClr val="FDDDE7"/>
          </a:solidFill>
          <a:prstDash val="dash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EFF6"/>
              </a:solidFill>
            </a14:hiddenFill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altLang="zh-CN" b="1">
            <a:ln>
              <a:noFill/>
            </a:ln>
            <a:noFill/>
            <a:effectLst/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27</xdr:col>
      <xdr:colOff>225425</xdr:colOff>
      <xdr:row>14</xdr:row>
      <xdr:rowOff>231140</xdr:rowOff>
    </xdr:from>
    <xdr:to>
      <xdr:col>29</xdr:col>
      <xdr:colOff>276860</xdr:colOff>
      <xdr:row>19</xdr:row>
      <xdr:rowOff>167005</xdr:rowOff>
    </xdr:to>
    <xdr:sp>
      <xdr:nvSpPr>
        <xdr:cNvPr id="3" name="文本框 2"/>
        <xdr:cNvSpPr txBox="1"/>
      </xdr:nvSpPr>
      <xdr:spPr>
        <a:xfrm>
          <a:off x="15694025" y="3740785"/>
          <a:ext cx="1289685" cy="1269365"/>
        </a:xfrm>
        <a:prstGeom prst="foldedCorner">
          <a:avLst/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转移配装：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按住鼠标左键，拖动选中老版本装备，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ctr+c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，在新版本同位置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ctr+v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，即可把旧版的配装移过来</a:t>
          </a:r>
          <a:endParaRPr lang="en-US" altLang="zh-CN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 editAs="absolute">
    <xdr:from>
      <xdr:col>2</xdr:col>
      <xdr:colOff>453390</xdr:colOff>
      <xdr:row>1</xdr:row>
      <xdr:rowOff>104775</xdr:rowOff>
    </xdr:from>
    <xdr:to>
      <xdr:col>3</xdr:col>
      <xdr:colOff>499110</xdr:colOff>
      <xdr:row>5</xdr:row>
      <xdr:rowOff>198120</xdr:rowOff>
    </xdr:to>
    <xdr:sp macro="[0]!填写昵称">
      <xdr:nvSpPr>
        <xdr:cNvPr id="17" name="头像"/>
        <xdr:cNvSpPr>
          <a:spLocks noChangeAspect="1"/>
        </xdr:cNvSpPr>
      </xdr:nvSpPr>
      <xdr:spPr>
        <a:xfrm>
          <a:off x="1548765" y="333375"/>
          <a:ext cx="1007745" cy="1022985"/>
        </a:xfrm>
        <a:prstGeom prst="ellipse">
          <a:avLst/>
        </a:prstGeom>
        <a:blipFill rotWithShape="1">
          <a:blip r:embed="rId6"/>
          <a:stretch>
            <a:fillRect/>
          </a:stretch>
        </a:blipFill>
        <a:ln w="12700">
          <a:solidFill>
            <a:srgbClr val="F34778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zh-CN" altLang="en-US" sz="1100"/>
        </a:p>
      </xdr:txBody>
    </xdr:sp>
    <xdr:clientData/>
  </xdr:twoCellAnchor>
  <xdr:twoCellAnchor>
    <xdr:from>
      <xdr:col>2</xdr:col>
      <xdr:colOff>6350</xdr:colOff>
      <xdr:row>39</xdr:row>
      <xdr:rowOff>88900</xdr:rowOff>
    </xdr:from>
    <xdr:to>
      <xdr:col>2</xdr:col>
      <xdr:colOff>548640</xdr:colOff>
      <xdr:row>40</xdr:row>
      <xdr:rowOff>50800</xdr:rowOff>
    </xdr:to>
    <xdr:sp macro="[0]!更新头像">
      <xdr:nvSpPr>
        <xdr:cNvPr id="22" name="文本框 21"/>
        <xdr:cNvSpPr txBox="1"/>
      </xdr:nvSpPr>
      <xdr:spPr>
        <a:xfrm>
          <a:off x="1101725" y="9885045"/>
          <a:ext cx="542290" cy="190500"/>
        </a:xfrm>
        <a:prstGeom prst="roundRect">
          <a:avLst/>
        </a:prstGeom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更换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27</xdr:col>
      <xdr:colOff>225425</xdr:colOff>
      <xdr:row>5</xdr:row>
      <xdr:rowOff>53975</xdr:rowOff>
    </xdr:from>
    <xdr:to>
      <xdr:col>29</xdr:col>
      <xdr:colOff>276225</xdr:colOff>
      <xdr:row>8</xdr:row>
      <xdr:rowOff>247015</xdr:rowOff>
    </xdr:to>
    <xdr:sp>
      <xdr:nvSpPr>
        <xdr:cNvPr id="25" name="文本框 24"/>
        <xdr:cNvSpPr txBox="1"/>
      </xdr:nvSpPr>
      <xdr:spPr>
        <a:xfrm>
          <a:off x="15694025" y="1212215"/>
          <a:ext cx="1289050" cy="944245"/>
        </a:xfrm>
        <a:prstGeom prst="foldedCorner">
          <a:avLst/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增益启关：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当选择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【木桩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DPS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】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宋体" panose="02010600030101010101" pitchFamily="7" charset="-122"/>
            </a:rPr>
            <a:t>时，所有增益不生效，加速相关的除外</a:t>
          </a:r>
          <a:endParaRPr lang="zh-CN" altLang="en-US" sz="900">
            <a:solidFill>
              <a:srgbClr val="000000"/>
            </a:solidFill>
            <a:latin typeface="宋体" panose="02010600030101010101" pitchFamily="7" charset="-122"/>
            <a:ea typeface="宋体" panose="02010600030101010101" pitchFamily="7" charset="-122"/>
            <a:cs typeface="宋体" panose="02010600030101010101" pitchFamily="7" charset="-122"/>
            <a:sym typeface="宋体" panose="02010600030101010101" pitchFamily="7" charset="-122"/>
          </a:endParaRPr>
        </a:p>
        <a:p>
          <a:pPr algn="l"/>
          <a:endParaRPr lang="en-US" altLang="zh-CN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0</xdr:col>
      <xdr:colOff>790575</xdr:colOff>
      <xdr:row>41</xdr:row>
      <xdr:rowOff>24765</xdr:rowOff>
    </xdr:from>
    <xdr:to>
      <xdr:col>2</xdr:col>
      <xdr:colOff>879475</xdr:colOff>
      <xdr:row>46</xdr:row>
      <xdr:rowOff>151130</xdr:rowOff>
    </xdr:to>
    <xdr:sp>
      <xdr:nvSpPr>
        <xdr:cNvPr id="36" name="文本框 35"/>
        <xdr:cNvSpPr txBox="1"/>
      </xdr:nvSpPr>
      <xdr:spPr>
        <a:xfrm>
          <a:off x="790575" y="10278110"/>
          <a:ext cx="1184275" cy="1269365"/>
        </a:xfrm>
        <a:prstGeom prst="foldedCorner">
          <a:avLst/>
        </a:prstGeom>
        <a:solidFill>
          <a:srgbClr val="FFF9FB"/>
        </a:solidFill>
        <a:ln w="12700" cap="flat" cmpd="sng" algn="ctr">
          <a:solidFill>
            <a:srgbClr val="FCD9E8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000" b="1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头像自定义：</a:t>
          </a:r>
          <a:endParaRPr lang="zh-CN" altLang="en-US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  <a:p>
          <a:pPr algn="l"/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把头像命名为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“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头像</a:t>
          </a:r>
          <a:r>
            <a:rPr lang="en-US" altLang="zh-CN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.jpg”</a:t>
          </a:r>
          <a:r>
            <a:rPr lang="zh-CN" altLang="en-US" sz="900">
              <a:ln>
                <a:noFill/>
              </a:ln>
              <a:solidFill>
                <a:srgbClr val="F56991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，然后放在计算器所在文件夹里面，然后再点击更换</a:t>
          </a:r>
          <a:endParaRPr lang="en-US" altLang="zh-CN" sz="900">
            <a:ln>
              <a:noFill/>
            </a:ln>
            <a:solidFill>
              <a:srgbClr val="F56991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3</xdr:col>
      <xdr:colOff>9525</xdr:colOff>
      <xdr:row>86</xdr:row>
      <xdr:rowOff>216535</xdr:rowOff>
    </xdr:from>
    <xdr:to>
      <xdr:col>3</xdr:col>
      <xdr:colOff>721360</xdr:colOff>
      <xdr:row>87</xdr:row>
      <xdr:rowOff>191770</xdr:rowOff>
    </xdr:to>
    <xdr:sp macro="[0]!应用D组基准色">
      <xdr:nvSpPr>
        <xdr:cNvPr id="8" name="文本框 7"/>
        <xdr:cNvSpPr txBox="1"/>
      </xdr:nvSpPr>
      <xdr:spPr>
        <a:xfrm>
          <a:off x="2066925" y="20756880"/>
          <a:ext cx="711835" cy="20383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更改颜色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  <xdr:twoCellAnchor>
    <xdr:from>
      <xdr:col>4</xdr:col>
      <xdr:colOff>14605</xdr:colOff>
      <xdr:row>86</xdr:row>
      <xdr:rowOff>216535</xdr:rowOff>
    </xdr:from>
    <xdr:to>
      <xdr:col>6</xdr:col>
      <xdr:colOff>426085</xdr:colOff>
      <xdr:row>87</xdr:row>
      <xdr:rowOff>191770</xdr:rowOff>
    </xdr:to>
    <xdr:sp macro="[0]!应用T组基准色">
      <xdr:nvSpPr>
        <xdr:cNvPr id="16" name="文本框 15"/>
        <xdr:cNvSpPr txBox="1"/>
      </xdr:nvSpPr>
      <xdr:spPr>
        <a:xfrm>
          <a:off x="3034030" y="20756880"/>
          <a:ext cx="744855" cy="203835"/>
        </a:xfrm>
        <a:prstGeom prst="roundRect">
          <a:avLst/>
        </a:prstGeom>
        <a:ln w="12700" cap="flat" cmpd="sng" algn="ctr">
          <a:solidFill>
            <a:srgbClr val="FDDDE7"/>
          </a:solidFill>
          <a:prstDash val="solid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24E80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  <a:sym typeface="微软雅黑" panose="020B0503020204020204" charset="-122"/>
            </a:rPr>
            <a:t>恢复默认</a:t>
          </a:r>
          <a:endParaRPr lang="zh-CN" altLang="en-US" sz="900">
            <a:ln>
              <a:noFill/>
            </a:ln>
            <a:solidFill>
              <a:srgbClr val="8DB4E2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  <a:sym typeface="微软雅黑" panose="020B0503020204020204" charset="-122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3</xdr:row>
          <xdr:rowOff>0</xdr:rowOff>
        </xdr:from>
        <xdr:to>
          <xdr:col>24</xdr:col>
          <xdr:colOff>552450</xdr:colOff>
          <xdr:row>3</xdr:row>
          <xdr:rowOff>219075</xdr:rowOff>
        </xdr:to>
        <xdr:sp>
          <xdr:nvSpPr>
            <xdr:cNvPr id="59509" name="Check Box 117" hidden="1">
              <a:extLst>
                <a:ext uri="{63B3BB69-23CF-44E3-9099-C40C66FF867C}">
                  <a14:compatExt spid="_x0000_s59509"/>
                </a:ext>
              </a:extLst>
            </xdr:cNvPr>
            <xdr:cNvSpPr/>
          </xdr:nvSpPr>
          <xdr:spPr>
            <a:xfrm>
              <a:off x="12087225" y="726440"/>
              <a:ext cx="733425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</xdr:row>
          <xdr:rowOff>0</xdr:rowOff>
        </xdr:from>
        <xdr:to>
          <xdr:col>26</xdr:col>
          <xdr:colOff>581025</xdr:colOff>
          <xdr:row>3</xdr:row>
          <xdr:rowOff>219075</xdr:rowOff>
        </xdr:to>
        <xdr:sp>
          <xdr:nvSpPr>
            <xdr:cNvPr id="59510" name="Check Box 118" hidden="1">
              <a:extLst>
                <a:ext uri="{63B3BB69-23CF-44E3-9099-C40C66FF867C}">
                  <a14:compatExt spid="_x0000_s59510"/>
                </a:ext>
              </a:extLst>
            </xdr:cNvPr>
            <xdr:cNvSpPr/>
          </xdr:nvSpPr>
          <xdr:spPr>
            <a:xfrm>
              <a:off x="13049250" y="726440"/>
              <a:ext cx="7239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3</xdr:row>
          <xdr:rowOff>0</xdr:rowOff>
        </xdr:from>
        <xdr:to>
          <xdr:col>29</xdr:col>
          <xdr:colOff>419100</xdr:colOff>
          <xdr:row>3</xdr:row>
          <xdr:rowOff>219075</xdr:rowOff>
        </xdr:to>
        <xdr:sp>
          <xdr:nvSpPr>
            <xdr:cNvPr id="59511" name="Check Box 119" hidden="1">
              <a:extLst>
                <a:ext uri="{63B3BB69-23CF-44E3-9099-C40C66FF867C}">
                  <a14:compatExt spid="_x0000_s59511"/>
                </a:ext>
              </a:extLst>
            </xdr:cNvPr>
            <xdr:cNvSpPr/>
          </xdr:nvSpPr>
          <xdr:spPr>
            <a:xfrm>
              <a:off x="14106525" y="726440"/>
              <a:ext cx="733425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6</xdr:row>
          <xdr:rowOff>0</xdr:rowOff>
        </xdr:from>
        <xdr:to>
          <xdr:col>24</xdr:col>
          <xdr:colOff>561975</xdr:colOff>
          <xdr:row>6</xdr:row>
          <xdr:rowOff>219075</xdr:rowOff>
        </xdr:to>
        <xdr:sp>
          <xdr:nvSpPr>
            <xdr:cNvPr id="59512" name="Check Box 120" hidden="1">
              <a:extLst>
                <a:ext uri="{63B3BB69-23CF-44E3-9099-C40C66FF867C}">
                  <a14:compatExt spid="_x0000_s59512"/>
                </a:ext>
              </a:extLst>
            </xdr:cNvPr>
            <xdr:cNvSpPr/>
          </xdr:nvSpPr>
          <xdr:spPr>
            <a:xfrm>
              <a:off x="12087225" y="1412240"/>
              <a:ext cx="74295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590550</xdr:colOff>
          <xdr:row>6</xdr:row>
          <xdr:rowOff>219075</xdr:rowOff>
        </xdr:to>
        <xdr:sp>
          <xdr:nvSpPr>
            <xdr:cNvPr id="59513" name="Check Box 121" hidden="1">
              <a:extLst>
                <a:ext uri="{63B3BB69-23CF-44E3-9099-C40C66FF867C}">
                  <a14:compatExt spid="_x0000_s59513"/>
                </a:ext>
              </a:extLst>
            </xdr:cNvPr>
            <xdr:cNvSpPr/>
          </xdr:nvSpPr>
          <xdr:spPr>
            <a:xfrm>
              <a:off x="13049250" y="1412240"/>
              <a:ext cx="733425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6</xdr:row>
          <xdr:rowOff>0</xdr:rowOff>
        </xdr:from>
        <xdr:to>
          <xdr:col>29</xdr:col>
          <xdr:colOff>419100</xdr:colOff>
          <xdr:row>6</xdr:row>
          <xdr:rowOff>219075</xdr:rowOff>
        </xdr:to>
        <xdr:sp>
          <xdr:nvSpPr>
            <xdr:cNvPr id="59514" name="Check Box 122" hidden="1">
              <a:extLst>
                <a:ext uri="{63B3BB69-23CF-44E3-9099-C40C66FF867C}">
                  <a14:compatExt spid="_x0000_s59514"/>
                </a:ext>
              </a:extLst>
            </xdr:cNvPr>
            <xdr:cNvSpPr/>
          </xdr:nvSpPr>
          <xdr:spPr>
            <a:xfrm>
              <a:off x="14106525" y="1412240"/>
              <a:ext cx="733425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7</xdr:row>
          <xdr:rowOff>0</xdr:rowOff>
        </xdr:from>
        <xdr:to>
          <xdr:col>24</xdr:col>
          <xdr:colOff>552450</xdr:colOff>
          <xdr:row>7</xdr:row>
          <xdr:rowOff>219075</xdr:rowOff>
        </xdr:to>
        <xdr:sp>
          <xdr:nvSpPr>
            <xdr:cNvPr id="59515" name="Check Box 123" hidden="1">
              <a:extLst>
                <a:ext uri="{63B3BB69-23CF-44E3-9099-C40C66FF867C}">
                  <a14:compatExt spid="_x0000_s59515"/>
                </a:ext>
              </a:extLst>
            </xdr:cNvPr>
            <xdr:cNvSpPr/>
          </xdr:nvSpPr>
          <xdr:spPr>
            <a:xfrm>
              <a:off x="12087225" y="1640840"/>
              <a:ext cx="733425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676275</xdr:colOff>
          <xdr:row>7</xdr:row>
          <xdr:rowOff>219075</xdr:rowOff>
        </xdr:to>
        <xdr:sp>
          <xdr:nvSpPr>
            <xdr:cNvPr id="59516" name="Check Box 124" hidden="1">
              <a:extLst>
                <a:ext uri="{63B3BB69-23CF-44E3-9099-C40C66FF867C}">
                  <a14:compatExt spid="_x0000_s59516"/>
                </a:ext>
              </a:extLst>
            </xdr:cNvPr>
            <xdr:cNvSpPr/>
          </xdr:nvSpPr>
          <xdr:spPr>
            <a:xfrm>
              <a:off x="13049250" y="1640840"/>
              <a:ext cx="81915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10</xdr:row>
          <xdr:rowOff>0</xdr:rowOff>
        </xdr:from>
        <xdr:to>
          <xdr:col>24</xdr:col>
          <xdr:colOff>561975</xdr:colOff>
          <xdr:row>10</xdr:row>
          <xdr:rowOff>219075</xdr:rowOff>
        </xdr:to>
        <xdr:sp>
          <xdr:nvSpPr>
            <xdr:cNvPr id="59517" name="Check Box 125" hidden="1">
              <a:extLst>
                <a:ext uri="{63B3BB69-23CF-44E3-9099-C40C66FF867C}">
                  <a14:compatExt spid="_x0000_s59517"/>
                </a:ext>
              </a:extLst>
            </xdr:cNvPr>
            <xdr:cNvSpPr/>
          </xdr:nvSpPr>
          <xdr:spPr>
            <a:xfrm>
              <a:off x="12087225" y="2326640"/>
              <a:ext cx="74295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10</xdr:row>
          <xdr:rowOff>0</xdr:rowOff>
        </xdr:from>
        <xdr:to>
          <xdr:col>26</xdr:col>
          <xdr:colOff>590550</xdr:colOff>
          <xdr:row>10</xdr:row>
          <xdr:rowOff>219075</xdr:rowOff>
        </xdr:to>
        <xdr:sp>
          <xdr:nvSpPr>
            <xdr:cNvPr id="59518" name="Check Box 126" hidden="1">
              <a:extLst>
                <a:ext uri="{63B3BB69-23CF-44E3-9099-C40C66FF867C}">
                  <a14:compatExt spid="_x0000_s59518"/>
                </a:ext>
              </a:extLst>
            </xdr:cNvPr>
            <xdr:cNvSpPr/>
          </xdr:nvSpPr>
          <xdr:spPr>
            <a:xfrm>
              <a:off x="13049250" y="2326640"/>
              <a:ext cx="733425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10</xdr:row>
          <xdr:rowOff>0</xdr:rowOff>
        </xdr:from>
        <xdr:to>
          <xdr:col>29</xdr:col>
          <xdr:colOff>419100</xdr:colOff>
          <xdr:row>10</xdr:row>
          <xdr:rowOff>219075</xdr:rowOff>
        </xdr:to>
        <xdr:sp>
          <xdr:nvSpPr>
            <xdr:cNvPr id="59519" name="Check Box 127" hidden="1">
              <a:extLst>
                <a:ext uri="{63B3BB69-23CF-44E3-9099-C40C66FF867C}">
                  <a14:compatExt spid="_x0000_s59519"/>
                </a:ext>
              </a:extLst>
            </xdr:cNvPr>
            <xdr:cNvSpPr/>
          </xdr:nvSpPr>
          <xdr:spPr>
            <a:xfrm>
              <a:off x="14106525" y="2326640"/>
              <a:ext cx="733425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11</xdr:row>
          <xdr:rowOff>0</xdr:rowOff>
        </xdr:from>
        <xdr:to>
          <xdr:col>24</xdr:col>
          <xdr:colOff>552450</xdr:colOff>
          <xdr:row>11</xdr:row>
          <xdr:rowOff>219075</xdr:rowOff>
        </xdr:to>
        <xdr:sp>
          <xdr:nvSpPr>
            <xdr:cNvPr id="59520" name="Check Box 128" hidden="1">
              <a:extLst>
                <a:ext uri="{63B3BB69-23CF-44E3-9099-C40C66FF867C}">
                  <a14:compatExt spid="_x0000_s59520"/>
                </a:ext>
              </a:extLst>
            </xdr:cNvPr>
            <xdr:cNvSpPr/>
          </xdr:nvSpPr>
          <xdr:spPr>
            <a:xfrm>
              <a:off x="12087225" y="2555240"/>
              <a:ext cx="733425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16</xdr:row>
          <xdr:rowOff>9525</xdr:rowOff>
        </xdr:from>
        <xdr:to>
          <xdr:col>26</xdr:col>
          <xdr:colOff>790575</xdr:colOff>
          <xdr:row>16</xdr:row>
          <xdr:rowOff>219075</xdr:rowOff>
        </xdr:to>
        <xdr:sp>
          <xdr:nvSpPr>
            <xdr:cNvPr id="59577" name="Check Box 185" hidden="1">
              <a:extLst>
                <a:ext uri="{63B3BB69-23CF-44E3-9099-C40C66FF867C}">
                  <a14:compatExt spid="_x0000_s59577"/>
                </a:ext>
              </a:extLst>
            </xdr:cNvPr>
            <xdr:cNvSpPr/>
          </xdr:nvSpPr>
          <xdr:spPr>
            <a:xfrm>
              <a:off x="13049250" y="3796030"/>
              <a:ext cx="933450" cy="209550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0</xdr:rowOff>
        </xdr:from>
        <xdr:to>
          <xdr:col>26</xdr:col>
          <xdr:colOff>809625</xdr:colOff>
          <xdr:row>17</xdr:row>
          <xdr:rowOff>219075</xdr:rowOff>
        </xdr:to>
        <xdr:sp>
          <xdr:nvSpPr>
            <xdr:cNvPr id="59578" name="Check Box 186" hidden="1">
              <a:extLst>
                <a:ext uri="{63B3BB69-23CF-44E3-9099-C40C66FF867C}">
                  <a14:compatExt spid="_x0000_s59578"/>
                </a:ext>
              </a:extLst>
            </xdr:cNvPr>
            <xdr:cNvSpPr/>
          </xdr:nvSpPr>
          <xdr:spPr>
            <a:xfrm>
              <a:off x="13049250" y="40151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26</xdr:col>
          <xdr:colOff>809625</xdr:colOff>
          <xdr:row>18</xdr:row>
          <xdr:rowOff>219075</xdr:rowOff>
        </xdr:to>
        <xdr:sp>
          <xdr:nvSpPr>
            <xdr:cNvPr id="59579" name="Check Box 187" hidden="1">
              <a:extLst>
                <a:ext uri="{63B3BB69-23CF-44E3-9099-C40C66FF867C}">
                  <a14:compatExt spid="_x0000_s59579"/>
                </a:ext>
              </a:extLst>
            </xdr:cNvPr>
            <xdr:cNvSpPr/>
          </xdr:nvSpPr>
          <xdr:spPr>
            <a:xfrm>
              <a:off x="13049250" y="42437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26</xdr:col>
          <xdr:colOff>809625</xdr:colOff>
          <xdr:row>19</xdr:row>
          <xdr:rowOff>219075</xdr:rowOff>
        </xdr:to>
        <xdr:sp>
          <xdr:nvSpPr>
            <xdr:cNvPr id="59580" name="Check Box 188" hidden="1">
              <a:extLst>
                <a:ext uri="{63B3BB69-23CF-44E3-9099-C40C66FF867C}">
                  <a14:compatExt spid="_x0000_s59580"/>
                </a:ext>
              </a:extLst>
            </xdr:cNvPr>
            <xdr:cNvSpPr/>
          </xdr:nvSpPr>
          <xdr:spPr>
            <a:xfrm>
              <a:off x="13049250" y="44723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26</xdr:col>
          <xdr:colOff>809625</xdr:colOff>
          <xdr:row>20</xdr:row>
          <xdr:rowOff>219075</xdr:rowOff>
        </xdr:to>
        <xdr:sp>
          <xdr:nvSpPr>
            <xdr:cNvPr id="59581" name="Check Box 189" hidden="1">
              <a:extLst>
                <a:ext uri="{63B3BB69-23CF-44E3-9099-C40C66FF867C}">
                  <a14:compatExt spid="_x0000_s59581"/>
                </a:ext>
              </a:extLst>
            </xdr:cNvPr>
            <xdr:cNvSpPr/>
          </xdr:nvSpPr>
          <xdr:spPr>
            <a:xfrm>
              <a:off x="13049250" y="47009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26</xdr:col>
          <xdr:colOff>809625</xdr:colOff>
          <xdr:row>21</xdr:row>
          <xdr:rowOff>219075</xdr:rowOff>
        </xdr:to>
        <xdr:sp>
          <xdr:nvSpPr>
            <xdr:cNvPr id="59582" name="Check Box 190" hidden="1">
              <a:extLst>
                <a:ext uri="{63B3BB69-23CF-44E3-9099-C40C66FF867C}">
                  <a14:compatExt spid="_x0000_s59582"/>
                </a:ext>
              </a:extLst>
            </xdr:cNvPr>
            <xdr:cNvSpPr/>
          </xdr:nvSpPr>
          <xdr:spPr>
            <a:xfrm>
              <a:off x="13049250" y="49295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26</xdr:col>
          <xdr:colOff>809625</xdr:colOff>
          <xdr:row>22</xdr:row>
          <xdr:rowOff>219075</xdr:rowOff>
        </xdr:to>
        <xdr:sp>
          <xdr:nvSpPr>
            <xdr:cNvPr id="59583" name="Check Box 191" hidden="1">
              <a:extLst>
                <a:ext uri="{63B3BB69-23CF-44E3-9099-C40C66FF867C}">
                  <a14:compatExt spid="_x0000_s59583"/>
                </a:ext>
              </a:extLst>
            </xdr:cNvPr>
            <xdr:cNvSpPr/>
          </xdr:nvSpPr>
          <xdr:spPr>
            <a:xfrm>
              <a:off x="13049250" y="51581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26</xdr:col>
          <xdr:colOff>809625</xdr:colOff>
          <xdr:row>23</xdr:row>
          <xdr:rowOff>219075</xdr:rowOff>
        </xdr:to>
        <xdr:sp>
          <xdr:nvSpPr>
            <xdr:cNvPr id="59584" name="Check Box 192" hidden="1">
              <a:extLst>
                <a:ext uri="{63B3BB69-23CF-44E3-9099-C40C66FF867C}">
                  <a14:compatExt spid="_x0000_s59584"/>
                </a:ext>
              </a:extLst>
            </xdr:cNvPr>
            <xdr:cNvSpPr/>
          </xdr:nvSpPr>
          <xdr:spPr>
            <a:xfrm>
              <a:off x="13049250" y="53867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26</xdr:col>
          <xdr:colOff>809625</xdr:colOff>
          <xdr:row>24</xdr:row>
          <xdr:rowOff>219075</xdr:rowOff>
        </xdr:to>
        <xdr:sp>
          <xdr:nvSpPr>
            <xdr:cNvPr id="59585" name="Check Box 193" hidden="1">
              <a:extLst>
                <a:ext uri="{63B3BB69-23CF-44E3-9099-C40C66FF867C}">
                  <a14:compatExt spid="_x0000_s59585"/>
                </a:ext>
              </a:extLst>
            </xdr:cNvPr>
            <xdr:cNvSpPr/>
          </xdr:nvSpPr>
          <xdr:spPr>
            <a:xfrm>
              <a:off x="13049250" y="56153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26</xdr:col>
          <xdr:colOff>809625</xdr:colOff>
          <xdr:row>25</xdr:row>
          <xdr:rowOff>219075</xdr:rowOff>
        </xdr:to>
        <xdr:sp>
          <xdr:nvSpPr>
            <xdr:cNvPr id="59586" name="Check Box 194" hidden="1">
              <a:extLst>
                <a:ext uri="{63B3BB69-23CF-44E3-9099-C40C66FF867C}">
                  <a14:compatExt spid="_x0000_s59586"/>
                </a:ext>
              </a:extLst>
            </xdr:cNvPr>
            <xdr:cNvSpPr/>
          </xdr:nvSpPr>
          <xdr:spPr>
            <a:xfrm>
              <a:off x="13049250" y="58439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26</xdr:col>
          <xdr:colOff>809625</xdr:colOff>
          <xdr:row>26</xdr:row>
          <xdr:rowOff>219075</xdr:rowOff>
        </xdr:to>
        <xdr:sp>
          <xdr:nvSpPr>
            <xdr:cNvPr id="59587" name="Check Box 195" hidden="1">
              <a:extLst>
                <a:ext uri="{63B3BB69-23CF-44E3-9099-C40C66FF867C}">
                  <a14:compatExt spid="_x0000_s59587"/>
                </a:ext>
              </a:extLst>
            </xdr:cNvPr>
            <xdr:cNvSpPr/>
          </xdr:nvSpPr>
          <xdr:spPr>
            <a:xfrm>
              <a:off x="13049250" y="60725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26</xdr:col>
          <xdr:colOff>809625</xdr:colOff>
          <xdr:row>27</xdr:row>
          <xdr:rowOff>219075</xdr:rowOff>
        </xdr:to>
        <xdr:sp>
          <xdr:nvSpPr>
            <xdr:cNvPr id="59588" name="Check Box 196" hidden="1">
              <a:extLst>
                <a:ext uri="{63B3BB69-23CF-44E3-9099-C40C66FF867C}">
                  <a14:compatExt spid="_x0000_s59588"/>
                </a:ext>
              </a:extLst>
            </xdr:cNvPr>
            <xdr:cNvSpPr/>
          </xdr:nvSpPr>
          <xdr:spPr>
            <a:xfrm>
              <a:off x="13049250" y="6301105"/>
              <a:ext cx="952500" cy="219075"/>
            </a:xfrm>
            <a:prstGeom prst="rect">
              <a:avLst/>
            </a:prstGeom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zh-CN" altLang="en-US"/>
            </a:p>
          </xdr:txBody>
        </xdr:sp>
        <xdr:clientData/>
      </xdr:twoCellAnchor>
    </mc:Choice>
    <mc:Fallback/>
  </mc:AlternateContent>
  <xdr:twoCellAnchor>
    <xdr:from>
      <xdr:col>21</xdr:col>
      <xdr:colOff>504190</xdr:colOff>
      <xdr:row>47</xdr:row>
      <xdr:rowOff>0</xdr:rowOff>
    </xdr:from>
    <xdr:to>
      <xdr:col>26</xdr:col>
      <xdr:colOff>56515</xdr:colOff>
      <xdr:row>47</xdr:row>
      <xdr:rowOff>24130</xdr:rowOff>
    </xdr:to>
    <xdr:sp>
      <xdr:nvSpPr>
        <xdr:cNvPr id="5" name="文本框 4"/>
        <xdr:cNvSpPr txBox="1"/>
      </xdr:nvSpPr>
      <xdr:spPr>
        <a:xfrm>
          <a:off x="11800840" y="11049635"/>
          <a:ext cx="1447800" cy="24130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（用于计算飘黄伤害）</a:t>
          </a:r>
          <a:endParaRPr lang="zh-CN" altLang="en-US" sz="900">
            <a:solidFill>
              <a:schemeClr val="bg1">
                <a:lumMod val="65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2</xdr:col>
      <xdr:colOff>0</xdr:colOff>
      <xdr:row>23</xdr:row>
      <xdr:rowOff>120650</xdr:rowOff>
    </xdr:from>
    <xdr:to>
      <xdr:col>4</xdr:col>
      <xdr:colOff>142240</xdr:colOff>
      <xdr:row>24</xdr:row>
      <xdr:rowOff>135255</xdr:rowOff>
    </xdr:to>
    <xdr:sp>
      <xdr:nvSpPr>
        <xdr:cNvPr id="13" name="文本框 12"/>
        <xdr:cNvSpPr txBox="1"/>
      </xdr:nvSpPr>
      <xdr:spPr>
        <a:xfrm>
          <a:off x="1247775" y="5507355"/>
          <a:ext cx="1751965" cy="24320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0">
          <a:srgbClr val="FFFFFF"/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800"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加减法技改可直接在线更新</a:t>
          </a:r>
          <a:endParaRPr lang="zh-CN" altLang="en-US" sz="800"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1139825</xdr:colOff>
      <xdr:row>1</xdr:row>
      <xdr:rowOff>85090</xdr:rowOff>
    </xdr:from>
    <xdr:to>
      <xdr:col>4</xdr:col>
      <xdr:colOff>657860</xdr:colOff>
      <xdr:row>1</xdr:row>
      <xdr:rowOff>323215</xdr:rowOff>
    </xdr:to>
    <xdr:sp macro="[0]!recommendedCalculation">
      <xdr:nvSpPr>
        <xdr:cNvPr id="4" name="圆角矩形 3"/>
        <xdr:cNvSpPr/>
      </xdr:nvSpPr>
      <xdr:spPr>
        <a:xfrm>
          <a:off x="3073400" y="313690"/>
          <a:ext cx="889635" cy="238125"/>
        </a:xfrm>
        <a:prstGeom prst="roundRect">
          <a:avLst>
            <a:gd name="adj" fmla="val 18933"/>
          </a:avLst>
        </a:prstGeom>
        <a:solidFill>
          <a:srgbClr val="FFF4F6"/>
        </a:solidFill>
        <a:ln w="3175">
          <a:solidFill>
            <a:srgbClr val="FEE3E9"/>
          </a:solidFill>
        </a:ln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zh-CN" altLang="en-US" sz="900" b="1">
              <a:solidFill>
                <a:srgbClr val="F11D4A"/>
              </a:solidFill>
              <a:latin typeface="微软雅黑" panose="020B0503020204020204" charset="-122"/>
              <a:ea typeface="微软雅黑" panose="020B0503020204020204" charset="-122"/>
            </a:rPr>
            <a:t>开始推荐</a:t>
          </a:r>
          <a:endParaRPr lang="zh-CN" altLang="en-US" sz="900" b="1">
            <a:solidFill>
              <a:srgbClr val="F11D4A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5</xdr:col>
      <xdr:colOff>371475</xdr:colOff>
      <xdr:row>1</xdr:row>
      <xdr:rowOff>66675</xdr:rowOff>
    </xdr:from>
    <xdr:to>
      <xdr:col>10</xdr:col>
      <xdr:colOff>523240</xdr:colOff>
      <xdr:row>3</xdr:row>
      <xdr:rowOff>50165</xdr:rowOff>
    </xdr:to>
    <xdr:sp>
      <xdr:nvSpPr>
        <xdr:cNvPr id="2" name="文本框 1"/>
        <xdr:cNvSpPr txBox="1"/>
      </xdr:nvSpPr>
      <xdr:spPr>
        <a:xfrm>
          <a:off x="4391025" y="295275"/>
          <a:ext cx="3580765" cy="719455"/>
        </a:xfrm>
        <a:prstGeom prst="rect">
          <a:avLst/>
        </a:prstGeom>
        <a:ln>
          <a:noFill/>
        </a:ln>
      </xdr:spPr>
      <xdr:style>
        <a:lnRef idx="2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仅代表在当前配装和增益下，替换该装备的收益</a:t>
          </a:r>
          <a:endParaRPr lang="zh-CN" altLang="en-US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r>
            <a:rPr lang="zh-CN" altLang="en-US" sz="900">
              <a:ln>
                <a:noFill/>
              </a:ln>
              <a:solidFill>
                <a:schemeClr val="bg1">
                  <a:lumMod val="50000"/>
                </a:schemeClr>
              </a:solidFill>
              <a:latin typeface="微软雅黑" panose="020B0503020204020204" charset="-122"/>
              <a:ea typeface="微软雅黑" panose="020B0503020204020204" charset="-122"/>
            </a:rPr>
            <a:t>但并不意味着，在其它配装或增益下依然是最优！！！</a:t>
          </a:r>
          <a:endParaRPr lang="zh-CN" altLang="en-US" sz="900">
            <a:ln>
              <a:noFill/>
            </a:ln>
            <a:solidFill>
              <a:schemeClr val="bg1">
                <a:lumMod val="50000"/>
              </a:schemeClr>
            </a:solidFill>
            <a:latin typeface="微软雅黑" panose="020B0503020204020204" charset="-122"/>
            <a:ea typeface="微软雅黑" panose="020B0503020204020204" charset="-122"/>
          </a:endParaRPr>
        </a:p>
        <a:p>
          <a:pPr algn="l"/>
          <a:endParaRPr lang="zh-CN" altLang="en-US" sz="900">
            <a:solidFill>
              <a:schemeClr val="bg1">
                <a:lumMod val="65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676275</xdr:colOff>
      <xdr:row>0</xdr:row>
      <xdr:rowOff>172085</xdr:rowOff>
    </xdr:from>
    <xdr:to>
      <xdr:col>6</xdr:col>
      <xdr:colOff>294640</xdr:colOff>
      <xdr:row>0</xdr:row>
      <xdr:rowOff>381635</xdr:rowOff>
    </xdr:to>
    <xdr:sp>
      <xdr:nvSpPr>
        <xdr:cNvPr id="2" name="文本框 1"/>
        <xdr:cNvSpPr txBox="1"/>
      </xdr:nvSpPr>
      <xdr:spPr>
        <a:xfrm>
          <a:off x="676275" y="172085"/>
          <a:ext cx="3790315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 b="1">
              <a:solidFill>
                <a:srgbClr val="F44C4C"/>
              </a:solidFill>
              <a:latin typeface="微软雅黑" panose="020B0503020204020204" charset="-122"/>
              <a:ea typeface="微软雅黑" panose="020B0503020204020204" charset="-122"/>
            </a:rPr>
            <a:t>与装备</a:t>
          </a:r>
          <a:r>
            <a:rPr lang="en-US" altLang="zh-CN" sz="1100" b="1">
              <a:solidFill>
                <a:srgbClr val="F44C4C"/>
              </a:solidFill>
              <a:latin typeface="微软雅黑" panose="020B0503020204020204" charset="-122"/>
              <a:ea typeface="微软雅黑" panose="020B0503020204020204" charset="-122"/>
            </a:rPr>
            <a:t>1</a:t>
          </a:r>
          <a:r>
            <a:rPr lang="zh-CN" altLang="en-US" sz="1100" b="1">
              <a:solidFill>
                <a:srgbClr val="F44C4C"/>
              </a:solidFill>
              <a:latin typeface="微软雅黑" panose="020B0503020204020204" charset="-122"/>
              <a:ea typeface="微软雅黑" panose="020B0503020204020204" charset="-122"/>
            </a:rPr>
            <a:t>不同的部位会标蓝</a:t>
          </a:r>
          <a:endParaRPr lang="zh-CN" altLang="en-US" sz="1100" b="1">
            <a:solidFill>
              <a:srgbClr val="F44C4C"/>
            </a:solidFill>
            <a:latin typeface="微软雅黑" panose="020B0503020204020204" charset="-122"/>
            <a:ea typeface="微软雅黑" panose="020B0503020204020204" charset="-122"/>
          </a:endParaRPr>
        </a:p>
      </xdr:txBody>
    </xdr:sp>
    <xdr:clientData/>
  </xdr:twoCellAnchor>
  <xdr:twoCellAnchor>
    <xdr:from>
      <xdr:col>1</xdr:col>
      <xdr:colOff>0</xdr:colOff>
      <xdr:row>14</xdr:row>
      <xdr:rowOff>66675</xdr:rowOff>
    </xdr:from>
    <xdr:to>
      <xdr:col>2</xdr:col>
      <xdr:colOff>247650</xdr:colOff>
      <xdr:row>15</xdr:row>
      <xdr:rowOff>95250</xdr:rowOff>
    </xdr:to>
    <xdr:sp macro="[0]!读取装备1">
      <xdr:nvSpPr>
        <xdr:cNvPr id="4" name="文本框 3"/>
        <xdr:cNvSpPr txBox="1"/>
      </xdr:nvSpPr>
      <xdr:spPr>
        <a:xfrm>
          <a:off x="685800" y="3522345"/>
          <a:ext cx="933450" cy="219075"/>
        </a:xfrm>
        <a:prstGeom prst="rect">
          <a:avLst/>
        </a:prstGeom>
        <a:ln w="9525" cap="flat" cmpd="sng" algn="ctr">
          <a:solidFill>
            <a:srgbClr val="F89696"/>
          </a:solidFill>
          <a:prstDash val="dash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放回计算器</a:t>
          </a:r>
          <a:endParaRPr lang="en-US" altLang="zh-CN" sz="900">
            <a:ln>
              <a:noFill/>
            </a:ln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12</xdr:col>
      <xdr:colOff>12700</xdr:colOff>
      <xdr:row>14</xdr:row>
      <xdr:rowOff>66675</xdr:rowOff>
    </xdr:from>
    <xdr:to>
      <xdr:col>13</xdr:col>
      <xdr:colOff>260350</xdr:colOff>
      <xdr:row>15</xdr:row>
      <xdr:rowOff>95250</xdr:rowOff>
    </xdr:to>
    <xdr:sp macro="[0]!读取装备2">
      <xdr:nvSpPr>
        <xdr:cNvPr id="3" name="文本框 2"/>
        <xdr:cNvSpPr txBox="1"/>
      </xdr:nvSpPr>
      <xdr:spPr>
        <a:xfrm>
          <a:off x="8413750" y="3522345"/>
          <a:ext cx="933450" cy="219075"/>
        </a:xfrm>
        <a:prstGeom prst="rect">
          <a:avLst/>
        </a:prstGeom>
        <a:ln w="9525" cap="flat" cmpd="sng" algn="ctr">
          <a:solidFill>
            <a:srgbClr val="F89696"/>
          </a:solidFill>
          <a:prstDash val="dash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放回计算器</a:t>
          </a:r>
          <a:endParaRPr lang="en-US" altLang="zh-CN" sz="900">
            <a:ln>
              <a:noFill/>
            </a:ln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1</xdr:col>
      <xdr:colOff>0</xdr:colOff>
      <xdr:row>30</xdr:row>
      <xdr:rowOff>63500</xdr:rowOff>
    </xdr:from>
    <xdr:to>
      <xdr:col>2</xdr:col>
      <xdr:colOff>247650</xdr:colOff>
      <xdr:row>31</xdr:row>
      <xdr:rowOff>53975</xdr:rowOff>
    </xdr:to>
    <xdr:sp macro="[0]!读取装备3">
      <xdr:nvSpPr>
        <xdr:cNvPr id="8" name="文本框 7"/>
        <xdr:cNvSpPr txBox="1"/>
      </xdr:nvSpPr>
      <xdr:spPr>
        <a:xfrm>
          <a:off x="685800" y="7101205"/>
          <a:ext cx="933450" cy="219075"/>
        </a:xfrm>
        <a:prstGeom prst="rect">
          <a:avLst/>
        </a:prstGeom>
        <a:ln w="9525" cap="flat" cmpd="sng" algn="ctr">
          <a:solidFill>
            <a:srgbClr val="F89696"/>
          </a:solidFill>
          <a:prstDash val="dash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放回计算器</a:t>
          </a:r>
          <a:endParaRPr lang="en-US" altLang="zh-CN" sz="900">
            <a:ln>
              <a:noFill/>
            </a:ln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  <xdr:twoCellAnchor>
    <xdr:from>
      <xdr:col>12</xdr:col>
      <xdr:colOff>12700</xdr:colOff>
      <xdr:row>30</xdr:row>
      <xdr:rowOff>63500</xdr:rowOff>
    </xdr:from>
    <xdr:to>
      <xdr:col>13</xdr:col>
      <xdr:colOff>260350</xdr:colOff>
      <xdr:row>31</xdr:row>
      <xdr:rowOff>53975</xdr:rowOff>
    </xdr:to>
    <xdr:sp macro="[0]!读取装备4">
      <xdr:nvSpPr>
        <xdr:cNvPr id="9" name="文本框 8"/>
        <xdr:cNvSpPr txBox="1"/>
      </xdr:nvSpPr>
      <xdr:spPr>
        <a:xfrm>
          <a:off x="8413750" y="7101205"/>
          <a:ext cx="933450" cy="219075"/>
        </a:xfrm>
        <a:prstGeom prst="rect">
          <a:avLst/>
        </a:prstGeom>
        <a:ln w="9525" cap="flat" cmpd="sng" algn="ctr">
          <a:solidFill>
            <a:srgbClr val="F89696"/>
          </a:solidFill>
          <a:prstDash val="dash"/>
        </a:ln>
      </xdr:spPr>
      <xdr:style>
        <a:lnRef idx="0">
          <a:schemeClr val="accent1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xdr:style>
      <xdr:txBody>
        <a:bodyPr vertOverflow="clip" horzOverflow="clip" wrap="square" rtlCol="0" anchor="ctr" anchorCtr="0">
          <a:noAutofit/>
        </a:bodyPr>
        <a:lstStyle>
          <a:defPPr>
            <a:defRPr lang="zh-CN">
              <a:solidFill>
                <a:schemeClr val="tx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900">
              <a:ln>
                <a:noFill/>
              </a:ln>
              <a:solidFill>
                <a:srgbClr val="F45473"/>
              </a:solidFill>
              <a:latin typeface="微软雅黑" panose="020B0503020204020204" charset="-122"/>
              <a:ea typeface="微软雅黑" panose="020B0503020204020204" charset="-122"/>
              <a:cs typeface="微软雅黑" panose="020B0503020204020204" charset="-122"/>
            </a:rPr>
            <a:t>放回计算器</a:t>
          </a:r>
          <a:endParaRPr lang="en-US" altLang="zh-CN" sz="900">
            <a:ln>
              <a:noFill/>
            </a:ln>
            <a:solidFill>
              <a:srgbClr val="F45473"/>
            </a:solidFill>
            <a:latin typeface="微软雅黑" panose="020B0503020204020204" charset="-122"/>
            <a:ea typeface="微软雅黑" panose="020B0503020204020204" charset="-122"/>
            <a:cs typeface="微软雅黑" panose="020B0503020204020204" charset="-122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ExternalData_1" connectionId="6" autoFormatId="16" applyNumberFormats="0" applyBorderFormats="0" applyFontFormats="1" applyPatternFormats="1" applyAlignmentFormats="0" applyWidthHeightFormats="0">
  <queryTableRefresh preserveSortFilterLayout="1" nextId="3">
    <queryTableFields count="2">
      <queryTableField id="1" name="Name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name="ExternalData_2" connectionId="5" autoFormatId="16" applyNumberFormats="0" applyBorderFormats="0" applyFontFormats="1" applyPatternFormats="1" applyAlignmentFormats="0" applyWidthHeightFormats="0">
  <queryTableRefresh preserveSortFilterLayout="1" nextId="30">
    <queryTableFields count="29">
      <queryTableField id="1" name="装备类型" tableColumnId="1"/>
      <queryTableField id="2" name="装备模板" tableColumnId="2"/>
      <queryTableField id="3" name="部位" tableColumnId="3"/>
      <queryTableField id="4" name="装备名称" tableColumnId="4"/>
      <queryTableField id="5" name="套装效果" tableColumnId="5"/>
      <queryTableField id="6" name="品级" tableColumnId="6"/>
      <queryTableField id="7" name="属性1" tableColumnId="7"/>
      <queryTableField id="8" name="属性2" tableColumnId="8"/>
      <queryTableField id="9" name="属性3" tableColumnId="9"/>
      <queryTableField id="10" name="属性4" tableColumnId="10"/>
      <queryTableField id="11" name="属性模板" tableColumnId="11"/>
      <queryTableField id="12" name="特效显示名称" tableColumnId="12"/>
      <queryTableField id="13" name="显示名称" tableColumnId="13"/>
      <queryTableField id="14" name="体质" tableColumnId="14"/>
      <queryTableField id="15" name="根骨" tableColumnId="15"/>
      <queryTableField id="16" name="攻击" tableColumnId="16"/>
      <queryTableField id="17" name="会心" tableColumnId="17"/>
      <queryTableField id="18" name="会效" tableColumnId="18"/>
      <queryTableField id="19" name="破防" tableColumnId="19"/>
      <queryTableField id="20" name="加速" tableColumnId="20"/>
      <queryTableField id="21" name="破招" tableColumnId="21"/>
      <queryTableField id="22" name="无双" tableColumnId="22"/>
      <queryTableField id="23" name="全能" tableColumnId="23"/>
      <queryTableField id="24" name="孔1" tableColumnId="24"/>
      <queryTableField id="25" name="孔2" tableColumnId="25"/>
      <queryTableField id="26" name="孔3" tableColumnId="26"/>
      <queryTableField id="27" name="精炼等级" tableColumnId="27"/>
      <queryTableField id="28" name="Column1" tableColumnId="28"/>
      <queryTableField id="29" name="_1" tableColumnId="29"/>
    </queryTableFields>
  </queryTableRefresh>
</queryTable>
</file>

<file path=xl/queryTables/queryTable3.xml><?xml version="1.0" encoding="utf-8"?>
<queryTable xmlns="http://schemas.openxmlformats.org/spreadsheetml/2006/main" name="ExternalData_1" connectionId="4" autoFormatId="16" applyNumberFormats="0" applyBorderFormats="0" applyFontFormats="1" applyPatternFormats="1" applyAlignmentFormats="0" applyWidthHeightFormats="0">
  <queryTableRefresh preserveSortFilterLayout="1"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4.xml><?xml version="1.0" encoding="utf-8"?>
<queryTable xmlns="http://schemas.openxmlformats.org/spreadsheetml/2006/main" name="ExternalData_4" connectionId="3" autoFormatId="16" applyNumberFormats="0" applyBorderFormats="0" applyFontFormats="1" applyPatternFormats="1" applyAlignmentFormats="0" applyWidthHeightFormats="0">
  <queryTableRefresh preserveSortFilterLayout="1" nextId="5">
    <queryTableFields count="4">
      <queryTableField id="1" name="技能" tableColumnId="1"/>
      <queryTableField id="2" name="基础伤害" tableColumnId="2"/>
      <queryTableField id="3" name="技能系数" tableColumnId="3"/>
      <queryTableField id="4" name="破招系数" tableColumnId="4"/>
    </queryTableFields>
  </queryTableRefresh>
</queryTable>
</file>

<file path=xl/queryTables/queryTable5.xml><?xml version="1.0" encoding="utf-8"?>
<queryTable xmlns="http://schemas.openxmlformats.org/spreadsheetml/2006/main" name="ExternalData_1" connectionId="2" autoFormatId="16" applyNumberFormats="0" applyBorderFormats="0" applyFontFormats="1" applyPatternFormats="1" applyAlignmentFormats="0" applyWidthHeightFormats="0">
  <queryTableRefresh preserveSortFilterLayout="1" nextId="17">
    <queryTableFields count="1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</queryTableFields>
  </queryTableRefresh>
</queryTable>
</file>

<file path=xl/queryTables/queryTable6.xml><?xml version="1.0" encoding="utf-8"?>
<queryTable xmlns="http://schemas.openxmlformats.org/spreadsheetml/2006/main" name="ExternalData_1" connectionId="1" autoFormatId="16" applyNumberFormats="0" applyBorderFormats="0" applyFontFormats="1" applyPatternFormats="1" applyAlignmentFormats="0" applyWidthHeightFormats="0">
  <queryTableRefresh preserveSortFilterLayout="1" nextId="24">
    <queryTableFields count="23">
      <queryTableField id="1" name="增益名字" tableColumnId="1"/>
      <queryTableField id="2" name="根骨等级" tableColumnId="2"/>
      <queryTableField id="3" name="根骨提高" tableColumnId="3"/>
      <queryTableField id="4" name="攻击等级" tableColumnId="4"/>
      <queryTableField id="5" name="攻击提高" tableColumnId="5"/>
      <queryTableField id="6" name="会心等级" tableColumnId="6"/>
      <queryTableField id="7" name="会心提高" tableColumnId="7"/>
      <queryTableField id="8" name="会效等级" tableColumnId="8"/>
      <queryTableField id="9" name="会效提高" tableColumnId="9"/>
      <queryTableField id="10" name="加速等级" tableColumnId="10"/>
      <queryTableField id="11" name="破防等级" tableColumnId="11"/>
      <queryTableField id="12" name="破防提高" tableColumnId="12"/>
      <queryTableField id="13" name="无双等级" tableColumnId="13"/>
      <queryTableField id="14" name="无双提高" tableColumnId="14"/>
      <queryTableField id="15" name="无双乘算" tableColumnId="15"/>
      <queryTableField id="16" name="破招等级" tableColumnId="16"/>
      <queryTableField id="17" name="破招提高" tableColumnId="17"/>
      <queryTableField id="18" name="增伤" tableColumnId="18"/>
      <queryTableField id="19" name="易伤" tableColumnId="19"/>
      <queryTableField id="20" name="降低防御" tableColumnId="20"/>
      <queryTableField id="21" name="无视防御" tableColumnId="21"/>
      <queryTableField id="22" name="独立增伤" tableColumnId="22"/>
      <queryTableField id="23" name="攻击乘算" tableColumnId="23"/>
    </queryTableFields>
  </queryTableRefresh>
</queryTable>
</file>

<file path=xl/queryTables/queryTable7.xml><?xml version="1.0" encoding="utf-8"?>
<queryTable xmlns="http://schemas.openxmlformats.org/spreadsheetml/2006/main" name="ExternalData_1" preserveFormatting="0" connectionId="8" autoFormatId="16" applyNumberFormats="0" applyBorderFormats="0" applyFontFormats="1" applyPatternFormats="1" applyAlignmentFormats="0" applyWidthHeightFormats="0">
  <queryTableRefresh preserveSortFilterLayout="0" nextId="30">
    <queryTableFields count="29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</queryTableFields>
  </queryTableRefresh>
</queryTable>
</file>

<file path=xl/queryTables/queryTable8.xml><?xml version="1.0" encoding="utf-8"?>
<queryTable xmlns="http://schemas.openxmlformats.org/spreadsheetml/2006/main" name="ExternalData_1" connectionId="7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</queryTableFields>
  </queryTableRefresh>
</queryTable>
</file>

<file path=xl/queryTables/queryTable9.xml><?xml version="1.0" encoding="utf-8"?>
<queryTable xmlns="http://schemas.openxmlformats.org/spreadsheetml/2006/main" name="ExternalData_1" connectionId="9" autoFormatId="16" applyNumberFormats="0" applyBorderFormats="0" applyFontFormats="1" applyPatternFormats="1" applyAlignmentFormats="0" applyWidthHeightFormats="0">
  <queryTableRefresh preserveSortFilterLayout="0" nextId="5">
    <queryTableFields count="4">
      <queryTableField id="1" dataBound="0"/>
      <queryTableField id="2" dataBound="0"/>
      <queryTableField id="3" dataBound="0"/>
      <queryTableField id="4" dataBound="0"/>
    </queryTableFields>
  </queryTableRefresh>
</queryTable>
</file>

<file path=xl/queryTables/queryTable10.xml><?xml version="1.0" encoding="utf-8"?>
<queryTable xmlns="http://schemas.openxmlformats.org/spreadsheetml/2006/main" name="ExternalData_1" connectionId="10" autoFormatId="16" applyNumberFormats="0" applyBorderFormats="0" applyFontFormats="1" applyPatternFormats="1" applyAlignmentFormats="0" applyWidthHeightFormats="0">
  <queryTableRefresh preserveSortFilterLayout="0" nextId="21">
    <queryTableFields count="20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</queryTableFields>
  </queryTableRefresh>
</queryTable>
</file>

<file path=xl/queryTables/queryTable11.xml><?xml version="1.0" encoding="utf-8"?>
<queryTable xmlns="http://schemas.openxmlformats.org/spreadsheetml/2006/main" name="ExternalData_1" connectionId="11" autoFormatId="16" applyNumberFormats="0" applyBorderFormats="0" applyFontFormats="1" applyPatternFormats="1" applyAlignmentFormats="0" applyWidthHeightFormats="0">
  <queryTableRefresh preserveSortFilterLayout="0" nextId="25">
    <queryTableFields count="24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2" name="魔盒API调用" displayName="魔盒API调用" ref="A1:B93" tableType="queryTable" totalsRowShown="0">
  <autoFilter xmlns:etc="http://www.wps.cn/officeDocument/2017/etCustomData" ref="A1:B93" etc:filterBottomFollowUsedRange="0"/>
  <tableColumns count="2">
    <tableColumn id="1" name="Name" uniqueName="1" queryTableFieldId="1"/>
    <tableColumn id="2" name="Value" uniqueName="2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参数表" displayName="参数表" ref="D1:D2" totalsRowShown="0">
  <autoFilter xmlns:etc="http://www.wps.cn/officeDocument/2017/etCustomData" ref="D1:D2" etc:filterBottomFollowUsedRange="0"/>
  <tableColumns count="1">
    <tableColumn id="1" name="配装ID" dataDxfId="11">
      <calculatedColumnFormula>旧主页!K47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4" name="旗舰加速表" displayName="旗舰加速表" ref="K1:R31">
  <tableColumns count="8">
    <tableColumn id="1" name="公共CD" dataDxfId="12" totalsRowLabel="汇总"/>
    <tableColumn id="2" name="0舞玳" dataDxfId="13"/>
    <tableColumn id="3" name="1舞霜降玳" dataDxfId="14"/>
    <tableColumn id="4" name="2舞霜降玳" dataDxfId="15"/>
    <tableColumn id="5" name="3舞霜降玳" dataDxfId="16"/>
    <tableColumn id="6" name="4舞霜降玳" dataDxfId="17"/>
    <tableColumn id="7" name="5舞霜降玳" dataDxfId="18"/>
    <tableColumn id="8" name="加速阈值" dataDxfId="19" totalsRowFunction="sum"/>
  </tableColumns>
  <tableStyleInfo showFirstColumn="0" showLastColumn="0" showRowStripes="0" showColumnStripes="0"/>
</table>
</file>

<file path=xl/tables/table4.xml><?xml version="1.0" encoding="utf-8"?>
<table xmlns="http://schemas.openxmlformats.org/spreadsheetml/2006/main" id="24" name="无界加速表" displayName="无界加速表" ref="T1:V10" totalsRowShown="0">
  <tableColumns count="3">
    <tableColumn id="1" name="无界玳弦" dataDxfId="20"/>
    <tableColumn id="2" name="无界共CD" dataDxfId="21"/>
    <tableColumn id="3" name="无界阈值" dataDxfId="22"/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25" name="急曲阈值表" displayName="急曲阈值表" ref="U13:V21" totalsRowShown="0">
  <tableColumns count="2">
    <tableColumn id="1" name="急曲间隔" dataDxfId="23"/>
    <tableColumn id="2" name="加速阈值" dataDxfId="24"/>
  </tableColumns>
  <tableStyleInfo showFirstColumn="0" showLastColumn="0" showRowStripes="0" showColumnStripes="0"/>
</table>
</file>

<file path=xl/tables/table6.xml><?xml version="1.0" encoding="utf-8"?>
<table xmlns="http://schemas.openxmlformats.org/spreadsheetml/2006/main" id="6" name="增益数据表" displayName="增益数据表" ref="A1:AD157" totalsRowShown="0">
  <autoFilter xmlns:etc="http://www.wps.cn/officeDocument/2017/etCustomData" ref="A1:AD157" etc:filterBottomFollowUsedRange="0"/>
  <tableColumns count="30">
    <tableColumn id="1" name="分类" dataDxfId="26"/>
    <tableColumn id="2" name="增益名字" dataDxfId="27"/>
    <tableColumn id="3" name="端游可用" dataDxfId="28">
      <calculatedColumnFormula>TRUE()</calculatedColumnFormula>
    </tableColumn>
    <tableColumn id="4" name="无界可用" dataDxfId="29">
      <calculatedColumnFormula>TRUE()</calculatedColumnFormula>
    </tableColumn>
    <tableColumn id="5" name="增益等级" dataDxfId="30"/>
    <tableColumn id="6" name="作用技能" dataDxfId="31"/>
    <tableColumn id="7" name="是否激活" dataDxfId="32"/>
    <tableColumn id="8" name="覆盖率" dataDxfId="33">
      <calculatedColumnFormula>13/50</calculatedColumnFormula>
    </tableColumn>
    <tableColumn id="9" name="根骨等级" dataDxfId="34"/>
    <tableColumn id="10" name="根骨提高" dataDxfId="35"/>
    <tableColumn id="11" name="攻击等级" dataDxfId="36"/>
    <tableColumn id="12" name="攻击提高" dataDxfId="37"/>
    <tableColumn id="13" name="会心等级" dataDxfId="38"/>
    <tableColumn id="14" name="会心提高" dataDxfId="39"/>
    <tableColumn id="15" name="会效等级" dataDxfId="40"/>
    <tableColumn id="16" name="会效提高" dataDxfId="41"/>
    <tableColumn id="17" name="加速等级" dataDxfId="42"/>
    <tableColumn id="18" name="破防等级" dataDxfId="43"/>
    <tableColumn id="19" name="破防提高" dataDxfId="44"/>
    <tableColumn id="20" name="无双等级" dataDxfId="45"/>
    <tableColumn id="21" name="无双提高" dataDxfId="46"/>
    <tableColumn id="22" name="无双乘算" dataDxfId="47"/>
    <tableColumn id="23" name="破招等级" dataDxfId="48"/>
    <tableColumn id="24" name="破招提高" dataDxfId="49"/>
    <tableColumn id="25" name="增伤" dataDxfId="50"/>
    <tableColumn id="26" name="易伤" dataDxfId="51"/>
    <tableColumn id="27" name="降低防御" dataDxfId="52"/>
    <tableColumn id="28" name="无视防御" dataDxfId="53"/>
    <tableColumn id="29" name="独立增伤" dataDxfId="54"/>
    <tableColumn id="30" name="最终增伤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霜降技能数" displayName="霜降技能数" ref="E2:H53" totalsRowShown="0">
  <tableColumns count="4">
    <tableColumn id="1" name="技能" dataDxfId="55"/>
    <tableColumn id="2" name="平时" dataDxfId="56"/>
    <tableColumn id="4" name="繁音期间" dataDxfId="57"/>
    <tableColumn id="3" name="总共">
      <calculatedColumnFormula>(F3+G3)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5" name="无界技能数" displayName="无界技能数" ref="N2:Q26" totalsRowShown="0">
  <tableColumns count="4">
    <tableColumn id="1" name="技能" dataDxfId="58"/>
    <tableColumn id="2" name="平时" dataDxfId="59">
      <calculatedColumnFormula>IF(角色属性!AK14,循环模拟!X28,0)</calculatedColumnFormula>
    </tableColumn>
    <tableColumn id="3" name="繁音期间" dataDxfId="60">
      <calculatedColumnFormula>IF(角色属性!AK14,循环模拟!AD28,0)</calculatedColumnFormula>
    </tableColumn>
    <tableColumn id="4" name="总共" dataDxfId="61">
      <calculatedColumnFormula>O4+P4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旗舰技能表" displayName="旗舰技能表" ref="J2:L26" totalsRowShown="0">
  <tableColumns count="3">
    <tableColumn id="1" name="技能" dataDxfId="62">
      <calculatedColumnFormula>技能数据!A3</calculatedColumnFormula>
    </tableColumn>
    <tableColumn id="2" name="技能数" dataDxfId="63">
      <calculatedColumnFormula>技能数!F12</calculatedColumnFormula>
    </tableColumn>
    <tableColumn id="3" name="繁音技能数" dataDxfId="64">
      <calculatedColumnFormula>技能数!G12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1" name="无界技能表" displayName="无界技能表" ref="S2:U13" totalsRowShown="0">
  <tableColumns count="3">
    <tableColumn id="1" name="技能" dataDxfId="65">
      <calculatedColumnFormula>技能数据!A1</calculatedColumnFormula>
    </tableColumn>
    <tableColumn id="2" name="技能数" dataDxfId="66">
      <calculatedColumnFormula array="1">_xlfn.XLOOKUP(S3,无界技能数[技能],无界技能数[平时],0)</calculatedColumnFormula>
    </tableColumn>
    <tableColumn id="3" name="繁音技能数" dataDxfId="67">
      <calculatedColumnFormula array="1">_xlfn.XLOOKUP(S3,无界技能数[技能],无界技能数[繁音期间],0)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3" name="大附魔技能" displayName="大附魔技能" ref="J29:L35" totalsRowShown="0">
  <tableColumns count="3">
    <tableColumn id="1" name="技能" dataDxfId="68">
      <calculatedColumnFormula>技能数据!A21</calculatedColumnFormula>
    </tableColumn>
    <tableColumn id="2" name="技能数" dataDxfId="69">
      <calculatedColumnFormula>IF(全局设置!$H$2,技能数!F36,技能数!O10)</calculatedColumnFormula>
    </tableColumn>
    <tableColumn id="3" name="繁音技能数" dataDxfId="70">
      <calculatedColumnFormula>IF(全局设置!$H$2,技能数!G36,技能数!P10)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7" name="技能数据表" displayName="技能数据表" ref="A1:R62" totalsRowShown="0">
  <tableColumns count="18">
    <tableColumn id="1" name="技能" dataDxfId="71"/>
    <tableColumn id="2" name="基础伤害" dataDxfId="72">
      <calculatedColumnFormula>IF(全局设置!$B$1=全局设置!$D$1,WPS技能数据!B2)</calculatedColumnFormula>
    </tableColumn>
    <tableColumn id="3" name="技能系数" dataDxfId="73">
      <calculatedColumnFormula>IF(全局设置!$B$1=全局设置!$D$1,WPS技能数据!C2)</calculatedColumnFormula>
    </tableColumn>
    <tableColumn id="4" name="破招系数" dataDxfId="74">
      <calculatedColumnFormula>IF(全局设置!$B$1=全局设置!$D$1,WPS技能数据!D2)</calculatedColumnFormula>
    </tableColumn>
    <tableColumn id="5" name="平时触发CD" dataDxfId="75"/>
    <tableColumn id="6" name="繁音触发CD" dataDxfId="76"/>
    <tableColumn id="9" name="促发几率" dataDxfId="77"/>
    <tableColumn id="10" name="层数" dataDxfId="78"/>
    <tableColumn id="11" name="跳数" dataDxfId="79"/>
    <tableColumn id="13" name="技能CD" dataDxfId="80"/>
    <tableColumn id="14" name="持续时间" dataDxfId="81"/>
    <tableColumn id="15" name="覆盖率" dataDxfId="82"/>
    <tableColumn id="16" name="会心"/>
    <tableColumn id="17" name="会效">
      <calculatedColumnFormula array="1">技能属性(A2,增益数据表[会效提高])</calculatedColumnFormula>
    </tableColumn>
    <tableColumn id="18" name="增伤">
      <calculatedColumnFormula array="1">技能属性(A2,增益数据表[增伤])</calculatedColumnFormula>
    </tableColumn>
    <tableColumn id="19" name="无视防御">
      <calculatedColumnFormula array="1">技能属性(A2,增益数据表[无视防御])</calculatedColumnFormula>
    </tableColumn>
    <tableColumn id="20" name="独立增伤">
      <calculatedColumnFormula array="1">技能属性(A2,增益数据表[独立增伤])</calculatedColumnFormula>
    </tableColumn>
    <tableColumn id="7" name="最终增伤">
      <calculatedColumnFormula array="1">技能属性(A2,增益数据表[最终增伤])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9" name="伤害招式表" displayName="伤害招式表" ref="T23:V28" totalsRowShown="0">
  <tableColumns count="3">
    <tableColumn id="1" name="技能" dataDxfId="83"/>
    <tableColumn id="2" name="平时数量" dataDxfId="84">
      <calculatedColumnFormula>技能数!K8</calculatedColumnFormula>
    </tableColumn>
    <tableColumn id="3" name="繁音数量" dataDxfId="85">
      <calculatedColumnFormula>(技能数!#REF!+技能数!#REF!)*H3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3" name="无界伤害招式表" displayName="无界伤害招式表" ref="X23:Z28" totalsRowShown="0">
  <tableColumns count="3">
    <tableColumn id="1" name="无界技能" dataDxfId="86"/>
    <tableColumn id="2" name="平时数量" dataDxfId="87">
      <calculatedColumnFormula>技能数!T6+技能数!T7+技能数!T8</calculatedColumnFormula>
    </tableColumn>
    <tableColumn id="3" name="繁音数量" dataDxfId="88">
      <calculatedColumnFormula>技能数!U6+技能数!U7+技能数!U8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2" name="实战面板表" displayName="实战面板表" ref="A1:Z25" totalsRowShown="0">
  <tableColumns count="26">
    <tableColumn id="1" name="实战面板" dataDxfId="89"/>
    <tableColumn id="2" name="攻击" dataDxfId="90"/>
    <tableColumn id="3" name="繁音攻击" dataDxfId="91"/>
    <tableColumn id="4" name="会心" dataDxfId="92"/>
    <tableColumn id="5" name="繁音会心" dataDxfId="93"/>
    <tableColumn id="6" name="会效" dataDxfId="94"/>
    <tableColumn id="7" name="繁音会效" dataDxfId="95"/>
    <tableColumn id="8" name="破防" dataDxfId="96"/>
    <tableColumn id="9" name="繁音破防" dataDxfId="97"/>
    <tableColumn id="10" name="无双" dataDxfId="98"/>
    <tableColumn id="11" name="繁音无双" dataDxfId="99"/>
    <tableColumn id="12" name="破招" dataDxfId="100"/>
    <tableColumn id="13" name="繁音破招" dataDxfId="101"/>
    <tableColumn id="14" name="增伤" dataDxfId="102"/>
    <tableColumn id="15" name="繁音增伤" dataDxfId="103"/>
    <tableColumn id="16" name="易伤" dataDxfId="104"/>
    <tableColumn id="17" name="繁音易伤" dataDxfId="105"/>
    <tableColumn id="18" name="降低防御" dataDxfId="106"/>
    <tableColumn id="19" name="繁音降防" dataDxfId="107"/>
    <tableColumn id="20" name="无视防御" dataDxfId="108"/>
    <tableColumn id="21" name="繁音无视" dataDxfId="109"/>
    <tableColumn id="22" name="加速" dataDxfId="110"/>
    <tableColumn id="23" name="独立增伤" dataDxfId="111">
      <calculatedColumnFormula>增益计算!V2</calculatedColumnFormula>
    </tableColumn>
    <tableColumn id="24" name="繁音独立" dataDxfId="112">
      <calculatedColumnFormula>增益计算!V2+增益计算!V3</calculatedColumnFormula>
    </tableColumn>
    <tableColumn id="25" name="最终增伤">
      <calculatedColumnFormula>增益计算!X2</calculatedColumnFormula>
    </tableColumn>
    <tableColumn id="26" name="繁音最终">
      <calculatedColumnFormula>增益计算!X2+增益计算!X3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6" name="伤害占比表" displayName="伤害占比表" ref="B1:C35" totalsRowShown="0">
  <tableColumns count="2">
    <tableColumn id="1" name="技能" dataDxfId="113"/>
    <tableColumn id="2" name="占比" dataDxfId="114">
      <calculatedColumnFormula>C3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8" name="Excel装备1" displayName="Excel装备1" ref="A1:AC324" tableType="queryTable" totalsRowShown="0">
  <autoFilter xmlns:etc="http://www.wps.cn/officeDocument/2017/etCustomData" ref="A1:AC324" etc:filterBottomFollowUsedRange="0"/>
  <tableColumns count="29">
    <tableColumn id="1" name="装备类型" uniqueName="1" queryTableFieldId="1" dataDxfId="115"/>
    <tableColumn id="2" name="装备模板" uniqueName="2" queryTableFieldId="2" dataDxfId="116"/>
    <tableColumn id="3" name="部位" uniqueName="3" queryTableFieldId="3" dataDxfId="117"/>
    <tableColumn id="4" name="装备名称" uniqueName="4" queryTableFieldId="4" dataDxfId="118"/>
    <tableColumn id="5" name="套装效果" uniqueName="5" queryTableFieldId="5" dataDxfId="119"/>
    <tableColumn id="6" name="品级" uniqueName="6" queryTableFieldId="6"/>
    <tableColumn id="7" name="属性1" uniqueName="7" queryTableFieldId="7" dataDxfId="120"/>
    <tableColumn id="8" name="属性2" uniqueName="8" queryTableFieldId="8" dataDxfId="121"/>
    <tableColumn id="9" name="属性3" uniqueName="9" queryTableFieldId="9" dataDxfId="122"/>
    <tableColumn id="10" name="属性4" uniqueName="10" queryTableFieldId="10" dataDxfId="123"/>
    <tableColumn id="11" name="属性模板" uniqueName="11" queryTableFieldId="11" dataDxfId="124"/>
    <tableColumn id="12" name="特效显示名称" uniqueName="12" queryTableFieldId="12" dataDxfId="125"/>
    <tableColumn id="13" name="显示名称" uniqueName="13" queryTableFieldId="13" dataDxfId="126"/>
    <tableColumn id="14" name="体质" uniqueName="14" queryTableFieldId="14"/>
    <tableColumn id="15" name="根骨" uniqueName="15" queryTableFieldId="15"/>
    <tableColumn id="16" name="攻击" uniqueName="16" queryTableFieldId="16"/>
    <tableColumn id="17" name="会心" uniqueName="17" queryTableFieldId="17"/>
    <tableColumn id="18" name="会效" uniqueName="18" queryTableFieldId="18"/>
    <tableColumn id="19" name="破防" uniqueName="19" queryTableFieldId="19"/>
    <tableColumn id="20" name="加速" uniqueName="20" queryTableFieldId="20"/>
    <tableColumn id="21" name="破招" uniqueName="21" queryTableFieldId="21"/>
    <tableColumn id="22" name="无双" uniqueName="22" queryTableFieldId="22"/>
    <tableColumn id="23" name="全能" uniqueName="23" queryTableFieldId="23"/>
    <tableColumn id="24" name="孔1" uniqueName="24" queryTableFieldId="24" dataDxfId="127"/>
    <tableColumn id="25" name="孔2" uniqueName="25" queryTableFieldId="25" dataDxfId="128"/>
    <tableColumn id="26" name="孔3" uniqueName="26" queryTableFieldId="26" dataDxfId="129"/>
    <tableColumn id="27" name="精炼等级" uniqueName="27" queryTableFieldId="27"/>
    <tableColumn id="28" name="Column1" uniqueName="28" queryTableFieldId="28" dataDxfId="130"/>
    <tableColumn id="29" name="_1" uniqueName="29" queryTableFieldId="2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id="5" name="Excel版本控制" displayName="Excel版本控制" ref="A1:J28" tableType="queryTable" totalsRowShown="0">
  <autoFilter xmlns:etc="http://www.wps.cn/officeDocument/2017/etCustomData" ref="A1:J28" etc:filterBottomFollowUsedRange="0"/>
  <tableColumns count="10">
    <tableColumn id="1" name="Column1" uniqueName="1" queryTableFieldId="1" dataDxfId="131"/>
    <tableColumn id="2" name="Column2" uniqueName="2" queryTableFieldId="2" dataDxfId="132"/>
    <tableColumn id="3" name="Column3" uniqueName="3" queryTableFieldId="3"/>
    <tableColumn id="4" name="Column4" uniqueName="4" queryTableFieldId="4"/>
    <tableColumn id="5" name="Column5" uniqueName="5" queryTableFieldId="5"/>
    <tableColumn id="6" name="Column6" uniqueName="6" queryTableFieldId="6"/>
    <tableColumn id="7" name="Column7" uniqueName="7" queryTableFieldId="7"/>
    <tableColumn id="8" name="Column8" uniqueName="8" queryTableFieldId="8"/>
    <tableColumn id="9" name="Column9" uniqueName="9" queryTableFieldId="9"/>
    <tableColumn id="10" name="Column10" uniqueName="10" queryTableFieldId="10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id="20" name="Excel技能数据" displayName="Excel技能数据" ref="A1:D61" tableType="queryTable" totalsRowShown="0">
  <autoFilter xmlns:etc="http://www.wps.cn/officeDocument/2017/etCustomData" ref="A1:D61" etc:filterBottomFollowUsedRange="0"/>
  <tableColumns count="4">
    <tableColumn id="1" name="技能" uniqueName="1" queryTableFieldId="1" dataDxfId="133"/>
    <tableColumn id="2" name="基础伤害" uniqueName="2" queryTableFieldId="2" dataDxfId="134"/>
    <tableColumn id="3" name="技能系数" uniqueName="3" queryTableFieldId="3"/>
    <tableColumn id="4" name="破招系数" uniqueName="4" queryTableFieldId="4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1" name="Excel常更新数据" displayName="Excel常更新数据" ref="A1:P169" tableType="queryTable" totalsRowShown="0">
  <autoFilter xmlns:etc="http://www.wps.cn/officeDocument/2017/etCustomData" ref="A1:P169" etc:filterBottomFollowUsedRange="0"/>
  <tableColumns count="16">
    <tableColumn id="1" name="Column1" uniqueName="1" queryTableFieldId="1" dataDxfId="135"/>
    <tableColumn id="2" name="Column2" uniqueName="2" queryTableFieldId="2" dataDxfId="136"/>
    <tableColumn id="3" name="Column3" uniqueName="3" queryTableFieldId="3" dataDxfId="137"/>
    <tableColumn id="4" name="Column4" uniqueName="4" queryTableFieldId="4" dataDxfId="138"/>
    <tableColumn id="5" name="Column5" uniqueName="5" queryTableFieldId="5" dataDxfId="139"/>
    <tableColumn id="6" name="Column6" uniqueName="6" queryTableFieldId="6" dataDxfId="140"/>
    <tableColumn id="7" name="Column7" uniqueName="7" queryTableFieldId="7" dataDxfId="141"/>
    <tableColumn id="8" name="Column8" uniqueName="8" queryTableFieldId="8" dataDxfId="142"/>
    <tableColumn id="9" name="Column9" uniqueName="9" queryTableFieldId="9" dataDxfId="143"/>
    <tableColumn id="10" name="Column10" uniqueName="10" queryTableFieldId="10" dataDxfId="144"/>
    <tableColumn id="11" name="Column11" uniqueName="11" queryTableFieldId="11" dataDxfId="145"/>
    <tableColumn id="12" name="Column12" uniqueName="12" queryTableFieldId="12" dataDxfId="146"/>
    <tableColumn id="13" name="Column13" uniqueName="13" queryTableFieldId="13" dataDxfId="147"/>
    <tableColumn id="14" name="Column14" uniqueName="14" queryTableFieldId="14" dataDxfId="148"/>
    <tableColumn id="15" name="Column15" uniqueName="15" queryTableFieldId="15" dataDxfId="149"/>
    <tableColumn id="16" name="Column16" uniqueName="16" queryTableFieldId="16" dataDxfId="150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id="22" name="Excel奇穴数据" displayName="Excel奇穴数据" ref="A1:W29" tableType="queryTable" totalsRowShown="0">
  <autoFilter xmlns:etc="http://www.wps.cn/officeDocument/2017/etCustomData" ref="A1:W29" etc:filterBottomFollowUsedRange="0"/>
  <tableColumns count="23">
    <tableColumn id="1" name="增益名字" uniqueName="1" queryTableFieldId="1" dataDxfId="151"/>
    <tableColumn id="2" name="根骨等级" uniqueName="2" queryTableFieldId="2"/>
    <tableColumn id="3" name="根骨提高" uniqueName="3" queryTableFieldId="3"/>
    <tableColumn id="4" name="攻击等级" uniqueName="4" queryTableFieldId="4"/>
    <tableColumn id="5" name="攻击提高" uniqueName="5" queryTableFieldId="5"/>
    <tableColumn id="6" name="会心等级" uniqueName="6" queryTableFieldId="6"/>
    <tableColumn id="7" name="会心提高" uniqueName="7" queryTableFieldId="7"/>
    <tableColumn id="8" name="会效等级" uniqueName="8" queryTableFieldId="8"/>
    <tableColumn id="9" name="会效提高" uniqueName="9" queryTableFieldId="9"/>
    <tableColumn id="10" name="加速等级" uniqueName="10" queryTableFieldId="10"/>
    <tableColumn id="11" name="破防等级" uniqueName="11" queryTableFieldId="11"/>
    <tableColumn id="12" name="破防提高" uniqueName="12" queryTableFieldId="12"/>
    <tableColumn id="13" name="无双等级" uniqueName="13" queryTableFieldId="13"/>
    <tableColumn id="14" name="无双提高" uniqueName="14" queryTableFieldId="14"/>
    <tableColumn id="15" name="无双乘算" uniqueName="15" queryTableFieldId="15"/>
    <tableColumn id="16" name="破招等级" uniqueName="16" queryTableFieldId="16"/>
    <tableColumn id="17" name="破招提高" uniqueName="17" queryTableFieldId="17"/>
    <tableColumn id="18" name="增伤" uniqueName="18" queryTableFieldId="18"/>
    <tableColumn id="19" name="易伤" uniqueName="19" queryTableFieldId="19"/>
    <tableColumn id="20" name="降低防御" uniqueName="20" queryTableFieldId="20"/>
    <tableColumn id="21" name="无视防御" uniqueName="21" queryTableFieldId="21"/>
    <tableColumn id="22" name="独立增伤" uniqueName="22" queryTableFieldId="22"/>
    <tableColumn id="23" name="攻击乘算" uniqueName="23" queryTableFieldId="23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id="4" name="附魔部位" displayName="附魔部位" ref="L1:S12" totalsRowShown="0">
  <tableColumns count="8">
    <tableColumn id="1" name="帽鞋"/>
    <tableColumn id="2" name="手裤"/>
    <tableColumn id="3" name="戒指"/>
    <tableColumn id="4" name="暗器"/>
    <tableColumn id="5" name="武器"/>
    <tableColumn id="6" name="衣腰"/>
    <tableColumn id="7" name="项链"/>
    <tableColumn id="8" name="腰坠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 w="12700" cmpd="sng">
          <a:solidFill>
            <a:srgbClr val="FBB4D0"/>
          </a:solidFill>
          <a:prstDash val="solid"/>
        </a:ln>
        <a:effectLst>
          <a:outerShdw blurRad="50800" dist="12700" dir="16200000" rotWithShape="0">
            <a:srgbClr val="F56991">
              <a:alpha val="40000"/>
            </a:srgbClr>
          </a:outerShdw>
        </a:effectLst>
      </a:spPr>
      <a:bodyPr/>
      <a:lstStyle/>
      <a:style>
        <a:lnRef idx="0">
          <a:srgbClr val="FFFFFF"/>
        </a:lnRef>
        <a:fillRef idx="0">
          <a:srgbClr val="FFFFFF"/>
        </a:fillRef>
        <a:effectRef idx="0">
          <a:srgbClr val="FFFFFF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6.xml"/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28" Type="http://schemas.openxmlformats.org/officeDocument/2006/relationships/hyperlink" Target="https://www.jx3box.com/bps/98409" TargetMode="External"/><Relationship Id="rId27" Type="http://schemas.openxmlformats.org/officeDocument/2006/relationships/ctrlProp" Target="../ctrlProps/ctrlProp24.xml"/><Relationship Id="rId26" Type="http://schemas.openxmlformats.org/officeDocument/2006/relationships/ctrlProp" Target="../ctrlProps/ctrlProp23.xml"/><Relationship Id="rId25" Type="http://schemas.openxmlformats.org/officeDocument/2006/relationships/ctrlProp" Target="../ctrlProps/ctrlProp22.xml"/><Relationship Id="rId24" Type="http://schemas.openxmlformats.org/officeDocument/2006/relationships/ctrlProp" Target="../ctrlProps/ctrlProp21.xml"/><Relationship Id="rId23" Type="http://schemas.openxmlformats.org/officeDocument/2006/relationships/ctrlProp" Target="../ctrlProps/ctrlProp20.xml"/><Relationship Id="rId22" Type="http://schemas.openxmlformats.org/officeDocument/2006/relationships/ctrlProp" Target="../ctrlProps/ctrlProp19.xml"/><Relationship Id="rId21" Type="http://schemas.openxmlformats.org/officeDocument/2006/relationships/ctrlProp" Target="../ctrlProps/ctrlProp18.xml"/><Relationship Id="rId20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9" Type="http://schemas.openxmlformats.org/officeDocument/2006/relationships/ctrlProp" Target="../ctrlProps/ctrlProp16.xml"/><Relationship Id="rId18" Type="http://schemas.openxmlformats.org/officeDocument/2006/relationships/ctrlProp" Target="../ctrlProps/ctrlProp15.xml"/><Relationship Id="rId17" Type="http://schemas.openxmlformats.org/officeDocument/2006/relationships/ctrlProp" Target="../ctrlProps/ctrlProp14.xml"/><Relationship Id="rId16" Type="http://schemas.openxmlformats.org/officeDocument/2006/relationships/ctrlProp" Target="../ctrlProps/ctrlProp13.xml"/><Relationship Id="rId15" Type="http://schemas.openxmlformats.org/officeDocument/2006/relationships/ctrlProp" Target="../ctrlProps/ctrlProp12.xml"/><Relationship Id="rId14" Type="http://schemas.openxmlformats.org/officeDocument/2006/relationships/ctrlProp" Target="../ctrlProps/ctrlProp11.xml"/><Relationship Id="rId13" Type="http://schemas.openxmlformats.org/officeDocument/2006/relationships/ctrlProp" Target="../ctrlProps/ctrlProp10.xml"/><Relationship Id="rId12" Type="http://schemas.openxmlformats.org/officeDocument/2006/relationships/ctrlProp" Target="../ctrlProps/ctrlProp9.xml"/><Relationship Id="rId11" Type="http://schemas.openxmlformats.org/officeDocument/2006/relationships/ctrlProp" Target="../ctrlProps/ctrlProp8.xml"/><Relationship Id="rId10" Type="http://schemas.openxmlformats.org/officeDocument/2006/relationships/ctrlProp" Target="../ctrlProps/ctrlProp7.xml"/><Relationship Id="rId1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_rels/sheet17.xml.rels><?xml version="1.0" encoding="UTF-8" standalone="yes"?>
<Relationships xmlns="http://schemas.openxmlformats.org/package/2006/relationships"><Relationship Id="rId7" Type="http://schemas.openxmlformats.org/officeDocument/2006/relationships/table" Target="../tables/table11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3" Type="http://schemas.openxmlformats.org/officeDocument/2006/relationships/table" Target="../tables/table7.xml"/><Relationship Id="rId2" Type="http://schemas.openxmlformats.org/officeDocument/2006/relationships/vmlDrawing" Target="../drawings/vmlDrawing8.vml"/><Relationship Id="rId1" Type="http://schemas.openxmlformats.org/officeDocument/2006/relationships/comments" Target="../comments8.xml"/></Relationships>
</file>

<file path=xl/worksheets/_rels/sheet18.xml.rels><?xml version="1.0" encoding="UTF-8" standalone="yes"?>
<Relationships xmlns="http://schemas.openxmlformats.org/package/2006/relationships"><Relationship Id="rId5" Type="http://schemas.openxmlformats.org/officeDocument/2006/relationships/table" Target="../tables/table14.xml"/><Relationship Id="rId4" Type="http://schemas.openxmlformats.org/officeDocument/2006/relationships/table" Target="../tables/table13.xml"/><Relationship Id="rId3" Type="http://schemas.openxmlformats.org/officeDocument/2006/relationships/table" Target="../tables/table12.xml"/><Relationship Id="rId2" Type="http://schemas.openxmlformats.org/officeDocument/2006/relationships/vmlDrawing" Target="../drawings/vmlDrawing9.vml"/><Relationship Id="rId1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jx3box.com/bps/107327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31.xml.rels><?xml version="1.0" encoding="UTF-8" standalone="yes"?>
<Relationships xmlns="http://schemas.openxmlformats.org/package/2006/relationships"><Relationship Id="rId4" Type="http://schemas.openxmlformats.org/officeDocument/2006/relationships/hyperlink" Target="https://incredible-travesseiro-9c372e.netlify.app/%E7%A7%80%E5%A4%AA%E5%A4%B4%E5%83%8F.png" TargetMode="External"/><Relationship Id="rId3" Type="http://schemas.openxmlformats.org/officeDocument/2006/relationships/hyperlink" Target="https://incredible-travesseiro-9c372e.netlify.app/%E7%A7%80%E5%A7%90%E5%A4%B4%E5%83%8F.png" TargetMode="External"/><Relationship Id="rId2" Type="http://schemas.openxmlformats.org/officeDocument/2006/relationships/hyperlink" Target="https://incredible-travesseiro-9c372e.netlify.app/%E7%A7%80%E8%90%9D%E5%A4%B4%E5%83%8F.png" TargetMode="External"/><Relationship Id="rId1" Type="http://schemas.openxmlformats.org/officeDocument/2006/relationships/table" Target="../tables/table22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/>
  <dimension ref="C1:AC32"/>
  <sheetViews>
    <sheetView workbookViewId="0">
      <selection activeCell="O20" sqref="O20"/>
    </sheetView>
  </sheetViews>
  <sheetFormatPr defaultColWidth="9" defaultRowHeight="16.5"/>
  <cols>
    <col min="1" max="1" width="9" style="85"/>
    <col min="2" max="2" width="10.25" style="401" customWidth="1"/>
    <col min="3" max="13" width="9" style="401"/>
    <col min="14" max="14" width="24.375" style="401" customWidth="1"/>
    <col min="15" max="17" width="9" style="401"/>
    <col min="18" max="24" width="9" style="85"/>
  </cols>
  <sheetData>
    <row r="1" spans="3:29"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Q1" s="402"/>
      <c r="R1" s="402"/>
      <c r="S1" s="402"/>
      <c r="T1" s="402"/>
      <c r="U1" s="402"/>
      <c r="V1" s="402"/>
      <c r="W1" s="402"/>
      <c r="X1" s="402"/>
      <c r="Y1" s="402"/>
      <c r="Z1" s="402"/>
      <c r="AA1" s="402"/>
      <c r="AB1" s="402"/>
      <c r="AC1" s="402"/>
    </row>
    <row r="2" spans="3:29"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Q2" s="402"/>
      <c r="R2" s="402"/>
      <c r="S2" s="402"/>
      <c r="T2" s="402"/>
      <c r="U2" s="402"/>
      <c r="V2" s="402"/>
      <c r="W2" s="402"/>
      <c r="X2" s="402"/>
      <c r="Y2" s="402"/>
      <c r="Z2" s="402"/>
      <c r="AA2" s="402"/>
      <c r="AB2" s="402"/>
      <c r="AC2" s="402"/>
    </row>
    <row r="3" spans="3:29"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Q3" s="402"/>
      <c r="R3" s="402"/>
      <c r="S3" s="402"/>
      <c r="T3" s="402"/>
      <c r="U3" s="402"/>
      <c r="V3" s="402"/>
      <c r="W3" s="402"/>
      <c r="X3" s="402"/>
      <c r="Y3" s="402"/>
      <c r="Z3" s="402"/>
      <c r="AA3" s="402"/>
      <c r="AB3" s="402"/>
      <c r="AC3" s="402"/>
    </row>
    <row r="4" ht="36.75" spans="3:29">
      <c r="C4" s="403"/>
      <c r="D4" s="403"/>
      <c r="E4" s="404"/>
      <c r="F4" s="404"/>
      <c r="G4" s="404"/>
      <c r="H4" s="404"/>
      <c r="I4" s="404"/>
      <c r="J4" s="404"/>
      <c r="K4" s="404"/>
      <c r="L4" s="404"/>
      <c r="M4" s="404"/>
      <c r="N4" s="404"/>
      <c r="O4" s="402"/>
    </row>
    <row r="5" spans="3:29">
      <c r="C5" s="405"/>
      <c r="D5" s="405"/>
      <c r="E5" s="405"/>
      <c r="F5" s="405"/>
      <c r="G5" s="405"/>
      <c r="H5" s="405"/>
      <c r="I5" s="405"/>
      <c r="J5" s="405"/>
      <c r="K5" s="405"/>
      <c r="L5" s="405"/>
      <c r="M5" s="405"/>
      <c r="N5" s="405"/>
    </row>
    <row r="6" spans="3:29">
      <c r="C6" s="405"/>
      <c r="D6" s="405"/>
      <c r="E6" s="405"/>
      <c r="F6" s="405"/>
      <c r="G6" s="405"/>
      <c r="H6" s="405"/>
      <c r="I6" s="405"/>
      <c r="J6" s="405"/>
      <c r="K6" s="405"/>
      <c r="L6" s="405"/>
      <c r="M6" s="405"/>
      <c r="N6" s="405"/>
    </row>
    <row r="7" spans="3:29">
      <c r="C7" s="406"/>
      <c r="D7" s="406"/>
      <c r="E7" s="406"/>
      <c r="F7" s="406"/>
      <c r="G7" s="406"/>
      <c r="H7" s="406"/>
      <c r="I7" s="406"/>
      <c r="J7" s="406"/>
      <c r="K7" s="406"/>
      <c r="L7" s="406"/>
      <c r="M7" s="406"/>
      <c r="N7" s="406"/>
    </row>
    <row r="8" spans="3:29">
      <c r="C8" s="405"/>
      <c r="D8" s="405"/>
      <c r="E8" s="405"/>
      <c r="F8" s="405"/>
      <c r="G8" s="405"/>
      <c r="H8" s="405"/>
      <c r="I8" s="405"/>
      <c r="J8" s="405"/>
      <c r="K8" s="405"/>
      <c r="L8" s="405"/>
      <c r="M8" s="405"/>
      <c r="N8" s="405"/>
    </row>
    <row r="9" spans="3:29">
      <c r="C9" s="405"/>
      <c r="D9" s="405"/>
      <c r="E9" s="405"/>
      <c r="F9" s="405"/>
      <c r="G9" s="405"/>
      <c r="H9" s="405"/>
      <c r="I9" s="405"/>
      <c r="J9" s="405"/>
      <c r="K9" s="405"/>
      <c r="L9" s="405"/>
      <c r="M9" s="405"/>
      <c r="N9" s="405"/>
    </row>
    <row r="10" spans="3:29"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M10" s="405"/>
      <c r="N10" s="405"/>
    </row>
    <row r="11" spans="3:29">
      <c r="C11" s="405"/>
      <c r="D11" s="405"/>
      <c r="E11" s="405"/>
      <c r="F11" s="405"/>
      <c r="G11" s="405"/>
      <c r="H11" s="405"/>
      <c r="I11" s="405"/>
      <c r="J11" s="405"/>
      <c r="K11" s="405"/>
      <c r="L11" s="405"/>
      <c r="M11" s="405"/>
      <c r="N11" s="405"/>
    </row>
    <row r="12" spans="3:29">
      <c r="C12" s="405"/>
      <c r="D12" s="405"/>
      <c r="E12" s="405"/>
      <c r="F12" s="405"/>
      <c r="G12" s="405"/>
      <c r="H12" s="405"/>
      <c r="I12" s="405"/>
      <c r="J12" s="405"/>
      <c r="K12" s="405"/>
      <c r="L12" s="405"/>
      <c r="M12" s="405"/>
      <c r="N12" s="405"/>
    </row>
    <row r="13" spans="3:29">
      <c r="C13" s="405"/>
      <c r="D13" s="405"/>
      <c r="E13" s="405"/>
      <c r="F13" s="405"/>
      <c r="G13" s="405"/>
      <c r="H13" s="405"/>
      <c r="I13" s="405"/>
      <c r="J13" s="405"/>
      <c r="K13" s="405"/>
      <c r="L13" s="405"/>
      <c r="M13" s="405"/>
      <c r="N13" s="405"/>
    </row>
    <row r="14" spans="3:29">
      <c r="C14" s="406"/>
      <c r="D14" s="406"/>
      <c r="E14" s="406"/>
      <c r="F14" s="406"/>
      <c r="G14" s="406"/>
      <c r="H14" s="406"/>
      <c r="I14" s="406"/>
      <c r="J14" s="406"/>
      <c r="K14" s="406"/>
      <c r="L14" s="406"/>
      <c r="M14" s="406"/>
      <c r="N14" s="406"/>
    </row>
    <row r="15" spans="3:29">
      <c r="C15" s="405"/>
      <c r="D15" s="405"/>
      <c r="E15" s="405"/>
      <c r="F15" s="405"/>
      <c r="G15" s="405"/>
      <c r="H15" s="405"/>
      <c r="I15" s="405"/>
      <c r="J15" s="405"/>
      <c r="K15" s="405"/>
      <c r="L15" s="405"/>
      <c r="M15" s="405"/>
      <c r="N15" s="405"/>
    </row>
    <row r="16" spans="3:29">
      <c r="C16" s="407"/>
      <c r="D16" s="407"/>
      <c r="E16" s="407"/>
      <c r="F16" s="407"/>
      <c r="G16" s="407"/>
      <c r="H16" s="407"/>
      <c r="I16" s="407"/>
      <c r="J16" s="407"/>
      <c r="K16" s="407"/>
      <c r="L16" s="407"/>
      <c r="M16" s="407"/>
      <c r="N16" s="407"/>
    </row>
    <row r="17" spans="3:14">
      <c r="C17" s="407"/>
      <c r="D17" s="407"/>
      <c r="E17" s="407"/>
      <c r="F17" s="407"/>
      <c r="G17" s="407"/>
      <c r="H17" s="407"/>
      <c r="I17" s="407"/>
      <c r="J17" s="407"/>
      <c r="K17" s="407"/>
      <c r="L17" s="407"/>
      <c r="M17" s="407"/>
      <c r="N17" s="407"/>
    </row>
    <row r="18" spans="3:14">
      <c r="C18" s="407"/>
      <c r="D18" s="407"/>
      <c r="E18" s="407"/>
      <c r="F18" s="407"/>
      <c r="G18" s="407"/>
      <c r="H18" s="407"/>
      <c r="I18" s="407"/>
      <c r="J18" s="407"/>
      <c r="K18" s="407"/>
      <c r="L18" s="407"/>
      <c r="M18" s="407"/>
      <c r="N18" s="407"/>
    </row>
    <row r="19" spans="3:14">
      <c r="C19" s="408"/>
      <c r="D19" s="408"/>
      <c r="E19" s="408"/>
      <c r="F19" s="408"/>
      <c r="G19" s="408"/>
      <c r="H19" s="408"/>
      <c r="I19" s="408"/>
      <c r="J19" s="408"/>
      <c r="K19" s="408"/>
      <c r="L19" s="408"/>
      <c r="M19" s="408"/>
      <c r="N19" s="408"/>
    </row>
    <row r="20" spans="3:14">
      <c r="C20" s="408"/>
      <c r="D20" s="408"/>
      <c r="E20" s="408"/>
      <c r="F20" s="408"/>
      <c r="G20" s="408"/>
      <c r="H20" s="408"/>
      <c r="I20" s="408"/>
      <c r="J20" s="408"/>
      <c r="K20" s="408"/>
      <c r="L20" s="408"/>
      <c r="M20" s="408"/>
      <c r="N20" s="408"/>
    </row>
    <row r="21" spans="3:14">
      <c r="C21" s="409"/>
      <c r="D21" s="409"/>
      <c r="E21" s="409"/>
      <c r="F21" s="409"/>
      <c r="G21" s="409"/>
      <c r="H21" s="409"/>
      <c r="I21" s="409"/>
      <c r="J21" s="409"/>
      <c r="K21" s="409"/>
      <c r="L21" s="409"/>
      <c r="M21" s="409"/>
      <c r="N21" s="409"/>
    </row>
    <row r="22" spans="3:14">
      <c r="C22" s="409"/>
      <c r="D22" s="409"/>
      <c r="E22" s="409"/>
      <c r="F22" s="409"/>
      <c r="G22" s="409"/>
      <c r="H22" s="409"/>
      <c r="I22" s="409"/>
      <c r="J22" s="409"/>
      <c r="K22" s="409"/>
      <c r="L22" s="409"/>
      <c r="M22" s="409"/>
      <c r="N22" s="409"/>
    </row>
    <row r="23" spans="3:14">
      <c r="C23" s="409"/>
      <c r="D23" s="409"/>
      <c r="E23" s="409"/>
      <c r="F23" s="409"/>
      <c r="G23" s="409"/>
      <c r="H23" s="409"/>
      <c r="I23" s="409"/>
      <c r="J23" s="409"/>
      <c r="K23" s="409"/>
      <c r="L23" s="409"/>
      <c r="M23" s="409"/>
      <c r="N23" s="409"/>
    </row>
    <row r="24" spans="3:14">
      <c r="C24" s="409"/>
      <c r="D24" s="409"/>
      <c r="E24" s="409"/>
      <c r="F24" s="409"/>
      <c r="G24" s="409"/>
      <c r="H24" s="409"/>
      <c r="I24" s="409"/>
      <c r="J24" s="409"/>
      <c r="K24" s="409"/>
      <c r="L24" s="409"/>
      <c r="M24" s="409"/>
      <c r="N24" s="409"/>
    </row>
    <row r="25" spans="3:14">
      <c r="C25" s="409"/>
      <c r="D25" s="409"/>
      <c r="E25" s="409"/>
      <c r="F25" s="409"/>
      <c r="G25" s="409"/>
      <c r="H25" s="409"/>
      <c r="I25" s="409"/>
      <c r="J25" s="409"/>
      <c r="K25" s="409"/>
      <c r="L25" s="409"/>
      <c r="M25" s="409"/>
      <c r="N25" s="409"/>
    </row>
    <row r="26" spans="3:14">
      <c r="C26" s="409"/>
      <c r="D26" s="409"/>
      <c r="E26" s="409"/>
      <c r="F26" s="409"/>
      <c r="G26" s="409"/>
      <c r="H26" s="409"/>
      <c r="I26" s="409"/>
      <c r="J26" s="409"/>
      <c r="K26" s="409"/>
      <c r="L26" s="409"/>
      <c r="M26" s="409"/>
      <c r="N26" s="409"/>
    </row>
    <row r="27" spans="3:14">
      <c r="C27" s="409"/>
      <c r="D27" s="409"/>
      <c r="E27" s="409"/>
      <c r="F27" s="409"/>
      <c r="G27" s="409"/>
      <c r="H27" s="409"/>
      <c r="I27" s="409"/>
      <c r="J27" s="409"/>
      <c r="K27" s="409"/>
      <c r="L27" s="409"/>
      <c r="M27" s="409"/>
      <c r="N27" s="409"/>
    </row>
    <row r="28" spans="3:14">
      <c r="C28" s="409"/>
      <c r="D28" s="409"/>
      <c r="E28" s="409"/>
      <c r="F28" s="409"/>
      <c r="G28" s="409"/>
      <c r="H28" s="409"/>
      <c r="I28" s="409"/>
      <c r="J28" s="409"/>
      <c r="K28" s="409"/>
      <c r="L28" s="409"/>
      <c r="M28" s="409"/>
      <c r="N28" s="409"/>
    </row>
    <row r="29" spans="3:14">
      <c r="C29" s="410"/>
      <c r="D29" s="410"/>
      <c r="E29" s="410"/>
      <c r="F29" s="410"/>
      <c r="G29" s="410"/>
      <c r="H29" s="410"/>
      <c r="I29" s="410"/>
      <c r="J29" s="410"/>
      <c r="K29" s="410"/>
      <c r="L29" s="410"/>
      <c r="M29" s="410"/>
      <c r="N29" s="410"/>
    </row>
    <row r="30" spans="3:14">
      <c r="C30" s="410"/>
      <c r="D30" s="410"/>
      <c r="E30" s="410"/>
      <c r="F30" s="410"/>
      <c r="G30" s="410"/>
      <c r="H30" s="410"/>
      <c r="I30" s="410"/>
      <c r="J30" s="410"/>
      <c r="K30" s="410"/>
      <c r="L30" s="410"/>
      <c r="M30" s="410"/>
      <c r="N30" s="410"/>
    </row>
    <row r="31" spans="3:14">
      <c r="C31" s="410"/>
      <c r="D31" s="410"/>
      <c r="E31" s="410"/>
      <c r="F31" s="410"/>
      <c r="G31" s="410"/>
      <c r="H31" s="410"/>
      <c r="I31" s="410"/>
      <c r="J31" s="410"/>
      <c r="K31" s="410"/>
      <c r="L31" s="410"/>
      <c r="M31" s="410"/>
      <c r="N31" s="410"/>
    </row>
    <row r="32" spans="3:14">
      <c r="C32" s="410"/>
      <c r="D32" s="410"/>
      <c r="E32" s="410"/>
      <c r="F32" s="410"/>
      <c r="G32" s="410"/>
      <c r="H32" s="410"/>
      <c r="I32" s="410"/>
      <c r="J32" s="410"/>
      <c r="K32" s="410"/>
      <c r="L32" s="410"/>
      <c r="M32" s="410"/>
      <c r="N32" s="410"/>
    </row>
  </sheetData>
  <sheetProtection algorithmName="SHA-512" hashValue="snEZz8wdtguzNHgPalS1N5GfBgP7V13vkSIxCBehkTxFC30pnuZCRTefq5DjVW/mU9k2ayYMyrnCJs+zNthI2w==" saltValue="aKoNmuv3OA0YQjrhPo2mcQ==" spinCount="100000" sheet="1" objects="1"/>
  <mergeCells count="30">
    <mergeCell ref="C5:N5"/>
    <mergeCell ref="C6:N6"/>
    <mergeCell ref="C7:N7"/>
    <mergeCell ref="C8:N8"/>
    <mergeCell ref="C9:N9"/>
    <mergeCell ref="C10:N10"/>
    <mergeCell ref="C11:N11"/>
    <mergeCell ref="C12:N12"/>
    <mergeCell ref="C13:N13"/>
    <mergeCell ref="C14:N14"/>
    <mergeCell ref="C15:N15"/>
    <mergeCell ref="C16:N16"/>
    <mergeCell ref="C17:N17"/>
    <mergeCell ref="C18:N18"/>
    <mergeCell ref="C19:N19"/>
    <mergeCell ref="C20:N20"/>
    <mergeCell ref="C21:N21"/>
    <mergeCell ref="C22:N22"/>
    <mergeCell ref="C23:N23"/>
    <mergeCell ref="C24:N24"/>
    <mergeCell ref="C25:N25"/>
    <mergeCell ref="C26:N26"/>
    <mergeCell ref="C27:N27"/>
    <mergeCell ref="C28:N28"/>
    <mergeCell ref="C29:N29"/>
    <mergeCell ref="C30:N30"/>
    <mergeCell ref="C31:N31"/>
    <mergeCell ref="C32:N32"/>
    <mergeCell ref="C1:O3"/>
    <mergeCell ref="Q1:AC3"/>
  </mergeCells>
  <pageMargins left="0.75" right="0.75" top="1" bottom="1" header="0.5" footer="0.5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A86"/>
  <sheetViews>
    <sheetView showGridLines="0" tabSelected="1" workbookViewId="0">
      <selection activeCell="G6" sqref="G6"/>
    </sheetView>
  </sheetViews>
  <sheetFormatPr defaultColWidth="9" defaultRowHeight="18" customHeight="1"/>
  <cols>
    <col min="1" max="1" width="12.75" style="9" customWidth="1"/>
    <col min="2" max="2" width="1.625" style="9" customWidth="1"/>
    <col min="3" max="4" width="12.625" style="9" customWidth="1"/>
    <col min="5" max="5" width="1.375" style="9" customWidth="1"/>
    <col min="6" max="6" width="3" style="9" customWidth="1"/>
    <col min="7" max="19" width="7.625" style="9" customWidth="1"/>
    <col min="20" max="20" width="9.875" style="9" customWidth="1"/>
    <col min="21" max="21" width="9.5" style="9" customWidth="1"/>
    <col min="22" max="24" width="7.625" style="9" customWidth="1"/>
    <col min="25" max="25" width="4.125" style="9" customWidth="1"/>
    <col min="26" max="26" width="7.125" style="9" customWidth="1"/>
    <col min="27" max="27" width="6.375" style="9" customWidth="1"/>
    <col min="28" max="28" width="3.875" style="312" customWidth="1"/>
    <col min="29" max="29" width="12.375" style="312" customWidth="1"/>
    <col min="30" max="38" width="9" style="312"/>
    <col min="39" max="16384" width="9" style="9"/>
  </cols>
  <sheetData>
    <row r="1" customHeight="1" spans="1:27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</row>
    <row r="2" ht="14.1" customHeight="1" spans="1:27">
      <c r="A2" s="312"/>
      <c r="B2" s="313"/>
      <c r="C2" s="314"/>
      <c r="D2" s="314"/>
      <c r="E2" s="314"/>
      <c r="F2" s="315"/>
      <c r="G2" s="316"/>
      <c r="H2" s="316"/>
      <c r="I2" s="316"/>
      <c r="J2" s="316"/>
      <c r="K2" s="316"/>
      <c r="L2" s="316"/>
      <c r="M2" s="316"/>
      <c r="N2" s="316"/>
      <c r="O2" s="316"/>
      <c r="P2" s="316"/>
      <c r="Q2" s="316"/>
      <c r="R2" s="316"/>
      <c r="S2" s="316"/>
      <c r="T2" s="316"/>
      <c r="U2" s="316"/>
      <c r="V2" s="316"/>
      <c r="W2" s="316"/>
      <c r="X2" s="316"/>
      <c r="Y2" s="316"/>
      <c r="Z2" s="316"/>
      <c r="AA2" s="317"/>
    </row>
    <row r="3" ht="24" customHeight="1" spans="1:27">
      <c r="A3" s="312"/>
      <c r="B3" s="318"/>
      <c r="C3" s="319"/>
      <c r="D3" s="319"/>
      <c r="E3" s="319"/>
      <c r="F3" s="320"/>
      <c r="G3" s="321">
        <f ca="1">常更新数据!AG3</f>
        <v>11713430.3166304</v>
      </c>
      <c r="H3" s="321"/>
      <c r="I3" s="321"/>
      <c r="J3" s="84"/>
      <c r="K3" s="322" t="s">
        <v>0</v>
      </c>
      <c r="L3" s="84"/>
      <c r="M3" s="323" t="s">
        <v>1</v>
      </c>
      <c r="N3" s="323"/>
      <c r="O3" s="84"/>
      <c r="P3" s="324" t="str">
        <f ca="1">常更新数据!AG2</f>
        <v/>
      </c>
      <c r="Q3" s="324"/>
      <c r="R3" s="84"/>
      <c r="S3" s="84"/>
      <c r="T3" s="84"/>
      <c r="U3" s="84"/>
      <c r="V3" s="84"/>
      <c r="W3" s="84"/>
      <c r="X3" s="84"/>
      <c r="Y3" s="325"/>
      <c r="Z3" s="325"/>
      <c r="AA3" s="326"/>
    </row>
    <row r="4" ht="9" customHeight="1" spans="1:27">
      <c r="A4" s="312"/>
      <c r="B4" s="318"/>
      <c r="C4" s="319"/>
      <c r="D4" s="319"/>
      <c r="E4" s="319"/>
      <c r="F4" s="320"/>
      <c r="G4" s="321"/>
      <c r="H4" s="321"/>
      <c r="I4" s="321"/>
      <c r="J4" s="84"/>
      <c r="K4" s="84"/>
      <c r="L4" s="84"/>
      <c r="M4" s="84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327"/>
      <c r="Z4" s="327"/>
      <c r="AA4" s="326"/>
    </row>
    <row r="5" ht="26.1" customHeight="1" spans="1:27">
      <c r="A5" s="312"/>
      <c r="B5" s="318"/>
      <c r="C5" s="319"/>
      <c r="D5" s="319"/>
      <c r="E5" s="319"/>
      <c r="F5" s="320"/>
      <c r="G5" s="321"/>
      <c r="H5" s="321"/>
      <c r="I5" s="321"/>
      <c r="J5" s="84"/>
      <c r="K5" s="328" t="s">
        <v>2</v>
      </c>
      <c r="L5" s="329"/>
      <c r="M5" s="328" t="s">
        <v>3</v>
      </c>
      <c r="N5" s="330" t="s">
        <v>4</v>
      </c>
      <c r="O5" s="84"/>
      <c r="P5" s="328" t="s">
        <v>5</v>
      </c>
      <c r="Q5" s="328" t="s">
        <v>6</v>
      </c>
      <c r="R5" s="84"/>
      <c r="S5" s="328" t="s">
        <v>7</v>
      </c>
      <c r="T5" s="328" t="s">
        <v>7</v>
      </c>
      <c r="U5" s="84"/>
      <c r="V5" s="328" t="s">
        <v>8</v>
      </c>
      <c r="W5" s="330" t="s">
        <v>9</v>
      </c>
      <c r="X5" s="84"/>
      <c r="Y5" s="84"/>
      <c r="Z5" s="84"/>
      <c r="AA5" s="326"/>
    </row>
    <row r="6" ht="26.1" customHeight="1" spans="1:27">
      <c r="A6" s="312"/>
      <c r="B6" s="318"/>
      <c r="C6" s="319"/>
      <c r="D6" s="319"/>
      <c r="E6" s="319"/>
      <c r="F6" s="320"/>
      <c r="G6" s="331" t="s">
        <v>10</v>
      </c>
      <c r="H6" s="332"/>
      <c r="I6" s="331" t="s">
        <v>11</v>
      </c>
      <c r="J6" s="84"/>
      <c r="K6" s="330" t="s">
        <v>12</v>
      </c>
      <c r="L6" s="84"/>
      <c r="M6" s="328" t="s">
        <v>3</v>
      </c>
      <c r="N6" s="330" t="s">
        <v>13</v>
      </c>
      <c r="O6" s="84"/>
      <c r="P6" s="328" t="s">
        <v>14</v>
      </c>
      <c r="Q6" s="328" t="s">
        <v>15</v>
      </c>
      <c r="R6" s="84"/>
      <c r="S6" s="328" t="s">
        <v>16</v>
      </c>
      <c r="T6" s="328" t="s">
        <v>16</v>
      </c>
      <c r="U6" s="84"/>
      <c r="V6" s="328" t="s">
        <v>17</v>
      </c>
      <c r="W6" s="330" t="s">
        <v>18</v>
      </c>
      <c r="X6" s="84"/>
      <c r="Y6" s="84"/>
      <c r="Z6" s="84"/>
      <c r="AA6" s="333"/>
    </row>
    <row r="7" ht="3.95" customHeight="1" spans="1:27">
      <c r="A7" s="312"/>
      <c r="B7" s="318"/>
      <c r="C7" s="319"/>
      <c r="D7" s="319"/>
      <c r="E7" s="319"/>
      <c r="F7" s="320"/>
      <c r="G7" s="320"/>
      <c r="H7" s="334"/>
      <c r="I7" s="334"/>
      <c r="J7" s="334"/>
      <c r="K7" s="334"/>
      <c r="L7" s="334"/>
      <c r="M7" s="334"/>
      <c r="N7" s="334"/>
      <c r="O7" s="334"/>
      <c r="P7" s="335"/>
      <c r="Q7" s="335"/>
      <c r="R7" s="334"/>
      <c r="S7" s="334"/>
      <c r="T7" s="334"/>
      <c r="U7" s="334"/>
      <c r="V7" s="334"/>
      <c r="W7" s="334"/>
      <c r="X7" s="84"/>
      <c r="Y7" s="84"/>
      <c r="Z7" s="320"/>
      <c r="AA7" s="336"/>
    </row>
    <row r="8" ht="29.1" customHeight="1" spans="1:27">
      <c r="A8" s="312"/>
      <c r="B8" s="318"/>
      <c r="C8" s="319"/>
      <c r="D8" s="319"/>
      <c r="E8" s="319"/>
      <c r="F8" s="320"/>
      <c r="G8" s="320"/>
      <c r="H8" s="334"/>
      <c r="I8" s="334"/>
      <c r="J8" s="334"/>
      <c r="K8" s="334"/>
      <c r="L8" s="334"/>
      <c r="M8" s="334"/>
      <c r="N8" s="334"/>
      <c r="O8" s="334"/>
      <c r="P8" s="335"/>
      <c r="Q8" s="335"/>
      <c r="R8" s="334"/>
      <c r="S8" s="334"/>
      <c r="T8" s="84"/>
      <c r="U8" s="320"/>
      <c r="V8" s="335"/>
      <c r="W8" s="335"/>
      <c r="X8" s="335"/>
      <c r="Y8" s="84"/>
      <c r="Z8" s="320"/>
      <c r="AA8" s="336"/>
    </row>
    <row r="9" ht="21" customHeight="1" spans="1:27">
      <c r="A9" s="312"/>
      <c r="B9" s="318"/>
      <c r="C9" s="319"/>
      <c r="D9" s="319"/>
      <c r="E9" s="319"/>
      <c r="F9" s="320"/>
      <c r="G9" s="320"/>
      <c r="H9" s="334"/>
      <c r="I9" s="334"/>
      <c r="J9" s="334"/>
      <c r="K9" s="334"/>
      <c r="L9" s="334"/>
      <c r="M9" s="334"/>
      <c r="N9" s="334"/>
      <c r="O9" s="334"/>
      <c r="P9" s="335"/>
      <c r="Q9" s="335"/>
      <c r="R9" s="334"/>
      <c r="S9" s="334"/>
      <c r="T9" s="154" t="s">
        <v>19</v>
      </c>
      <c r="U9" s="154" t="s">
        <v>20</v>
      </c>
      <c r="V9" s="327" t="s">
        <v>21</v>
      </c>
      <c r="W9" s="337"/>
      <c r="X9" s="130" t="str">
        <f ca="1">IF(伤害占比和收益!E2&lt;&gt;0,伤害占比和收益!E2,"")</f>
        <v>玳弦急曲</v>
      </c>
      <c r="Y9" s="84"/>
      <c r="Z9" s="338">
        <f ca="1">IF(伤害占比和收益!F2&lt;&gt;0,伤害占比和收益!F2,"")</f>
        <v>0.319045396491468</v>
      </c>
      <c r="AA9" s="339"/>
    </row>
    <row r="10" ht="21" customHeight="1" spans="1:27">
      <c r="A10" s="312"/>
      <c r="B10" s="318"/>
      <c r="C10" s="340" t="str">
        <f ca="1">角色属性!V13</f>
        <v>装分 820991</v>
      </c>
      <c r="D10" s="340"/>
      <c r="E10" s="319"/>
      <c r="F10" s="320"/>
      <c r="G10" s="92" t="s">
        <v>22</v>
      </c>
      <c r="H10" s="341" t="s">
        <v>23</v>
      </c>
      <c r="I10" s="341"/>
      <c r="J10" s="341"/>
      <c r="K10" s="341"/>
      <c r="L10" s="341"/>
      <c r="M10" s="84"/>
      <c r="N10" s="101" t="s">
        <v>24</v>
      </c>
      <c r="O10" s="106" t="s">
        <v>25</v>
      </c>
      <c r="P10" s="154"/>
      <c r="Q10" s="92" t="s">
        <v>26</v>
      </c>
      <c r="R10" s="92"/>
      <c r="S10" s="334"/>
      <c r="T10" s="156" t="str">
        <f ca="1">伤害占比和收益!K2</f>
        <v>会效</v>
      </c>
      <c r="U10" s="327">
        <f ca="1">_xlfn.XLOOKUP(T10,常更新数据!$E$2:$E$8,常更新数据!$F$2:$F$8)</f>
        <v>3279</v>
      </c>
      <c r="V10" s="342">
        <f ca="1">伤害占比和收益!L2</f>
        <v>0.0163508883822641</v>
      </c>
      <c r="W10" s="337"/>
      <c r="X10" s="130" t="str">
        <f ca="1">IF(伤害占比和收益!E3&lt;&gt;0,伤害占比和收益!E3,"")</f>
        <v>急曲（DOT）</v>
      </c>
      <c r="Y10" s="84"/>
      <c r="Z10" s="338">
        <f ca="1">IF(伤害占比和收益!F3&lt;&gt;0,伤害占比和收益!F3,"")</f>
        <v>0.153842080755086</v>
      </c>
      <c r="AA10" s="343"/>
    </row>
    <row r="11" ht="21" customHeight="1" spans="1:27">
      <c r="A11" s="312"/>
      <c r="B11" s="318"/>
      <c r="C11" s="344">
        <f ca="1">角色属性!V18</f>
        <v>12876</v>
      </c>
      <c r="D11" s="344">
        <f ca="1">角色属性!V19</f>
        <v>78402</v>
      </c>
      <c r="E11" s="319"/>
      <c r="F11" s="320"/>
      <c r="G11" s="92" t="s">
        <v>27</v>
      </c>
      <c r="H11" s="341" t="s">
        <v>28</v>
      </c>
      <c r="I11" s="341"/>
      <c r="J11" s="341"/>
      <c r="K11" s="341"/>
      <c r="L11" s="341"/>
      <c r="M11" s="84"/>
      <c r="N11" s="345" t="s">
        <v>29</v>
      </c>
      <c r="O11" s="106" t="s">
        <v>30</v>
      </c>
      <c r="P11" s="154"/>
      <c r="Q11" s="329" t="s">
        <v>31</v>
      </c>
      <c r="R11" s="346" t="s">
        <v>32</v>
      </c>
      <c r="S11" s="334"/>
      <c r="T11" s="156" t="str">
        <f ca="1">伤害占比和收益!K3</f>
        <v>会心</v>
      </c>
      <c r="U11" s="327">
        <f ca="1">_xlfn.XLOOKUP(T11,常更新数据!$E$2:$E$8,常更新数据!$F$2:$F$8)</f>
        <v>3279</v>
      </c>
      <c r="V11" s="342">
        <f ca="1">伤害占比和收益!L3</f>
        <v>0.0105254307271394</v>
      </c>
      <c r="W11" s="337"/>
      <c r="X11" s="130" t="str">
        <f ca="1">IF(伤害占比和收益!E4&lt;&gt;0,伤害占比和收益!E4,"")</f>
        <v>剑破虚空</v>
      </c>
      <c r="Y11" s="84"/>
      <c r="Z11" s="338">
        <f ca="1">IF(伤害占比和收益!F4&lt;&gt;0,伤害占比和收益!F4,"")</f>
        <v>0.100366998454193</v>
      </c>
      <c r="AA11" s="343"/>
    </row>
    <row r="12" ht="21" customHeight="1" spans="1:27">
      <c r="A12" s="312"/>
      <c r="B12" s="318"/>
      <c r="C12" s="344"/>
      <c r="D12" s="347"/>
      <c r="E12" s="319"/>
      <c r="F12" s="320"/>
      <c r="G12" s="92" t="s">
        <v>33</v>
      </c>
      <c r="H12" s="341" t="s">
        <v>34</v>
      </c>
      <c r="I12" s="341"/>
      <c r="J12" s="341"/>
      <c r="K12" s="341"/>
      <c r="L12" s="341"/>
      <c r="M12" s="84"/>
      <c r="N12" s="345" t="s">
        <v>29</v>
      </c>
      <c r="O12" s="106" t="s">
        <v>35</v>
      </c>
      <c r="P12" s="154"/>
      <c r="Q12" s="329" t="s">
        <v>36</v>
      </c>
      <c r="R12" s="346" t="s">
        <v>37</v>
      </c>
      <c r="S12" s="334"/>
      <c r="T12" s="156" t="str">
        <f ca="1">伤害占比和收益!K4</f>
        <v>无双</v>
      </c>
      <c r="U12" s="327">
        <f ca="1">_xlfn.XLOOKUP(T12,常更新数据!$E$2:$E$8,常更新数据!$F$2:$F$8)</f>
        <v>3279</v>
      </c>
      <c r="V12" s="342">
        <f ca="1">伤害占比和收益!L4</f>
        <v>0.0101044883096364</v>
      </c>
      <c r="W12" s="337"/>
      <c r="X12" s="130" t="str">
        <f ca="1">IF(伤害占比和收益!E5&lt;&gt;0,伤害占比和收益!E5,"")</f>
        <v>化冰</v>
      </c>
      <c r="Y12" s="84"/>
      <c r="Z12" s="338">
        <f ca="1">IF(伤害占比和收益!F5&lt;&gt;0,伤害占比和收益!F5,"")</f>
        <v>0.0754278003062493</v>
      </c>
      <c r="AA12" s="343"/>
    </row>
    <row r="13" ht="21" customHeight="1" spans="1:27">
      <c r="A13" s="312"/>
      <c r="B13" s="318"/>
      <c r="C13" s="319"/>
      <c r="D13" s="319"/>
      <c r="E13" s="319"/>
      <c r="F13" s="320"/>
      <c r="G13" s="92" t="s">
        <v>38</v>
      </c>
      <c r="H13" s="341" t="s">
        <v>39</v>
      </c>
      <c r="I13" s="341"/>
      <c r="J13" s="341"/>
      <c r="K13" s="341"/>
      <c r="L13" s="341"/>
      <c r="M13" s="84"/>
      <c r="N13" s="345" t="s">
        <v>37</v>
      </c>
      <c r="O13" s="106" t="s">
        <v>40</v>
      </c>
      <c r="P13" s="154"/>
      <c r="Q13" s="329" t="s">
        <v>41</v>
      </c>
      <c r="R13" s="346" t="s">
        <v>42</v>
      </c>
      <c r="S13" s="334"/>
      <c r="T13" s="156" t="str">
        <f ca="1">伤害占比和收益!K5</f>
        <v>破防</v>
      </c>
      <c r="U13" s="327">
        <f ca="1">_xlfn.XLOOKUP(T13,常更新数据!$E$2:$E$8,常更新数据!$F$2:$F$8)</f>
        <v>3279</v>
      </c>
      <c r="V13" s="342">
        <f ca="1">伤害占比和收益!L5</f>
        <v>0.0100218562922174</v>
      </c>
      <c r="W13" s="337"/>
      <c r="X13" s="130" t="str">
        <f ca="1">IF(伤害占比和收益!E6&lt;&gt;0,伤害占比和收益!E6,"")</f>
        <v>盈袖</v>
      </c>
      <c r="Y13" s="84"/>
      <c r="Z13" s="338">
        <f ca="1">IF(伤害占比和收益!F6&lt;&gt;0,伤害占比和收益!F6,"")</f>
        <v>0.0719768093766666</v>
      </c>
      <c r="AA13" s="343"/>
    </row>
    <row r="14" ht="21" customHeight="1" spans="1:27">
      <c r="A14" s="312"/>
      <c r="B14" s="318"/>
      <c r="C14" s="348">
        <f ca="1">角色属性!V20</f>
        <v>0.560717035148683</v>
      </c>
      <c r="D14" s="348">
        <f ca="1">角色属性!V21</f>
        <v>2.064740226401</v>
      </c>
      <c r="E14" s="319"/>
      <c r="F14" s="320"/>
      <c r="G14" s="92" t="s">
        <v>43</v>
      </c>
      <c r="H14" s="341" t="s">
        <v>44</v>
      </c>
      <c r="I14" s="341"/>
      <c r="J14" s="341"/>
      <c r="K14" s="341"/>
      <c r="L14" s="341"/>
      <c r="M14" s="84"/>
      <c r="N14" s="345" t="s">
        <v>37</v>
      </c>
      <c r="O14" s="106"/>
      <c r="P14" s="154"/>
      <c r="Q14" s="84"/>
      <c r="R14" s="349"/>
      <c r="S14" s="334"/>
      <c r="T14" s="156" t="str">
        <f ca="1">伤害占比和收益!K6</f>
        <v>破招</v>
      </c>
      <c r="U14" s="327">
        <f ca="1">_xlfn.XLOOKUP(T14,常更新数据!$E$2:$E$8,常更新数据!$F$2:$F$8)</f>
        <v>3279</v>
      </c>
      <c r="V14" s="342">
        <f ca="1">伤害占比和收益!L6</f>
        <v>0.00894339064997496</v>
      </c>
      <c r="W14" s="337"/>
      <c r="X14" s="130" t="str">
        <f ca="1">IF(伤害占比和收益!E7&lt;&gt;0,伤害占比和收益!E7,"")</f>
        <v>钗燕</v>
      </c>
      <c r="Y14" s="84"/>
      <c r="Z14" s="338">
        <f ca="1">IF(伤害占比和收益!F7&lt;&gt;0,伤害占比和收益!F7,"")</f>
        <v>0.0656114604712815</v>
      </c>
      <c r="AA14" s="343"/>
    </row>
    <row r="15" ht="21" customHeight="1" spans="1:27">
      <c r="A15" s="312"/>
      <c r="B15" s="318"/>
      <c r="C15" s="350"/>
      <c r="D15" s="319"/>
      <c r="E15" s="319"/>
      <c r="F15" s="320"/>
      <c r="G15" s="92" t="s">
        <v>45</v>
      </c>
      <c r="H15" s="341" t="s">
        <v>46</v>
      </c>
      <c r="I15" s="341"/>
      <c r="J15" s="341"/>
      <c r="K15" s="341"/>
      <c r="L15" s="341"/>
      <c r="M15" s="84"/>
      <c r="N15" s="101" t="s">
        <v>47</v>
      </c>
      <c r="O15" s="106" t="s">
        <v>48</v>
      </c>
      <c r="P15" s="154"/>
      <c r="Q15" s="92" t="s">
        <v>49</v>
      </c>
      <c r="R15" s="92"/>
      <c r="S15" s="334"/>
      <c r="T15" s="156" t="str">
        <f ca="1">伤害占比和收益!K7</f>
        <v>攻击</v>
      </c>
      <c r="U15" s="327">
        <f ca="1">_xlfn.XLOOKUP(T15,常更新数据!$E$2:$E$8,常更新数据!$F$2:$F$8)</f>
        <v>994</v>
      </c>
      <c r="V15" s="342">
        <f ca="1">伤害占比和收益!L7</f>
        <v>0.0087235344470693</v>
      </c>
      <c r="W15" s="337"/>
      <c r="X15" s="130" t="str">
        <f ca="1">IF(伤害占比和收益!E8&lt;&gt;0,伤害占比和收益!E8,"")</f>
        <v>江海凝光</v>
      </c>
      <c r="Y15" s="84"/>
      <c r="Z15" s="338">
        <f ca="1">IF(伤害占比和收益!F8&lt;&gt;0,伤害占比和收益!F8,"")</f>
        <v>0.053854051720725</v>
      </c>
      <c r="AA15" s="343"/>
    </row>
    <row r="16" ht="21" customHeight="1" spans="1:27">
      <c r="A16" s="312"/>
      <c r="B16" s="318"/>
      <c r="C16" s="319"/>
      <c r="D16" s="319"/>
      <c r="E16" s="319"/>
      <c r="F16" s="320"/>
      <c r="G16" s="92" t="s">
        <v>50</v>
      </c>
      <c r="H16" s="341" t="s">
        <v>51</v>
      </c>
      <c r="I16" s="341"/>
      <c r="J16" s="341"/>
      <c r="K16" s="341"/>
      <c r="L16" s="341"/>
      <c r="M16" s="84"/>
      <c r="N16" s="345" t="s">
        <v>52</v>
      </c>
      <c r="O16" s="351"/>
      <c r="P16" s="154"/>
      <c r="Q16" s="329" t="s">
        <v>53</v>
      </c>
      <c r="R16" s="346">
        <v>8</v>
      </c>
      <c r="S16" s="334"/>
      <c r="T16" s="156" t="str">
        <f ca="1">伤害占比和收益!K8</f>
        <v>根骨</v>
      </c>
      <c r="U16" s="327">
        <f ca="1">_xlfn.XLOOKUP(T16,常更新数据!$E$2:$E$8,常更新数据!$F$2:$F$8)</f>
        <v>420</v>
      </c>
      <c r="V16" s="342">
        <f ca="1">伤害占比和收益!L8</f>
        <v>0.0070628764557894</v>
      </c>
      <c r="W16" s="337"/>
      <c r="X16" s="130" t="str">
        <f ca="1">IF(伤害占比和收益!E9&lt;&gt;0,伤害占比和收益!E9,"")</f>
        <v>流芳仙姿•剑破</v>
      </c>
      <c r="Y16" s="84"/>
      <c r="Z16" s="338">
        <f ca="1">IF(伤害占比和收益!F9&lt;&gt;0,伤害占比和收益!F9,"")</f>
        <v>0.0449421555671691</v>
      </c>
      <c r="AA16" s="343"/>
    </row>
    <row r="17" ht="21" customHeight="1" spans="1:27">
      <c r="A17" s="312"/>
      <c r="B17" s="318"/>
      <c r="C17" s="348">
        <f ca="1">角色属性!V23</f>
        <v>0.369370182724547</v>
      </c>
      <c r="D17" s="348">
        <f ca="1">角色属性!V24</f>
        <v>0.788025788025788</v>
      </c>
      <c r="E17" s="319"/>
      <c r="F17" s="320"/>
      <c r="G17" s="92" t="s">
        <v>54</v>
      </c>
      <c r="H17" s="341" t="s">
        <v>55</v>
      </c>
      <c r="I17" s="341"/>
      <c r="J17" s="341"/>
      <c r="K17" s="341"/>
      <c r="L17" s="341"/>
      <c r="M17" s="84"/>
      <c r="N17" s="345" t="s">
        <v>52</v>
      </c>
      <c r="O17" s="351"/>
      <c r="P17" s="84"/>
      <c r="Q17" s="84"/>
      <c r="R17" s="349"/>
      <c r="S17" s="334"/>
      <c r="T17" s="84"/>
      <c r="U17" s="320"/>
      <c r="V17" s="84"/>
      <c r="W17" s="337"/>
      <c r="X17" s="130" t="str">
        <f ca="1">IF(伤害占比和收益!E10&lt;&gt;0,伤害占比和收益!E10,"")</f>
        <v>流芳仙姿•玳弦</v>
      </c>
      <c r="Y17" s="84"/>
      <c r="Z17" s="338">
        <f ca="1">IF(伤害占比和收益!F10&lt;&gt;0,伤害占比和收益!F10,"")</f>
        <v>0.0267081734172232</v>
      </c>
      <c r="AA17" s="352"/>
    </row>
    <row r="18" ht="21" customHeight="1" spans="1:27">
      <c r="A18" s="312"/>
      <c r="B18" s="318"/>
      <c r="C18" s="319"/>
      <c r="D18" s="319"/>
      <c r="E18" s="319"/>
      <c r="F18" s="320"/>
      <c r="G18" s="92" t="s">
        <v>56</v>
      </c>
      <c r="H18" s="341" t="s">
        <v>57</v>
      </c>
      <c r="I18" s="341"/>
      <c r="J18" s="341"/>
      <c r="K18" s="341"/>
      <c r="L18" s="341"/>
      <c r="M18" s="84"/>
      <c r="N18" s="345" t="s">
        <v>58</v>
      </c>
      <c r="O18" s="351"/>
      <c r="P18" s="84"/>
      <c r="Q18" s="92" t="s">
        <v>59</v>
      </c>
      <c r="R18" s="92"/>
      <c r="S18" s="334"/>
      <c r="T18" s="156" t="str">
        <f ca="1">IF(伤害占比和收益!I3&gt;0,伤害占比和收益!H3,"")</f>
        <v>田螺阵</v>
      </c>
      <c r="U18" s="320"/>
      <c r="V18" s="342">
        <f ca="1">IF(伤害占比和收益!I3&gt;0,伤害占比和收益!I3,"")</f>
        <v>0.139386552906419</v>
      </c>
      <c r="W18" s="337"/>
      <c r="X18" s="130" t="str">
        <f ca="1">IF(伤害占比和收益!E11&lt;&gt;0,伤害占比和收益!E11,"")</f>
        <v>破•霜降</v>
      </c>
      <c r="Y18" s="84"/>
      <c r="Z18" s="338">
        <f ca="1">IF(伤害占比和收益!F11&lt;&gt;0,伤害占比和收益!F11,"")</f>
        <v>0.0194482417260729</v>
      </c>
      <c r="AA18" s="353"/>
    </row>
    <row r="19" ht="21" customHeight="1" spans="1:27">
      <c r="A19" s="312"/>
      <c r="B19" s="318"/>
      <c r="C19" s="319"/>
      <c r="D19" s="319"/>
      <c r="E19" s="319"/>
      <c r="F19" s="320"/>
      <c r="G19" s="92" t="s">
        <v>56</v>
      </c>
      <c r="H19" s="341" t="s">
        <v>57</v>
      </c>
      <c r="I19" s="341"/>
      <c r="J19" s="341"/>
      <c r="K19" s="341"/>
      <c r="L19" s="341"/>
      <c r="M19" s="84"/>
      <c r="N19" s="345" t="s">
        <v>58</v>
      </c>
      <c r="O19" s="351"/>
      <c r="P19" s="84"/>
      <c r="Q19" s="329" t="s">
        <v>60</v>
      </c>
      <c r="R19" s="205">
        <v>8</v>
      </c>
      <c r="S19" s="334"/>
      <c r="T19" s="156" t="str">
        <f ca="1">IF(伤害占比和收益!I4&gt;0,伤害占比和收益!H4,"")</f>
        <v>万灵阵</v>
      </c>
      <c r="U19" s="320"/>
      <c r="V19" s="342">
        <f ca="1">IF(伤害占比和收益!I4&gt;0,伤害占比和收益!I4,"")</f>
        <v>0.134323756488608</v>
      </c>
      <c r="W19" s="337"/>
      <c r="X19" s="130" t="str">
        <f ca="1">IF(伤害占比和收益!E12&lt;&gt;0,伤害占比和收益!E12,"")</f>
        <v>破•钗燕</v>
      </c>
      <c r="Y19" s="84"/>
      <c r="Z19" s="338">
        <f ca="1">IF(伤害占比和收益!F12&lt;&gt;0,伤害占比和收益!F12,"")</f>
        <v>0.0165070708190326</v>
      </c>
      <c r="AA19" s="353"/>
    </row>
    <row r="20" ht="21" customHeight="1" spans="1:27">
      <c r="A20" s="312"/>
      <c r="B20" s="318"/>
      <c r="C20" s="354">
        <f ca="1">角色属性!V22</f>
        <v>32213</v>
      </c>
      <c r="D20" s="354">
        <f ca="1">角色属性!V25</f>
        <v>13740</v>
      </c>
      <c r="E20" s="319"/>
      <c r="F20" s="320"/>
      <c r="G20" s="92" t="s">
        <v>61</v>
      </c>
      <c r="H20" s="341" t="s">
        <v>62</v>
      </c>
      <c r="I20" s="341"/>
      <c r="J20" s="341"/>
      <c r="K20" s="341"/>
      <c r="L20" s="341"/>
      <c r="M20" s="84"/>
      <c r="N20" s="345" t="s">
        <v>63</v>
      </c>
      <c r="O20" s="351"/>
      <c r="P20" s="84"/>
      <c r="Q20" s="84"/>
      <c r="R20" s="84"/>
      <c r="S20" s="334"/>
      <c r="T20" s="156" t="str">
        <f ca="1">IF(伤害占比和收益!I5&gt;0,伤害占比和收益!H5,"")</f>
        <v>气纯阵</v>
      </c>
      <c r="U20" s="320"/>
      <c r="V20" s="342">
        <f ca="1">IF(伤害占比和收益!I5&gt;0,伤害占比和收益!I5,"")</f>
        <v>0.117959904619415</v>
      </c>
      <c r="W20" s="337"/>
      <c r="X20" s="130" t="str">
        <f ca="1">IF(伤害占比和收益!E13&lt;&gt;0,伤害占比和收益!E13,"")</f>
        <v>昆吾·弦刃</v>
      </c>
      <c r="Y20" s="84"/>
      <c r="Z20" s="338">
        <f ca="1">IF(伤害占比和收益!F13&lt;&gt;0,伤害占比和收益!F13,"")</f>
        <v>0.0133769733956448</v>
      </c>
      <c r="AA20" s="353"/>
    </row>
    <row r="21" ht="21" customHeight="1" spans="1:27">
      <c r="A21" s="312"/>
      <c r="B21" s="355"/>
      <c r="C21" s="356"/>
      <c r="D21" s="356"/>
      <c r="E21" s="356"/>
      <c r="F21" s="84"/>
      <c r="G21" s="92" t="s">
        <v>64</v>
      </c>
      <c r="H21" s="341" t="s">
        <v>65</v>
      </c>
      <c r="I21" s="341"/>
      <c r="J21" s="341"/>
      <c r="K21" s="341"/>
      <c r="L21" s="341"/>
      <c r="M21" s="84"/>
      <c r="N21" s="345" t="s">
        <v>47</v>
      </c>
      <c r="O21" s="351"/>
      <c r="P21" s="84"/>
      <c r="Q21" s="84"/>
      <c r="R21" s="84"/>
      <c r="S21" s="334"/>
      <c r="T21" s="156" t="str">
        <f ca="1">IF(伤害占比和收益!I6&gt;0,伤害占比和收益!H6,"")</f>
        <v>和尚阵</v>
      </c>
      <c r="U21" s="320"/>
      <c r="V21" s="342">
        <f ca="1">IF(伤害占比和收益!I6&gt;0,伤害占比和收益!I6,"")</f>
        <v>0.114622713878719</v>
      </c>
      <c r="W21" s="337"/>
      <c r="X21" s="130" t="str">
        <f ca="1">IF(伤害占比和收益!E14&lt;&gt;0,伤害占比和收益!E14,"")</f>
        <v>刃凌</v>
      </c>
      <c r="Y21" s="84"/>
      <c r="Z21" s="338">
        <f ca="1">IF(伤害占比和收益!F14&lt;&gt;0,伤害占比和收益!F14,"")</f>
        <v>0.0108652149682116</v>
      </c>
      <c r="AA21" s="353"/>
    </row>
    <row r="22" ht="21" customHeight="1" spans="1:27">
      <c r="A22" s="312"/>
      <c r="B22" s="355"/>
      <c r="C22" s="356"/>
      <c r="D22" s="356"/>
      <c r="E22" s="356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334"/>
      <c r="T22" s="156" t="str">
        <f ca="1">IF(伤害占比和收益!I7&gt;0,伤害占比和收益!H7,"")</f>
        <v>莫问阵</v>
      </c>
      <c r="U22" s="320"/>
      <c r="V22" s="342">
        <f ca="1">IF(伤害占比和收益!I7&gt;0,伤害占比和收益!I7,"")</f>
        <v>0.110788310898524</v>
      </c>
      <c r="W22" s="337"/>
      <c r="X22" s="130" t="str">
        <f ca="1">IF(伤害占比和收益!E15&lt;&gt;0,伤害占比和收益!E15,"")</f>
        <v>破•虚空</v>
      </c>
      <c r="Y22" s="84"/>
      <c r="Z22" s="338">
        <f ca="1">IF(伤害占比和收益!F15&lt;&gt;0,伤害占比和收益!F15,"")</f>
        <v>0.0091114071390006</v>
      </c>
      <c r="AA22" s="353"/>
    </row>
    <row r="23" ht="21" customHeight="1" spans="1:27">
      <c r="A23" s="312"/>
      <c r="B23" s="357"/>
      <c r="C23" s="358"/>
      <c r="D23" s="358"/>
      <c r="E23" s="358"/>
      <c r="F23" s="157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334"/>
      <c r="T23" s="156" t="str">
        <f ca="1">IF(伤害占比和收益!I8&gt;0,伤害占比和收益!H8,"")</f>
        <v>段氏阵</v>
      </c>
      <c r="U23" s="320"/>
      <c r="V23" s="342">
        <f ca="1">IF(伤害占比和收益!I8&gt;0,伤害占比和收益!I8,"")</f>
        <v>0.110425279632527</v>
      </c>
      <c r="W23" s="337"/>
      <c r="X23" s="130" t="str">
        <f ca="1">IF(伤害占比和收益!E16&lt;&gt;0,伤害占比和收益!E16,"")</f>
        <v>巽</v>
      </c>
      <c r="Y23" s="84"/>
      <c r="Z23" s="338">
        <f ca="1">IF(伤害占比和收益!F16&lt;&gt;0,伤害占比和收益!F16,"")</f>
        <v>0.00773429856702586</v>
      </c>
      <c r="AA23" s="353"/>
    </row>
    <row r="24" ht="21" customHeight="1" spans="1:27">
      <c r="A24" s="312"/>
      <c r="B24" s="359"/>
      <c r="C24" s="360"/>
      <c r="D24" s="360"/>
      <c r="E24" s="360"/>
      <c r="F24" s="361"/>
      <c r="G24" s="157"/>
      <c r="H24" s="84"/>
      <c r="I24" s="255"/>
      <c r="J24" s="84"/>
      <c r="K24" s="84"/>
      <c r="L24" s="84"/>
      <c r="M24" s="84"/>
      <c r="N24" s="84"/>
      <c r="O24" s="84"/>
      <c r="P24" s="84"/>
      <c r="Q24" s="84"/>
      <c r="R24" s="84"/>
      <c r="S24" s="334"/>
      <c r="T24" s="156" t="str">
        <f ca="1">IF(伤害占比和收益!I9&gt;0,伤害占比和收益!H9,"")</f>
        <v>花间阵</v>
      </c>
      <c r="U24" s="320"/>
      <c r="V24" s="342">
        <f ca="1">IF(伤害占比和收益!I9&gt;0,伤害占比和收益!I9,"")</f>
        <v>0.109376414992736</v>
      </c>
      <c r="W24" s="337"/>
      <c r="X24" s="130" t="str">
        <f ca="1">IF(伤害占比和收益!E17&lt;&gt;0,伤害占比和收益!E17,"")</f>
        <v>逐云寒蕊</v>
      </c>
      <c r="Y24" s="84"/>
      <c r="Z24" s="338">
        <f ca="1">IF(伤害占比和收益!F17&lt;&gt;0,伤害占比和收益!F17,"")</f>
        <v>0.00582575547944806</v>
      </c>
      <c r="AA24" s="353"/>
    </row>
    <row r="25" ht="21" customHeight="1" spans="1:27">
      <c r="A25" s="312"/>
      <c r="B25" s="362"/>
      <c r="C25" s="363"/>
      <c r="D25" s="363"/>
      <c r="E25" s="363"/>
      <c r="F25" s="364"/>
      <c r="G25" s="157"/>
      <c r="H25" s="84"/>
      <c r="I25" s="255"/>
      <c r="J25" s="84"/>
      <c r="K25" s="84"/>
      <c r="L25" s="84"/>
      <c r="M25" s="84"/>
      <c r="N25" s="84"/>
      <c r="O25" s="84"/>
      <c r="P25" s="84"/>
      <c r="Q25" s="84"/>
      <c r="R25" s="84"/>
      <c r="S25" s="334"/>
      <c r="T25" s="156" t="str">
        <f ca="1">IF(伤害占比和收益!I10&gt;0,伤害占比和收益!H10,"")</f>
        <v>自己阵</v>
      </c>
      <c r="U25" s="320"/>
      <c r="V25" s="342">
        <f ca="1">IF(伤害占比和收益!I10&gt;0,伤害占比和收益!I10,"")</f>
        <v>0.106866326710263</v>
      </c>
      <c r="W25" s="337"/>
      <c r="X25" s="130" t="str">
        <f ca="1">IF(伤害占比和收益!E18&lt;&gt;0,伤害占比和收益!E18,"")</f>
        <v>破</v>
      </c>
      <c r="Y25" s="84"/>
      <c r="Z25" s="338">
        <f ca="1">IF(伤害占比和收益!F18&lt;&gt;0,伤害占比和收益!F18,"")</f>
        <v>0.00535611134550201</v>
      </c>
      <c r="AA25" s="353"/>
    </row>
    <row r="26" ht="21" customHeight="1" spans="1:27">
      <c r="A26" s="312"/>
      <c r="B26" s="357"/>
      <c r="C26" s="358"/>
      <c r="D26" s="358"/>
      <c r="E26" s="358"/>
      <c r="F26" s="157"/>
      <c r="G26" s="157"/>
      <c r="H26" s="84"/>
      <c r="I26" s="255"/>
      <c r="J26" s="84"/>
      <c r="K26" s="84"/>
      <c r="L26" s="84"/>
      <c r="M26" s="84"/>
      <c r="N26" s="84"/>
      <c r="O26" s="84"/>
      <c r="P26" s="84"/>
      <c r="Q26" s="84"/>
      <c r="R26" s="84"/>
      <c r="S26" s="334"/>
      <c r="T26" s="156" t="str">
        <f ca="1">IF(伤害占比和收益!I11&gt;0,伤害占比和收益!H11,"")</f>
        <v>毒经阵</v>
      </c>
      <c r="U26" s="320"/>
      <c r="V26" s="342">
        <f ca="1">IF(伤害占比和收益!I11&gt;0,伤害占比和收益!I11,"")</f>
        <v>0.0996546299806678</v>
      </c>
      <c r="W26" s="337"/>
      <c r="X26" s="130" t="str">
        <f>IF(伤害占比和收益!E19&lt;&gt;0,伤害占比和收益!E19,"")</f>
        <v/>
      </c>
      <c r="Y26" s="84"/>
      <c r="Z26" s="338" t="str">
        <f>IF(伤害占比和收益!F19&lt;&gt;0,伤害占比和收益!F19,"")</f>
        <v/>
      </c>
      <c r="AA26" s="353"/>
    </row>
    <row r="27" ht="21" customHeight="1" spans="1:27">
      <c r="A27" s="312"/>
      <c r="B27" s="357"/>
      <c r="C27" s="358"/>
      <c r="D27" s="358"/>
      <c r="E27" s="358"/>
      <c r="F27" s="157"/>
      <c r="G27" s="365" t="s">
        <v>66</v>
      </c>
      <c r="H27" s="361"/>
      <c r="I27" s="365"/>
      <c r="J27" s="365" t="s">
        <v>67</v>
      </c>
      <c r="K27" s="365" t="s">
        <v>68</v>
      </c>
      <c r="L27" s="365" t="s">
        <v>69</v>
      </c>
      <c r="M27" s="365" t="s">
        <v>70</v>
      </c>
      <c r="N27" s="365" t="s">
        <v>71</v>
      </c>
      <c r="O27" s="361"/>
      <c r="P27" s="365" t="s">
        <v>72</v>
      </c>
      <c r="Q27" s="365" t="s">
        <v>73</v>
      </c>
      <c r="R27" s="365" t="s">
        <v>74</v>
      </c>
      <c r="S27" s="334"/>
      <c r="T27" s="156" t="str">
        <f ca="1">IF(伤害占比和收益!I12&gt;0,伤害占比和收益!H12,"")</f>
        <v>无相阵</v>
      </c>
      <c r="U27" s="320"/>
      <c r="V27" s="342">
        <f ca="1">IF(伤害占比和收益!I12&gt;0,伤害占比和收益!I12,"")</f>
        <v>0.0937944677658116</v>
      </c>
      <c r="W27" s="337"/>
      <c r="X27" s="130" t="str">
        <f>IF(伤害占比和收益!E20&lt;&gt;0,伤害占比和收益!E20,"")</f>
        <v/>
      </c>
      <c r="Y27" s="84"/>
      <c r="Z27" s="338" t="str">
        <f>IF(伤害占比和收益!F20&lt;&gt;0,伤害占比和收益!F20,"")</f>
        <v/>
      </c>
      <c r="AA27" s="353"/>
    </row>
    <row r="28" ht="21" customHeight="1" spans="1:27">
      <c r="A28" s="312"/>
      <c r="B28" s="357"/>
      <c r="C28" s="358"/>
      <c r="D28" s="358"/>
      <c r="E28" s="358"/>
      <c r="F28" s="157"/>
      <c r="G28" s="346" t="s">
        <v>75</v>
      </c>
      <c r="H28" s="346"/>
      <c r="I28" s="346"/>
      <c r="J28" s="346" t="s">
        <v>76</v>
      </c>
      <c r="K28" s="346" t="s">
        <v>77</v>
      </c>
      <c r="L28" s="346" t="s">
        <v>78</v>
      </c>
      <c r="M28" s="346" t="s">
        <v>79</v>
      </c>
      <c r="N28" s="346" t="s">
        <v>80</v>
      </c>
      <c r="O28" s="84"/>
      <c r="P28" s="346" t="s">
        <v>81</v>
      </c>
      <c r="Q28" s="346" t="s">
        <v>82</v>
      </c>
      <c r="R28" s="346" t="s">
        <v>83</v>
      </c>
      <c r="S28" s="334"/>
      <c r="T28" s="156" t="str">
        <f ca="1">IF(伤害占比和收益!I13&gt;0,伤害占比和收益!H13,"")</f>
        <v>无界阵</v>
      </c>
      <c r="U28" s="320"/>
      <c r="V28" s="342">
        <f ca="1">IF(伤害占比和收益!I13&gt;0,伤害占比和收益!I13,"")</f>
        <v>0.073787067087296</v>
      </c>
      <c r="W28" s="337"/>
      <c r="X28" s="130" t="str">
        <f>IF(伤害占比和收益!E21&lt;&gt;0,伤害占比和收益!E21,"")</f>
        <v/>
      </c>
      <c r="Y28" s="84"/>
      <c r="Z28" s="338" t="str">
        <f>IF(伤害占比和收益!F21&lt;&gt;0,伤害占比和收益!F21,"")</f>
        <v/>
      </c>
      <c r="AA28" s="353"/>
    </row>
    <row r="29" ht="21" customHeight="1" spans="1:27">
      <c r="A29" s="312"/>
      <c r="B29" s="357"/>
      <c r="C29" s="358"/>
      <c r="D29" s="358"/>
      <c r="E29" s="358"/>
      <c r="F29" s="157"/>
      <c r="G29" s="157"/>
      <c r="H29" s="84"/>
      <c r="I29" s="228"/>
      <c r="J29" s="84"/>
      <c r="K29" s="84"/>
      <c r="L29" s="84"/>
      <c r="M29" s="84"/>
      <c r="N29" s="84"/>
      <c r="O29" s="84"/>
      <c r="P29" s="84"/>
      <c r="Q29" s="84"/>
      <c r="R29" s="84"/>
      <c r="S29" s="334"/>
      <c r="T29" s="156" t="str">
        <f ca="1">IF(伤害占比和收益!I14&gt;0,伤害占比和收益!H14,"")</f>
        <v>冰心阵</v>
      </c>
      <c r="U29" s="320"/>
      <c r="V29" s="342">
        <f ca="1">IF(伤害占比和收益!I14&gt;0,伤害占比和收益!I14,"")</f>
        <v>0.0649468078950262</v>
      </c>
      <c r="W29" s="337"/>
      <c r="X29" s="130" t="str">
        <f>IF(伤害占比和收益!E22&lt;&gt;0,伤害占比和收益!E22,"")</f>
        <v/>
      </c>
      <c r="Y29" s="84"/>
      <c r="Z29" s="338" t="str">
        <f>IF(伤害占比和收益!F22&lt;&gt;0,伤害占比和收益!F22,"")</f>
        <v/>
      </c>
      <c r="AA29" s="353"/>
    </row>
    <row r="30" s="312" customFormat="1" customHeight="1" spans="1:27">
      <c r="B30" s="366"/>
      <c r="C30" s="367"/>
      <c r="D30" s="367"/>
      <c r="E30" s="367"/>
      <c r="F30" s="367"/>
      <c r="G30" s="367"/>
      <c r="H30" s="367"/>
      <c r="I30" s="367"/>
      <c r="J30" s="367"/>
      <c r="K30" s="367"/>
      <c r="L30" s="367"/>
      <c r="M30" s="367"/>
      <c r="N30" s="367"/>
      <c r="O30" s="367"/>
      <c r="P30" s="367"/>
      <c r="Q30" s="367"/>
      <c r="R30" s="367"/>
      <c r="S30" s="367"/>
      <c r="T30" s="368"/>
      <c r="U30" s="368"/>
      <c r="V30" s="368"/>
      <c r="W30" s="368"/>
      <c r="X30" s="369"/>
      <c r="Y30" s="368"/>
      <c r="Z30" s="368"/>
      <c r="AA30" s="370"/>
    </row>
    <row r="31" s="312" customFormat="1" customHeight="1" spans="1:27">
      <c r="B31" s="358"/>
      <c r="C31" s="358"/>
      <c r="D31" s="358"/>
      <c r="E31" s="358"/>
      <c r="F31" s="358"/>
      <c r="G31" s="358"/>
      <c r="H31" s="358"/>
      <c r="I31" s="358"/>
      <c r="J31" s="358"/>
      <c r="K31" s="358"/>
      <c r="L31" s="358"/>
      <c r="M31" s="358"/>
      <c r="N31" s="358"/>
      <c r="O31" s="358"/>
      <c r="P31" s="358"/>
      <c r="Q31" s="358"/>
      <c r="R31" s="358"/>
      <c r="S31" s="358"/>
    </row>
    <row r="32" s="312" customFormat="1" customHeight="1" spans="1:27">
      <c r="B32" s="358"/>
      <c r="C32" s="371" t="s">
        <v>84</v>
      </c>
      <c r="D32" s="372"/>
      <c r="E32" s="358"/>
      <c r="F32" s="373" t="s">
        <v>85</v>
      </c>
      <c r="G32" s="358"/>
      <c r="H32" s="358"/>
      <c r="I32" s="358"/>
      <c r="J32" s="358"/>
      <c r="K32" s="358"/>
      <c r="L32" s="358"/>
      <c r="M32" s="358"/>
      <c r="N32" s="358"/>
      <c r="O32" s="358"/>
      <c r="P32" s="358"/>
      <c r="Q32" s="358"/>
      <c r="R32" s="358"/>
      <c r="S32" s="358"/>
    </row>
    <row r="33" s="312" customFormat="1" customHeight="1" spans="2:19">
      <c r="B33" s="358"/>
      <c r="C33" s="374" t="s">
        <v>86</v>
      </c>
      <c r="D33" s="372"/>
      <c r="E33" s="358"/>
      <c r="F33" s="373"/>
      <c r="G33" s="358"/>
      <c r="H33" s="358"/>
      <c r="I33" s="358"/>
      <c r="J33" s="358"/>
      <c r="K33" s="358"/>
      <c r="L33" s="358"/>
      <c r="M33" s="358"/>
      <c r="N33" s="358"/>
      <c r="O33" s="358"/>
      <c r="P33" s="358"/>
      <c r="Q33" s="358"/>
      <c r="R33" s="358"/>
      <c r="S33" s="358"/>
    </row>
    <row r="34" s="312" customFormat="1" customHeight="1" spans="2:19">
      <c r="B34" s="358"/>
      <c r="C34" s="358"/>
      <c r="D34" s="358"/>
      <c r="E34" s="358"/>
      <c r="F34" s="375" t="s">
        <v>87</v>
      </c>
      <c r="G34" s="375"/>
      <c r="H34" s="375" t="s">
        <v>88</v>
      </c>
      <c r="I34" s="375"/>
      <c r="J34" s="358"/>
      <c r="K34" s="358"/>
      <c r="L34" s="376" t="s">
        <v>89</v>
      </c>
      <c r="M34" s="376"/>
      <c r="N34" s="376"/>
      <c r="O34" s="376"/>
      <c r="P34" s="376"/>
      <c r="Q34" s="376"/>
      <c r="R34" s="376"/>
      <c r="S34" s="376"/>
    </row>
    <row r="35" s="312" customFormat="1" customHeight="1" spans="2:19">
      <c r="B35" s="358"/>
      <c r="C35" s="371" t="s">
        <v>90</v>
      </c>
      <c r="D35" s="358" t="s">
        <v>91</v>
      </c>
      <c r="E35" s="358"/>
      <c r="F35" s="377">
        <v>11152</v>
      </c>
      <c r="G35" s="377"/>
      <c r="H35" s="378" t="str">
        <f>角色属性!Y18</f>
        <v>7872</v>
      </c>
      <c r="I35" s="378"/>
      <c r="J35" s="376" t="s">
        <v>92</v>
      </c>
      <c r="K35" s="376"/>
      <c r="L35" s="379" t="s">
        <v>93</v>
      </c>
      <c r="M35" s="379"/>
      <c r="N35" s="379"/>
      <c r="O35" s="379"/>
      <c r="P35" s="379"/>
      <c r="Q35" s="379"/>
      <c r="R35" s="380"/>
      <c r="S35" s="380"/>
    </row>
    <row r="36" s="312" customFormat="1" customHeight="1" spans="2:19">
      <c r="B36" s="358"/>
      <c r="C36" s="374" t="s">
        <v>94</v>
      </c>
      <c r="D36" s="358" t="s">
        <v>95</v>
      </c>
      <c r="E36" s="358"/>
      <c r="F36" s="377">
        <v>72063</v>
      </c>
      <c r="G36" s="377"/>
      <c r="H36" s="378" t="str">
        <f>角色属性!Y19</f>
        <v>45976</v>
      </c>
      <c r="I36" s="378"/>
      <c r="J36" s="376" t="s">
        <v>96</v>
      </c>
      <c r="K36" s="376"/>
      <c r="L36" s="379" t="s">
        <v>93</v>
      </c>
      <c r="M36" s="379"/>
      <c r="N36" s="379" t="s">
        <v>97</v>
      </c>
      <c r="O36" s="379"/>
      <c r="P36" s="379" t="s">
        <v>35</v>
      </c>
      <c r="Q36" s="379"/>
      <c r="R36" s="380"/>
      <c r="S36" s="380"/>
    </row>
    <row r="37" s="312" customFormat="1" customHeight="1" spans="2:19">
      <c r="B37" s="358"/>
      <c r="C37" s="381"/>
      <c r="D37" s="358" t="s">
        <v>98</v>
      </c>
      <c r="E37" s="358"/>
      <c r="F37" s="382">
        <v>0.476</v>
      </c>
      <c r="G37" s="382"/>
      <c r="H37" s="378" t="str">
        <f>角色属性!Y20</f>
        <v>14.09%</v>
      </c>
      <c r="I37" s="378"/>
      <c r="J37" s="376" t="s">
        <v>99</v>
      </c>
      <c r="K37" s="376"/>
      <c r="L37" s="379" t="s">
        <v>100</v>
      </c>
      <c r="M37" s="379"/>
      <c r="N37" s="380"/>
      <c r="O37" s="380"/>
      <c r="P37" s="380"/>
      <c r="Q37" s="380"/>
      <c r="R37" s="380"/>
      <c r="S37" s="380"/>
    </row>
    <row r="38" s="312" customFormat="1" customHeight="1" spans="2:19">
      <c r="B38" s="358"/>
      <c r="C38" s="371" t="s">
        <v>101</v>
      </c>
      <c r="D38" s="358" t="s">
        <v>102</v>
      </c>
      <c r="E38" s="358"/>
      <c r="F38" s="382">
        <v>2.0333</v>
      </c>
      <c r="G38" s="382"/>
      <c r="H38" s="383" t="str">
        <f>角色属性!Y21</f>
        <v>175%</v>
      </c>
      <c r="I38" s="383"/>
      <c r="J38" s="376" t="s">
        <v>103</v>
      </c>
      <c r="K38" s="376"/>
      <c r="L38" s="379" t="s">
        <v>93</v>
      </c>
      <c r="M38" s="379"/>
      <c r="N38" s="379" t="s">
        <v>93</v>
      </c>
      <c r="O38" s="379"/>
      <c r="P38" s="379" t="s">
        <v>93</v>
      </c>
      <c r="Q38" s="379"/>
      <c r="R38" s="380"/>
      <c r="S38" s="380"/>
    </row>
    <row r="39" s="312" customFormat="1" customHeight="1" spans="2:19">
      <c r="B39" s="358"/>
      <c r="C39" s="374" t="s">
        <v>104</v>
      </c>
      <c r="D39" s="358" t="s">
        <v>24</v>
      </c>
      <c r="E39" s="358"/>
      <c r="F39" s="377">
        <v>37029</v>
      </c>
      <c r="G39" s="377"/>
      <c r="H39" s="378">
        <f>角色属性!Y22</f>
        <v>10422</v>
      </c>
      <c r="I39" s="378"/>
      <c r="J39" s="376" t="s">
        <v>105</v>
      </c>
      <c r="K39" s="376"/>
      <c r="L39" s="379" t="s">
        <v>93</v>
      </c>
      <c r="M39" s="379"/>
      <c r="N39" s="379" t="s">
        <v>106</v>
      </c>
      <c r="O39" s="379"/>
      <c r="P39" s="379" t="s">
        <v>107</v>
      </c>
      <c r="Q39" s="379"/>
      <c r="R39" s="380"/>
      <c r="S39" s="380"/>
    </row>
    <row r="40" s="312" customFormat="1" customHeight="1" spans="2:19">
      <c r="B40" s="358"/>
      <c r="C40" s="381"/>
      <c r="D40" s="358" t="s">
        <v>32</v>
      </c>
      <c r="E40" s="358"/>
      <c r="F40" s="382">
        <v>0.1282</v>
      </c>
      <c r="G40" s="382"/>
      <c r="H40" s="383">
        <f>角色属性!Y23</f>
        <v>0.204463138217081</v>
      </c>
      <c r="I40" s="383"/>
      <c r="J40" s="376" t="s">
        <v>108</v>
      </c>
      <c r="K40" s="376"/>
      <c r="L40" s="379" t="s">
        <v>93</v>
      </c>
      <c r="M40" s="379"/>
      <c r="N40" s="379" t="s">
        <v>93</v>
      </c>
      <c r="O40" s="379"/>
      <c r="P40" s="379" t="s">
        <v>93</v>
      </c>
      <c r="Q40" s="379"/>
      <c r="R40" s="379" t="s">
        <v>93</v>
      </c>
      <c r="S40" s="379"/>
    </row>
    <row r="41" s="312" customFormat="1" customHeight="1" spans="2:19">
      <c r="B41" s="358"/>
      <c r="C41" s="381"/>
      <c r="D41" s="358" t="s">
        <v>37</v>
      </c>
      <c r="E41" s="358"/>
      <c r="F41" s="382">
        <v>0.749</v>
      </c>
      <c r="G41" s="382"/>
      <c r="H41" s="383">
        <f>角色属性!Y24</f>
        <v>0.696308196308196</v>
      </c>
      <c r="I41" s="383"/>
      <c r="J41" s="376" t="s">
        <v>109</v>
      </c>
      <c r="K41" s="376"/>
      <c r="L41" s="379">
        <v>800000</v>
      </c>
      <c r="M41" s="379"/>
      <c r="N41" s="380"/>
      <c r="O41" s="380"/>
      <c r="P41" s="380"/>
      <c r="Q41" s="380"/>
      <c r="R41" s="380"/>
      <c r="S41" s="380"/>
    </row>
    <row r="42" s="312" customFormat="1" customHeight="1" spans="2:19">
      <c r="B42" s="358"/>
      <c r="C42" s="381"/>
      <c r="D42" s="358" t="s">
        <v>110</v>
      </c>
      <c r="E42" s="358"/>
      <c r="F42" s="377">
        <v>25061</v>
      </c>
      <c r="G42" s="377"/>
      <c r="H42" s="378" t="str">
        <f>角色属性!Y25</f>
        <v>56029</v>
      </c>
      <c r="I42" s="378"/>
      <c r="J42" s="376"/>
      <c r="K42" s="376"/>
      <c r="L42" s="384"/>
      <c r="M42" s="384"/>
      <c r="N42" s="384"/>
      <c r="O42" s="384"/>
      <c r="P42" s="384"/>
      <c r="Q42" s="384"/>
      <c r="R42" s="384"/>
      <c r="S42" s="384"/>
    </row>
    <row r="43" s="312" customFormat="1" customHeight="1" spans="2:19">
      <c r="B43" s="358"/>
      <c r="C43" s="381"/>
      <c r="D43" s="358"/>
      <c r="E43" s="358"/>
      <c r="F43" s="385" t="s">
        <v>111</v>
      </c>
      <c r="G43" s="386"/>
      <c r="H43" s="387" t="s">
        <v>112</v>
      </c>
      <c r="I43" s="388"/>
      <c r="J43" s="376"/>
      <c r="K43" s="376"/>
      <c r="L43" s="389" t="s">
        <v>113</v>
      </c>
      <c r="M43" s="389"/>
      <c r="N43" s="389"/>
      <c r="O43" s="389"/>
      <c r="P43" s="389"/>
      <c r="Q43" s="389"/>
      <c r="R43" s="389"/>
      <c r="S43" s="390"/>
    </row>
    <row r="44" s="312" customFormat="1" customHeight="1" spans="2:19">
      <c r="B44" s="358"/>
      <c r="C44" s="381"/>
      <c r="D44" s="358"/>
      <c r="E44" s="358"/>
      <c r="F44" s="391"/>
      <c r="G44" s="392"/>
      <c r="H44" s="393"/>
      <c r="I44" s="394"/>
      <c r="J44" s="376"/>
      <c r="K44" s="376"/>
      <c r="L44" s="395"/>
      <c r="M44" s="395"/>
      <c r="N44" s="395"/>
      <c r="O44" s="395"/>
      <c r="P44" s="395"/>
      <c r="Q44" s="395"/>
      <c r="R44" s="395"/>
      <c r="S44" s="396"/>
    </row>
    <row r="45" s="312" customFormat="1" customHeight="1"/>
    <row r="46" s="312" customFormat="1" customHeight="1"/>
    <row r="47" s="312" customFormat="1" customHeight="1"/>
    <row r="48" s="312" customFormat="1" customHeight="1"/>
    <row r="49" s="312" customFormat="1" customHeight="1"/>
    <row r="50" s="312" customFormat="1" customHeight="1"/>
    <row r="51" s="312" customFormat="1" customHeight="1"/>
    <row r="52" s="312" customFormat="1" customHeight="1"/>
    <row r="53" s="312" customFormat="1" customHeight="1"/>
    <row r="54" s="312" customFormat="1" customHeight="1"/>
    <row r="55" s="312" customFormat="1" customHeight="1"/>
    <row r="80" customHeight="1" spans="3:4">
      <c r="C80" s="9" t="s">
        <v>114</v>
      </c>
      <c r="D80" s="397" t="s">
        <v>115</v>
      </c>
    </row>
    <row r="81" customHeight="1" spans="3:4">
      <c r="C81" s="9" t="s">
        <v>116</v>
      </c>
      <c r="D81" s="397" t="s">
        <v>115</v>
      </c>
    </row>
    <row r="82" customHeight="1" spans="3:4">
      <c r="C82" s="9" t="s">
        <v>117</v>
      </c>
      <c r="D82" s="398" t="s">
        <v>115</v>
      </c>
    </row>
    <row r="83" customHeight="1" spans="3:4">
      <c r="C83" s="9" t="s">
        <v>118</v>
      </c>
      <c r="D83" s="399" t="s">
        <v>115</v>
      </c>
    </row>
    <row r="84" customHeight="1" spans="3:4">
      <c r="C84" s="9" t="s">
        <v>119</v>
      </c>
      <c r="D84" s="400" t="s">
        <v>115</v>
      </c>
    </row>
    <row r="85" customHeight="1" spans="3:4">
      <c r="C85" s="9" t="s">
        <v>120</v>
      </c>
      <c r="D85" s="398" t="s">
        <v>121</v>
      </c>
    </row>
    <row r="86" customHeight="1" spans="3:4">
      <c r="D86" s="400" t="s">
        <v>122</v>
      </c>
    </row>
  </sheetData>
  <sheetProtection algorithmName="SHA-512" hashValue="LZ8Ji6S5kWxofIaUvN+oD8+lYDWpaJ9+qyId6pH6k0wDaKCXvuwp8dsxL1uRS5rRP8XExfQzU9JvdYE3HY09tw==" saltValue="dp63TVGgDxHPA7wcA3XDSQ==" spinCount="100000" sheet="1" formatCells="0" objects="1"/>
  <mergeCells count="73">
    <mergeCell ref="M3:N3"/>
    <mergeCell ref="P3:Q3"/>
    <mergeCell ref="Y3:Z3"/>
    <mergeCell ref="Y4:Z4"/>
    <mergeCell ref="C10:D10"/>
    <mergeCell ref="H10:L10"/>
    <mergeCell ref="Q10:R10"/>
    <mergeCell ref="H11:L11"/>
    <mergeCell ref="H12:L12"/>
    <mergeCell ref="H13:L13"/>
    <mergeCell ref="H14:L14"/>
    <mergeCell ref="H15:L15"/>
    <mergeCell ref="Q15:R15"/>
    <mergeCell ref="H16:L16"/>
    <mergeCell ref="H17:L17"/>
    <mergeCell ref="H18:L18"/>
    <mergeCell ref="Q18:R18"/>
    <mergeCell ref="H19:L19"/>
    <mergeCell ref="H20:L20"/>
    <mergeCell ref="H21:L21"/>
    <mergeCell ref="F34:G34"/>
    <mergeCell ref="H34:I34"/>
    <mergeCell ref="L34:S34"/>
    <mergeCell ref="F35:G35"/>
    <mergeCell ref="H35:I35"/>
    <mergeCell ref="J35:K35"/>
    <mergeCell ref="L35:M35"/>
    <mergeCell ref="N35:O35"/>
    <mergeCell ref="P35:Q35"/>
    <mergeCell ref="F36:G36"/>
    <mergeCell ref="H36:I36"/>
    <mergeCell ref="J36:K36"/>
    <mergeCell ref="L36:M36"/>
    <mergeCell ref="N36:O36"/>
    <mergeCell ref="P36:Q36"/>
    <mergeCell ref="F37:G37"/>
    <mergeCell ref="H37:I37"/>
    <mergeCell ref="J37:K37"/>
    <mergeCell ref="L37:M37"/>
    <mergeCell ref="F38:G38"/>
    <mergeCell ref="H38:I38"/>
    <mergeCell ref="J38:K38"/>
    <mergeCell ref="L38:M38"/>
    <mergeCell ref="N38:O38"/>
    <mergeCell ref="P38:Q38"/>
    <mergeCell ref="F39:G39"/>
    <mergeCell ref="H39:I39"/>
    <mergeCell ref="J39:K39"/>
    <mergeCell ref="L39:M39"/>
    <mergeCell ref="N39:O39"/>
    <mergeCell ref="P39:Q39"/>
    <mergeCell ref="F40:G40"/>
    <mergeCell ref="H40:I40"/>
    <mergeCell ref="J40:K40"/>
    <mergeCell ref="L40:M40"/>
    <mergeCell ref="N40:O40"/>
    <mergeCell ref="P40:Q40"/>
    <mergeCell ref="R40:S40"/>
    <mergeCell ref="F41:G41"/>
    <mergeCell ref="H41:I41"/>
    <mergeCell ref="J41:K41"/>
    <mergeCell ref="L41:M41"/>
    <mergeCell ref="F42:G42"/>
    <mergeCell ref="H42:I42"/>
    <mergeCell ref="J42:K42"/>
    <mergeCell ref="J43:K43"/>
    <mergeCell ref="J44:K44"/>
    <mergeCell ref="C11:C12"/>
    <mergeCell ref="D11:D12"/>
    <mergeCell ref="G3:I5"/>
    <mergeCell ref="L43:S44"/>
    <mergeCell ref="F43:G44"/>
    <mergeCell ref="H43:I44"/>
  </mergeCells>
  <conditionalFormatting sqref="K6">
    <cfRule type="cellIs" dxfId="0" priority="5" operator="notEqual">
      <formula>"配装数据"</formula>
    </cfRule>
  </conditionalFormatting>
  <conditionalFormatting sqref="S6:T6">
    <cfRule type="cellIs" dxfId="1" priority="2" operator="equal">
      <formula>"蓝加速"</formula>
    </cfRule>
    <cfRule type="cellIs" dxfId="1" priority="3" operator="equal">
      <formula>"紫加速"</formula>
    </cfRule>
  </conditionalFormatting>
  <conditionalFormatting sqref="V6">
    <cfRule type="cellIs" dxfId="2" priority="1" operator="equal">
      <formula>"加速酒"</formula>
    </cfRule>
  </conditionalFormatting>
  <conditionalFormatting sqref="V10:V16">
    <cfRule type="dataBar" priority="52">
      <dataBar>
        <cfvo type="min"/>
        <cfvo type="max"/>
        <color rgb="FFFFEFF6"/>
      </dataBar>
      <extLst>
        <ext xmlns:x14="http://schemas.microsoft.com/office/spreadsheetml/2009/9/main" uri="{B025F937-C7B1-47D3-B67F-A62EFF666E3E}">
          <x14:id>{42395993-21ec-487c-8d6a-f76085d130f7}</x14:id>
        </ext>
      </extLst>
    </cfRule>
  </conditionalFormatting>
  <conditionalFormatting sqref="V18:V30">
    <cfRule type="dataBar" priority="42">
      <dataBar>
        <cfvo type="min"/>
        <cfvo type="max"/>
        <color rgb="FFFFEFF6"/>
      </dataBar>
      <extLst>
        <ext xmlns:x14="http://schemas.microsoft.com/office/spreadsheetml/2009/9/main" uri="{B025F937-C7B1-47D3-B67F-A62EFF666E3E}">
          <x14:id>{9bcabc8e-f791-4519-9961-4f9dc591c5af}</x14:id>
        </ext>
      </extLst>
    </cfRule>
    <cfRule type="dataBar" priority="43">
      <dataBar>
        <cfvo type="min"/>
        <cfvo type="max"/>
        <color rgb="FFFFEFF6"/>
      </dataBar>
      <extLst>
        <ext xmlns:x14="http://schemas.microsoft.com/office/spreadsheetml/2009/9/main" uri="{B025F937-C7B1-47D3-B67F-A62EFF666E3E}">
          <x14:id>{affbf83a-ef8e-498e-b952-9acb401ebbb1}</x14:id>
        </ext>
      </extLst>
    </cfRule>
    <cfRule type="dataBar" priority="44">
      <dataBar>
        <cfvo type="min"/>
        <cfvo type="max"/>
        <color rgb="FFFFEFF6"/>
      </dataBar>
      <extLst>
        <ext xmlns:x14="http://schemas.microsoft.com/office/spreadsheetml/2009/9/main" uri="{B025F937-C7B1-47D3-B67F-A62EFF666E3E}">
          <x14:id>{92e8d747-1ccc-4e95-945c-ae52c06dd722}</x14:id>
        </ext>
      </extLst>
    </cfRule>
  </conditionalFormatting>
  <conditionalFormatting sqref="F2:AA2 F3:G3 J3:AA4 F4:F5 J5:O5 F6:O6">
    <cfRule type="expression" dxfId="3" priority="38">
      <formula>$C$36="深灰"</formula>
    </cfRule>
    <cfRule type="expression" dxfId="4" priority="39">
      <formula>$C$36="浅粉"</formula>
    </cfRule>
    <cfRule type="expression" dxfId="5" priority="40">
      <formula>$C$36="潜灰"</formula>
    </cfRule>
    <cfRule type="expression" dxfId="6" priority="41">
      <formula>$C$36="白色"</formula>
    </cfRule>
  </conditionalFormatting>
  <conditionalFormatting sqref="K5:W6">
    <cfRule type="expression" dxfId="7" priority="4">
      <formula>伤害计算!$C$1=FALSE()</formula>
    </cfRule>
  </conditionalFormatting>
  <conditionalFormatting sqref="P5:AA6">
    <cfRule type="expression" dxfId="3" priority="22">
      <formula>$C$36="深灰"</formula>
    </cfRule>
    <cfRule type="expression" dxfId="4" priority="23">
      <formula>$C$36="浅粉"</formula>
    </cfRule>
    <cfRule type="expression" dxfId="5" priority="24">
      <formula>$C$36="潜灰"</formula>
    </cfRule>
    <cfRule type="expression" dxfId="6" priority="25">
      <formula>$C$36="白色"</formula>
    </cfRule>
  </conditionalFormatting>
  <conditionalFormatting sqref="F7:AA30">
    <cfRule type="expression" dxfId="3" priority="6">
      <formula>$C$36="深灰"</formula>
    </cfRule>
    <cfRule type="expression" dxfId="4" priority="7">
      <formula>$C$36="浅粉"</formula>
    </cfRule>
    <cfRule type="expression" dxfId="5" priority="8">
      <formula>$C$36="潜灰"</formula>
    </cfRule>
    <cfRule type="expression" dxfId="6" priority="9">
      <formula>$C$36="白色"</formula>
    </cfRule>
  </conditionalFormatting>
  <dataValidations count="88">
    <dataValidation type="list" allowBlank="1" showInputMessage="1" showErrorMessage="1" sqref="K3">
      <formula1>IF(全局设置!$H$2,全局设置!$J$2:$J$5,全局设置!$K$2:$K$3)</formula1>
    </dataValidation>
    <dataValidation type="list" allowBlank="1" showInputMessage="1" showErrorMessage="1" sqref="M3">
      <formula1>加速计算!$A$11:$A$14</formula1>
    </dataValidation>
    <dataValidation allowBlank="1" showInputMessage="1" showErrorMessage="1" sqref="N3 H6 H28:I28 I10:I21 Y2:AA8"/>
    <dataValidation type="list" allowBlank="1" showInputMessage="1" showErrorMessage="1" sqref="K5">
      <formula1>伤害占比和收益!$H$2:$H$14</formula1>
    </dataValidation>
    <dataValidation type="list" allowBlank="1" showInputMessage="1" showErrorMessage="1" sqref="N5">
      <formula1>"4T全,无喵T,无苍T,无策T,无圣僧,无T"</formula1>
    </dataValidation>
    <dataValidation type="list" allowBlank="1" showInputMessage="1" showErrorMessage="1" sqref="P5">
      <formula1>"无菜盘,蒸鱼菜盘"</formula1>
    </dataValidation>
    <dataValidation type="list" allowBlank="1" showInputMessage="1" showErrorMessage="1" sqref="Q5">
      <formula1>"无同泽,同泽宴"</formula1>
    </dataValidation>
    <dataValidation type="list" allowBlank="1" showInputMessage="1" showErrorMessage="1" sqref="S5:T5">
      <formula1>"不吃,紫根骨,蓝根骨"</formula1>
    </dataValidation>
    <dataValidation type="list" allowBlank="1" showInputMessage="1" showErrorMessage="1" sqref="V5">
      <formula1>"无磨石,紫磨石,蓝磨石"</formula1>
    </dataValidation>
    <dataValidation type="list" allowBlank="1" showInputMessage="1" showErrorMessage="1" sqref="W5">
      <formula1>"无香膏,会心香膏,破防香膏"</formula1>
    </dataValidation>
    <dataValidation type="list" allowBlank="1" showInputMessage="1" showErrorMessage="1" sqref="G6">
      <formula1>全局设置!$G$2:$G$3</formula1>
    </dataValidation>
    <dataValidation type="list" allowBlank="1" showInputMessage="1" showErrorMessage="1" sqref="I6">
      <formula1>"木桩DPS,副本DPS"</formula1>
    </dataValidation>
    <dataValidation type="list" allowBlank="1" showInputMessage="1" showErrorMessage="1" sqref="K6">
      <formula1>"配装数据,手填数据,魔盒数据"</formula1>
    </dataValidation>
    <dataValidation type="list" allowBlank="1" showInputMessage="1" showErrorMessage="1" sqref="N6">
      <formula1>"5奶全,无奶花,无奶秀,无奶毒,无奶歌,无奶药,无奶"</formula1>
    </dataValidation>
    <dataValidation type="list" allowBlank="1" showInputMessage="1" showErrorMessage="1" sqref="P6">
      <formula1>"无桌子,二十四桥"</formula1>
    </dataValidation>
    <dataValidation type="list" allowBlank="1" showInputMessage="1" showErrorMessage="1" sqref="Q6">
      <formula1>"无鱼,水煮鱼"</formula1>
    </dataValidation>
    <dataValidation type="list" allowBlank="1" showInputMessage="1" showErrorMessage="1" sqref="S6">
      <formula1>"不吃,紫攻击,紫破防,紫会心,紫破招,紫加速,蓝破防,蓝会心,蓝攻击,蓝破招,蓝加速"</formula1>
    </dataValidation>
    <dataValidation type="list" allowBlank="1" showInputMessage="1" showErrorMessage="1" sqref="T6">
      <formula1>"不吃,紫攻击,紫破防,紫会心,紫破招,紫加速,蓝攻击,蓝破防,蓝会心,蓝破招,蓝加速"</formula1>
    </dataValidation>
    <dataValidation type="list" allowBlank="1" showInputMessage="1" showErrorMessage="1" sqref="V6">
      <formula1>"不喝酒,根骨酒,加速酒"</formula1>
    </dataValidation>
    <dataValidation type="list" allowBlank="1" showInputMessage="1" showErrorMessage="1" sqref="W6">
      <formula1>"无创意,攻击创意,破防创意,无双创意,破招创意,会心创意"</formula1>
    </dataValidation>
    <dataValidation type="list" allowBlank="1" showInputMessage="1" showErrorMessage="1" sqref="H10">
      <formula1>OFFSET(装备筛选!$A$2,,,COUNTA(装备列表(LEFT(装备筛选!$A$1,2))),1)</formula1>
    </dataValidation>
    <dataValidation type="list" allowBlank="1" showInputMessage="1" showErrorMessage="1" sqref="J10:L10">
      <formula1>OFFSET(装备筛选!E$2,,,COUNTA(装备列表(LEFT(装备筛选!E$1,2))),1)</formula1>
    </dataValidation>
    <dataValidation type="list" allowBlank="1" showInputMessage="1" showErrorMessage="1" sqref="N10 N15">
      <formula1>OFFSET(数据引用!$L$3,0,0,数据引用!$L$2,1)</formula1>
    </dataValidation>
    <dataValidation type="list" allowBlank="1" showInputMessage="1" showErrorMessage="1" sqref="O10">
      <formula1>"无,伤帽,小伤帽"</formula1>
    </dataValidation>
    <dataValidation type="list" allowBlank="1" showInputMessage="1" showErrorMessage="1" sqref="H11">
      <formula1>OFFSET(装备筛选!$B$2,,,COUNTA(装备列表(LEFT(装备筛选!$B$1,2))),1)</formula1>
    </dataValidation>
    <dataValidation type="list" allowBlank="1" showInputMessage="1" showErrorMessage="1" sqref="J11:L11">
      <formula1>OFFSET(装备筛选!F$2,,,COUNTA(装备列表(LEFT(装备筛选!F$1,2))),1)</formula1>
    </dataValidation>
    <dataValidation type="list" allowBlank="1" showInputMessage="1" showErrorMessage="1" sqref="O11">
      <formula1>"无,伤衣,小伤衣"</formula1>
    </dataValidation>
    <dataValidation type="list" allowBlank="1" showInputMessage="1" showErrorMessage="1" sqref="R11">
      <formula1>常更新数据!$S$15:$AA$15</formula1>
    </dataValidation>
    <dataValidation type="list" allowBlank="1" showInputMessage="1" showErrorMessage="1" sqref="H12">
      <formula1>OFFSET(装备筛选!$C$2,,,COUNTA(装备列表(LEFT(装备筛选!$C$1,2))),1)</formula1>
    </dataValidation>
    <dataValidation type="list" allowBlank="1" showInputMessage="1" showErrorMessage="1" sqref="J12:L12">
      <formula1>OFFSET(装备筛选!G$2,,,COUNTA(装备列表(LEFT(装备筛选!G$1,2))),1)</formula1>
    </dataValidation>
    <dataValidation type="list" allowBlank="1" showInputMessage="1" showErrorMessage="1" sqref="O12">
      <formula1>"无,伤腰,小伤腰"</formula1>
    </dataValidation>
    <dataValidation type="list" allowBlank="1" showInputMessage="1" showErrorMessage="1" sqref="R12">
      <formula1>OFFSET(常更新数据!$S$29:$S$33,,,常更新数据!$U$29)</formula1>
    </dataValidation>
    <dataValidation type="list" allowBlank="1" showInputMessage="1" showErrorMessage="1" sqref="H13">
      <formula1>OFFSET(装备筛选!$D$2,,,COUNTA(装备列表(LEFT(装备筛选!$D$1,2))),1)</formula1>
    </dataValidation>
    <dataValidation type="list" allowBlank="1" showInputMessage="1" showErrorMessage="1" sqref="J13:L13">
      <formula1>OFFSET(装备筛选!H$2,,,COUNTA(装备列表(LEFT(装备筛选!H$1,2))),1)</formula1>
    </dataValidation>
    <dataValidation type="list" allowBlank="1" showInputMessage="1" showErrorMessage="1" sqref="O13">
      <formula1>"无,伤腕,小伤腕"</formula1>
    </dataValidation>
    <dataValidation type="list" allowBlank="1" showInputMessage="1" showErrorMessage="1" sqref="R13">
      <formula1>OFFSET(常更新数据!$S$34:$S$39,,,常更新数据!$U$34)</formula1>
    </dataValidation>
    <dataValidation type="list" allowBlank="1" showInputMessage="1" showErrorMessage="1" sqref="H14">
      <formula1>OFFSET(装备筛选!$E$2,,,COUNTA(装备列表(LEFT(装备筛选!$E$1,2))),1)</formula1>
    </dataValidation>
    <dataValidation type="list" allowBlank="1" showInputMessage="1" showErrorMessage="1" sqref="J14:L14">
      <formula1>OFFSET(装备筛选!I$2,,,COUNTA(装备列表(LEFT(装备筛选!I$1,2))),1)</formula1>
    </dataValidation>
    <dataValidation type="list" allowBlank="1" showInputMessage="1" showErrorMessage="1" sqref="H15">
      <formula1>OFFSET(装备筛选!$F$2,,,COUNTA(装备列表(LEFT(装备筛选!$F$1,2))),1)</formula1>
    </dataValidation>
    <dataValidation type="list" allowBlank="1" showInputMessage="1" showErrorMessage="1" sqref="J15:L15">
      <formula1>OFFSET(装备筛选!J$2,,,COUNTA(装备列表(LEFT(装备筛选!J$1,2))),1)</formula1>
    </dataValidation>
    <dataValidation type="list" allowBlank="1" showInputMessage="1" showErrorMessage="1" sqref="O15">
      <formula1>"无,伤鞋,小伤鞋"</formula1>
    </dataValidation>
    <dataValidation type="list" allowBlank="1" showInputMessage="1" showErrorMessage="1" sqref="H16">
      <formula1>OFFSET(装备筛选!$G$2,,,COUNTA(装备列表(LEFT(装备筛选!$G$1,2))),1)</formula1>
    </dataValidation>
    <dataValidation type="list" allowBlank="1" showInputMessage="1" showErrorMessage="1" sqref="J16:L16">
      <formula1>OFFSET(装备筛选!K$2,,,COUNTA(装备列表(LEFT(装备筛选!K$1,2))),1)</formula1>
    </dataValidation>
    <dataValidation type="list" allowBlank="1" showInputMessage="1" showErrorMessage="1" sqref="N16">
      <formula1>OFFSET(数据引用!$R$3,0,0,数据引用!$R$2,1)</formula1>
    </dataValidation>
    <dataValidation type="list" allowBlank="1" showInputMessage="1" showErrorMessage="1" sqref="R16">
      <formula1>"6,7,8"</formula1>
    </dataValidation>
    <dataValidation type="list" allowBlank="1" showInputMessage="1" showErrorMessage="1" sqref="H17">
      <formula1>OFFSET(装备筛选!$H$2,,,COUNTA(装备列表(LEFT(装备筛选!$H$1,2))),1)</formula1>
    </dataValidation>
    <dataValidation type="list" allowBlank="1" showInputMessage="1" showErrorMessage="1" sqref="J17:L17">
      <formula1>OFFSET(装备筛选!L$2,,,COUNTA(装备列表(LEFT(装备筛选!L$1,2))),1)</formula1>
    </dataValidation>
    <dataValidation type="list" allowBlank="1" showInputMessage="1" showErrorMessage="1" sqref="N17">
      <formula1>OFFSET(数据引用!$S$3,0,0,数据引用!$S$2,1)</formula1>
    </dataValidation>
    <dataValidation type="list" allowBlank="1" showInputMessage="1" showErrorMessage="1" sqref="H18">
      <formula1>OFFSET(装备筛选!$I$2,,,COUNTA(装备列表(LEFT(装备筛选!$I$1,2))),1)</formula1>
    </dataValidation>
    <dataValidation type="list" allowBlank="1" showInputMessage="1" showErrorMessage="1" sqref="J18:L18">
      <formula1>OFFSET(装备筛选!M$2,,,COUNTA(装备列表(LEFT(装备筛选!M$1,2))),1)</formula1>
    </dataValidation>
    <dataValidation type="list" allowBlank="1" showInputMessage="1" showErrorMessage="1" sqref="H19">
      <formula1>OFFSET(装备筛选!$J$2,,,COUNTA(装备列表(LEFT(装备筛选!$J$1,2))),1)</formula1>
    </dataValidation>
    <dataValidation type="list" allowBlank="1" showInputMessage="1" showErrorMessage="1" sqref="J19:L19">
      <formula1>OFFSET(装备筛选!N$2,,,COUNTA(装备列表(LEFT(装备筛选!N$1,2))),1)</formula1>
    </dataValidation>
    <dataValidation type="list" allowBlank="1" showInputMessage="1" showErrorMessage="1" sqref="R19">
      <formula1>"8,7,6"</formula1>
    </dataValidation>
    <dataValidation type="list" allowBlank="1" showInputMessage="1" showErrorMessage="1" sqref="H20">
      <formula1>OFFSET(装备筛选!$K$2,,,COUNTA(装备列表(LEFT(装备筛选!$K$1,2))),1)</formula1>
    </dataValidation>
    <dataValidation type="list" allowBlank="1" showInputMessage="1" showErrorMessage="1" sqref="J20:L20">
      <formula1>OFFSET(装备筛选!O$2,,,COUNTA(装备列表(LEFT(装备筛选!O$1,2))),1)</formula1>
    </dataValidation>
    <dataValidation type="list" allowBlank="1" showInputMessage="1" showErrorMessage="1" sqref="N20">
      <formula1>OFFSET(数据引用!$O$3,0,0,数据引用!$O$2,1)</formula1>
    </dataValidation>
    <dataValidation type="list" allowBlank="1" showInputMessage="1" showErrorMessage="1" sqref="H21">
      <formula1>OFFSET(装备筛选!$L$2,,,COUNTA(装备列表(LEFT(装备筛选!$L$1,2))),1)</formula1>
    </dataValidation>
    <dataValidation type="list" allowBlank="1" showInputMessage="1" showErrorMessage="1" sqref="J21:L21">
      <formula1>OFFSET(装备筛选!P$2,,,COUNTA(装备列表(LEFT(装备筛选!P$1,2))),1)</formula1>
    </dataValidation>
    <dataValidation type="list" allowBlank="1" showInputMessage="1" showErrorMessage="1" sqref="N21">
      <formula1>OFFSET(数据引用!$P$3,0,0,数据引用!$P$2,1)</formula1>
    </dataValidation>
    <dataValidation type="list" allowBlank="1" showInputMessage="1" showErrorMessage="1" sqref="G28">
      <formula1>"芳姿畅音"</formula1>
    </dataValidation>
    <dataValidation type="list" allowBlank="1" showInputMessage="1" showErrorMessage="1" sqref="J28">
      <formula1>"枕上"</formula1>
    </dataValidation>
    <dataValidation type="list" allowBlank="1" showInputMessage="1" showErrorMessage="1" sqref="K28">
      <formula1>"流玉"</formula1>
    </dataValidation>
    <dataValidation type="list" allowBlank="1" showInputMessage="1" showErrorMessage="1" sqref="L28">
      <formula1>"明空"</formula1>
    </dataValidation>
    <dataValidation type="list" allowBlank="1" showInputMessage="1" showErrorMessage="1" sqref="M28">
      <formula1>"新妆"</formula1>
    </dataValidation>
    <dataValidation type="list" allowBlank="1" showInputMessage="1" showErrorMessage="1" sqref="N28">
      <formula1>"霜降"</formula1>
    </dataValidation>
    <dataValidation type="list" allowBlank="1" showInputMessage="1" showErrorMessage="1" sqref="P28">
      <formula1>"钗燕,朝露,盈袖"</formula1>
    </dataValidation>
    <dataValidation type="list" allowBlank="1" showInputMessage="1" showErrorMessage="1" sqref="Q28">
      <formula1>"化冰"</formula1>
    </dataValidation>
    <dataValidation type="list" allowBlank="1" showInputMessage="1" showErrorMessage="1" sqref="R28">
      <formula1>"盈袖,朝露,钗燕"</formula1>
    </dataValidation>
    <dataValidation type="list" allowBlank="1" showInputMessage="1" showErrorMessage="1" sqref="L35">
      <formula1>"有,无"</formula1>
    </dataValidation>
    <dataValidation type="list" allowBlank="1" showInputMessage="1" showErrorMessage="1" sqref="C36">
      <formula1>"白色,浅灰,浅粉,深灰"</formula1>
    </dataValidation>
    <dataValidation type="list" allowBlank="1" showInputMessage="1" showErrorMessage="1" sqref="L36">
      <formula1>"无,大伤腕,小伤腕"</formula1>
    </dataValidation>
    <dataValidation type="list" allowBlank="1" showInputMessage="1" showErrorMessage="1" sqref="N36">
      <formula1>"无,大伤鞋,小伤鞋"</formula1>
    </dataValidation>
    <dataValidation type="list" allowBlank="1" showInputMessage="1" showErrorMessage="1" sqref="P36">
      <formula1>"无,伤腰"</formula1>
    </dataValidation>
    <dataValidation type="list" allowBlank="1" showInputMessage="1" showErrorMessage="1" sqref="L37">
      <formula1>"无,130大橙武,353水特,414水特,飞剑,大扇子,小橙武"</formula1>
    </dataValidation>
    <dataValidation type="list" allowBlank="1" showInputMessage="1" showErrorMessage="1" sqref="L38">
      <formula1>"无,414手特效,353加速,353手特效,414加速"</formula1>
    </dataValidation>
    <dataValidation type="list" allowBlank="1" showInputMessage="1" showErrorMessage="1" sqref="N38">
      <formula1>"无,414腰会破,414腰纯会破,353加速,353腰会破,353腰会破招,414加速"</formula1>
    </dataValidation>
    <dataValidation type="list" allowBlank="1" showInputMessage="1" showErrorMessage="1" sqref="P38">
      <formula1>"无,414裤无双,414裤会无,414裤破无,353裤无双,353裤会无,353裤破无"</formula1>
    </dataValidation>
    <dataValidation type="list" allowBlank="1" showInputMessage="1" showErrorMessage="1" sqref="C39">
      <formula1>数据引用!$J$1:$J$4</formula1>
    </dataValidation>
    <dataValidation type="list" allowBlank="1" showInputMessage="1" showErrorMessage="1" sqref="L39">
      <formula1>"无,414暗器,381暗器,353暗器"</formula1>
    </dataValidation>
    <dataValidation type="list" allowBlank="1" showInputMessage="1" showErrorMessage="1" sqref="N39">
      <formula1>"无,414帽,381帽,353帽"</formula1>
    </dataValidation>
    <dataValidation type="list" allowBlank="1" showInputMessage="1" showErrorMessage="1" sqref="P39">
      <formula1>"无,414鞋破防,414鞋会心,381鞋破防,381鞋会心,353鞋破防,353鞋会心"</formula1>
    </dataValidation>
    <dataValidation type="list" allowBlank="1" showInputMessage="1" showErrorMessage="1" sqref="L40">
      <formula1>"无,414链攻击,414链会效,381链攻击,381链会效,353链攻击,353链会效"</formula1>
    </dataValidation>
    <dataValidation type="list" allowBlank="1" showInputMessage="1" showErrorMessage="1" sqref="N40">
      <formula1>"无,414腰坠,353腰坠,414坠破防,414坠会效,381坠破防,381坠会效,353坠破防,353坠会效"</formula1>
    </dataValidation>
    <dataValidation type="list" allowBlank="1" showInputMessage="1" showErrorMessage="1" sqref="P40 R40">
      <formula1>"无,414戒会心,414戒破防,414戒破招,353戒会心,353戒破招,353戒破防,353戒无双"</formula1>
    </dataValidation>
    <dataValidation type="list" allowBlank="1" showInputMessage="1" showErrorMessage="1" sqref="M5:M6">
      <formula1>"100层,90层,80层,70层"</formula1>
    </dataValidation>
    <dataValidation type="list" allowBlank="1" showInputMessage="1" showErrorMessage="1" sqref="N11:N12">
      <formula1>OFFSET(数据引用!$Q$3,0,0,数据引用!$Q$2,1)</formula1>
    </dataValidation>
    <dataValidation type="list" allowBlank="1" showInputMessage="1" showErrorMessage="1" sqref="N13:N14">
      <formula1>OFFSET(数据引用!$M$3,0,0,数据引用!$M$2,1)</formula1>
    </dataValidation>
    <dataValidation type="list" allowBlank="1" showInputMessage="1" showErrorMessage="1" sqref="N18:N19">
      <formula1>OFFSET(数据引用!$N$3,0,0,数据引用!$N$2,1)</formula1>
    </dataValidation>
  </dataValidations>
  <pageMargins left="0.75" right="0.75" top="1" bottom="1" header="0.5" footer="0.5"/>
  <headerFooter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395993-21ec-487c-8d6a-f76085d130f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V10:V16</xm:sqref>
        </x14:conditionalFormatting>
        <x14:conditionalFormatting xmlns:xm="http://schemas.microsoft.com/office/excel/2006/main">
          <x14:cfRule type="dataBar" id="{9bcabc8e-f791-4519-9961-4f9dc591c5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ffbf83a-ef8e-498e-b952-9acb401ebbb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2e8d747-1ccc-4e95-945c-ae52c06dd7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V18:V30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AP121"/>
  <sheetViews>
    <sheetView showGridLines="0" workbookViewId="0">
      <selection activeCell="Q22" sqref="Q22:R22"/>
    </sheetView>
  </sheetViews>
  <sheetFormatPr defaultColWidth="9" defaultRowHeight="14.25"/>
  <cols>
    <col min="1" max="1" width="6.875" style="138" customWidth="1"/>
    <col min="2" max="2" width="9.5" style="138" customWidth="1"/>
    <col min="3" max="3" width="12.125" style="138" customWidth="1"/>
    <col min="4" max="4" width="9" style="138"/>
    <col min="5" max="5" width="9.75" style="138" customWidth="1"/>
    <col min="6" max="6" width="10.5" style="138" customWidth="1"/>
    <col min="7" max="7" width="8.75" style="138" customWidth="1"/>
    <col min="8" max="8" width="4.25" style="138" customWidth="1"/>
    <col min="9" max="9" width="9.375" style="138" customWidth="1"/>
    <col min="10" max="10" width="11.75" style="138" customWidth="1"/>
    <col min="11" max="11" width="8.75" style="138" customWidth="1"/>
    <col min="12" max="12" width="2.375" style="138" customWidth="1"/>
    <col min="13" max="13" width="7.375" style="138" customWidth="1"/>
    <col min="14" max="14" width="2.5" style="138" customWidth="1"/>
    <col min="15" max="15" width="2.25" style="138" customWidth="1"/>
    <col min="16" max="16" width="8.25" style="138" customWidth="1"/>
    <col min="17" max="17" width="9.5" style="138" customWidth="1"/>
    <col min="18" max="18" width="9.375" style="138" customWidth="1"/>
    <col min="19" max="19" width="1.375" style="138" customWidth="1"/>
    <col min="20" max="20" width="1.75" style="138" customWidth="1"/>
    <col min="21" max="21" width="2.875" style="138" customWidth="1"/>
    <col min="22" max="22" width="8.75" style="138" customWidth="1"/>
    <col min="23" max="23" width="1.625" style="138" customWidth="1"/>
    <col min="24" max="24" width="2.375" style="138" customWidth="1"/>
    <col min="25" max="25" width="10.25" style="138" customWidth="1"/>
    <col min="26" max="26" width="1.875" style="138" customWidth="1"/>
    <col min="27" max="27" width="12" style="138" customWidth="1"/>
    <col min="28" max="28" width="2" style="138" customWidth="1"/>
    <col min="29" max="29" width="2.125" style="138" customWidth="1"/>
    <col min="30" max="30" width="9.125" style="138" customWidth="1"/>
    <col min="31" max="31" width="3" style="138" customWidth="1"/>
    <col min="32" max="32" width="6.75" style="139" customWidth="1"/>
    <col min="33" max="33" width="13" style="139" customWidth="1"/>
    <col min="34" max="40" width="9" style="139"/>
    <col min="41" max="16266" width="9" style="63"/>
    <col min="16267" max="16272" width="9" style="78"/>
    <col min="16273" max="16329" width="9" style="63"/>
    <col min="16330" max="16332" width="9" style="78"/>
    <col min="16333" max="16377" width="9" style="63"/>
    <col min="16379" max="16383" width="9" style="63"/>
  </cols>
  <sheetData>
    <row r="1" customHeight="1" spans="1:40">
      <c r="B1" s="140"/>
      <c r="C1" s="140"/>
      <c r="AD1" s="140"/>
    </row>
    <row r="2" ht="24.95" customHeight="1" spans="1:40">
      <c r="B2" s="141"/>
      <c r="D2" s="142"/>
      <c r="E2" s="143" t="s">
        <v>123</v>
      </c>
      <c r="F2" s="144"/>
      <c r="G2" s="145" t="s">
        <v>124</v>
      </c>
      <c r="H2" s="146"/>
      <c r="I2" s="146"/>
      <c r="J2" s="146"/>
      <c r="K2" s="146"/>
      <c r="L2" s="146"/>
      <c r="M2" s="146" t="s">
        <v>125</v>
      </c>
      <c r="N2" s="146"/>
      <c r="O2" s="146"/>
      <c r="P2" s="146"/>
      <c r="Q2" s="147" t="s">
        <v>126</v>
      </c>
      <c r="R2" s="146"/>
      <c r="S2" s="146"/>
      <c r="T2" s="146"/>
      <c r="U2" s="146" t="s">
        <v>127</v>
      </c>
      <c r="V2" s="146"/>
      <c r="W2" s="146" t="s">
        <v>128</v>
      </c>
      <c r="X2" s="146"/>
      <c r="Y2" s="146"/>
      <c r="Z2" s="146"/>
      <c r="AA2" s="146"/>
      <c r="AB2" s="146"/>
      <c r="AC2" s="129"/>
      <c r="AD2" s="129"/>
      <c r="AE2" s="148"/>
      <c r="AF2" s="149" t="str">
        <f>HYPERLINK("https://www.jx3box.com/macro/96904","冰心常用宏-点击查看")</f>
        <v>冰心常用宏-点击查看</v>
      </c>
      <c r="AG2" s="149"/>
    </row>
    <row r="3" s="137" customFormat="1" ht="18" customHeight="1" spans="1:40">
      <c r="A3" s="150"/>
      <c r="B3" s="151"/>
      <c r="C3" s="150"/>
      <c r="D3" s="150"/>
      <c r="E3" s="90" t="s">
        <v>109</v>
      </c>
      <c r="F3" s="152">
        <f ca="1">角色属性!V15</f>
        <v>820991</v>
      </c>
      <c r="G3" s="92" t="s">
        <v>22</v>
      </c>
      <c r="H3" s="93" t="s">
        <v>129</v>
      </c>
      <c r="I3" s="93"/>
      <c r="J3" s="93"/>
      <c r="K3" s="93"/>
      <c r="L3" s="93"/>
      <c r="M3" s="94" t="s">
        <v>24</v>
      </c>
      <c r="N3" s="153"/>
      <c r="O3" s="153"/>
      <c r="P3" s="154" t="s">
        <v>25</v>
      </c>
      <c r="Q3" s="95" t="s">
        <v>26</v>
      </c>
      <c r="R3" s="96"/>
      <c r="S3" s="155"/>
      <c r="T3" s="156" t="s">
        <v>66</v>
      </c>
      <c r="U3" s="157"/>
      <c r="V3"/>
      <c r="W3" s="95" t="s">
        <v>130</v>
      </c>
      <c r="X3" s="92"/>
      <c r="Y3" s="92"/>
      <c r="Z3" s="92"/>
      <c r="AA3" s="92"/>
      <c r="AB3" s="92"/>
      <c r="AC3" s="92"/>
      <c r="AD3" s="92"/>
      <c r="AE3" s="148"/>
      <c r="AF3" s="158" t="str">
        <f>HYPERLINK("https://www.jx3box.com/bps/83897","无界冰心攻略-点击查看")</f>
        <v>无界冰心攻略-点击查看</v>
      </c>
      <c r="AG3" s="149"/>
      <c r="AH3" s="159"/>
      <c r="AI3" s="159"/>
      <c r="AJ3" s="159"/>
      <c r="AK3" s="159"/>
      <c r="AL3" s="159"/>
      <c r="AM3" s="159"/>
      <c r="AN3" s="159"/>
    </row>
    <row r="4" s="137" customFormat="1" ht="18" customHeight="1" spans="1:40">
      <c r="A4" s="150"/>
      <c r="B4" s="151"/>
      <c r="C4" s="150"/>
      <c r="D4" s="150"/>
      <c r="E4" s="90" t="s">
        <v>91</v>
      </c>
      <c r="F4" s="160">
        <f ca="1">角色属性!V18</f>
        <v>12876</v>
      </c>
      <c r="G4" s="92" t="s">
        <v>27</v>
      </c>
      <c r="H4" s="93" t="s">
        <v>131</v>
      </c>
      <c r="I4" s="93"/>
      <c r="J4" s="93"/>
      <c r="K4" s="93"/>
      <c r="L4" s="93"/>
      <c r="M4" s="94" t="s">
        <v>29</v>
      </c>
      <c r="N4" s="153"/>
      <c r="O4" s="153"/>
      <c r="P4" s="154" t="s">
        <v>30</v>
      </c>
      <c r="Q4" s="98" t="s">
        <v>31</v>
      </c>
      <c r="R4"/>
      <c r="S4" s="161"/>
      <c r="T4" s="156" t="s">
        <v>67</v>
      </c>
      <c r="U4" s="157"/>
      <c r="V4"/>
      <c r="W4" s="102"/>
      <c r="X4" s="162"/>
      <c r="Y4" s="136" t="s">
        <v>132</v>
      </c>
      <c r="Z4" s="136"/>
      <c r="AA4" s="136" t="s">
        <v>133</v>
      </c>
      <c r="AB4" s="136"/>
      <c r="AC4" s="154" t="s">
        <v>134</v>
      </c>
      <c r="AD4" s="154"/>
      <c r="AE4" s="148"/>
      <c r="AH4" s="159"/>
      <c r="AI4" s="159"/>
      <c r="AJ4" s="159"/>
      <c r="AK4" s="159"/>
      <c r="AL4" s="159"/>
      <c r="AM4" s="159"/>
      <c r="AN4" s="159"/>
    </row>
    <row r="5" s="137" customFormat="1" ht="18" customHeight="1" spans="1:40">
      <c r="A5" s="150"/>
      <c r="B5" s="151"/>
      <c r="C5" s="150"/>
      <c r="D5" s="150"/>
      <c r="E5" s="90" t="s">
        <v>95</v>
      </c>
      <c r="F5" s="160">
        <f ca="1">角色属性!V19</f>
        <v>78402</v>
      </c>
      <c r="G5" s="92" t="s">
        <v>33</v>
      </c>
      <c r="H5" s="93" t="s">
        <v>135</v>
      </c>
      <c r="I5" s="93"/>
      <c r="J5" s="93"/>
      <c r="K5" s="93"/>
      <c r="L5" s="93"/>
      <c r="M5" s="94" t="s">
        <v>29</v>
      </c>
      <c r="N5" s="153"/>
      <c r="O5" s="153"/>
      <c r="P5" s="154" t="s">
        <v>35</v>
      </c>
      <c r="Q5" s="98" t="s">
        <v>36</v>
      </c>
      <c r="R5"/>
      <c r="S5" s="161"/>
      <c r="T5" s="156" t="s">
        <v>68</v>
      </c>
      <c r="U5" s="157"/>
      <c r="V5"/>
      <c r="W5" s="102"/>
      <c r="X5" s="153"/>
      <c r="Y5" s="153"/>
      <c r="Z5" s="153"/>
      <c r="AA5" s="153"/>
      <c r="AB5" s="153"/>
      <c r="AC5" s="153"/>
      <c r="AD5" s="153"/>
      <c r="AE5" s="148"/>
      <c r="AH5" s="159"/>
      <c r="AI5" s="159"/>
      <c r="AJ5" s="159"/>
      <c r="AK5" s="159"/>
      <c r="AL5" s="159"/>
      <c r="AM5" s="159"/>
      <c r="AN5" s="159"/>
    </row>
    <row r="6" s="137" customFormat="1" ht="18" customHeight="1" spans="1:40">
      <c r="A6" s="150"/>
      <c r="B6" s="151"/>
      <c r="C6" s="150"/>
      <c r="D6" s="150"/>
      <c r="E6" s="90" t="s">
        <v>98</v>
      </c>
      <c r="F6" s="163">
        <f ca="1">角色属性!V20</f>
        <v>0.560717035148683</v>
      </c>
      <c r="G6" s="92" t="s">
        <v>38</v>
      </c>
      <c r="H6" s="93" t="s">
        <v>136</v>
      </c>
      <c r="I6" s="93"/>
      <c r="J6" s="93"/>
      <c r="K6" s="93"/>
      <c r="L6" s="93"/>
      <c r="M6" s="94" t="s">
        <v>37</v>
      </c>
      <c r="N6" s="153"/>
      <c r="O6" s="153"/>
      <c r="P6" s="154" t="s">
        <v>40</v>
      </c>
      <c r="Q6" s="98" t="s">
        <v>41</v>
      </c>
      <c r="R6"/>
      <c r="S6" s="161"/>
      <c r="T6" s="156" t="s">
        <v>69</v>
      </c>
      <c r="U6" s="157"/>
      <c r="V6"/>
      <c r="W6" s="95" t="s">
        <v>137</v>
      </c>
      <c r="X6" s="92"/>
      <c r="Y6" s="92"/>
      <c r="Z6" s="92"/>
      <c r="AA6" s="92"/>
      <c r="AB6" s="92"/>
      <c r="AC6" s="92"/>
      <c r="AD6" s="92"/>
      <c r="AE6" s="151"/>
      <c r="AF6" s="139"/>
      <c r="AG6" s="139"/>
      <c r="AH6" s="159"/>
      <c r="AI6" s="159"/>
      <c r="AJ6" s="159"/>
      <c r="AK6" s="159"/>
      <c r="AL6" s="159"/>
      <c r="AM6" s="159"/>
      <c r="AN6" s="159"/>
    </row>
    <row r="7" s="137" customFormat="1" ht="18" customHeight="1" spans="1:40">
      <c r="A7" s="150"/>
      <c r="B7" s="151"/>
      <c r="C7" s="150"/>
      <c r="D7" s="150"/>
      <c r="E7" s="90" t="s">
        <v>102</v>
      </c>
      <c r="F7" s="163">
        <f ca="1">角色属性!V21</f>
        <v>2.064740226401</v>
      </c>
      <c r="G7" s="92" t="s">
        <v>43</v>
      </c>
      <c r="H7" s="93" t="s">
        <v>138</v>
      </c>
      <c r="I7" s="93"/>
      <c r="J7" s="93"/>
      <c r="K7" s="93"/>
      <c r="L7" s="93"/>
      <c r="M7" s="94" t="s">
        <v>32</v>
      </c>
      <c r="N7" s="153"/>
      <c r="O7" s="153"/>
      <c r="P7" s="154"/>
      <c r="Q7" s="102"/>
      <c r="R7" s="103"/>
      <c r="S7" s="153"/>
      <c r="T7" s="156" t="s">
        <v>70</v>
      </c>
      <c r="U7" s="157"/>
      <c r="V7"/>
      <c r="W7" s="102"/>
      <c r="X7" s="153"/>
      <c r="Y7" s="136" t="s">
        <v>139</v>
      </c>
      <c r="Z7" s="136"/>
      <c r="AA7" s="136" t="s">
        <v>140</v>
      </c>
      <c r="AB7" s="136"/>
      <c r="AC7" s="154" t="s">
        <v>133</v>
      </c>
      <c r="AD7" s="154"/>
      <c r="AE7" s="151"/>
      <c r="AF7" s="139"/>
      <c r="AG7" s="139"/>
      <c r="AH7" s="159"/>
      <c r="AI7" s="159"/>
      <c r="AJ7" s="159"/>
      <c r="AK7" s="159"/>
      <c r="AL7" s="159"/>
      <c r="AM7" s="159"/>
      <c r="AN7" s="159"/>
    </row>
    <row r="8" s="137" customFormat="1" ht="18" customHeight="1" spans="1:40">
      <c r="A8" s="150"/>
      <c r="B8" s="151"/>
      <c r="C8" s="150"/>
      <c r="D8" s="150"/>
      <c r="E8" s="90" t="s">
        <v>24</v>
      </c>
      <c r="F8" s="160">
        <f ca="1">角色属性!V22</f>
        <v>32213</v>
      </c>
      <c r="G8" s="92" t="s">
        <v>45</v>
      </c>
      <c r="H8" s="93" t="s">
        <v>141</v>
      </c>
      <c r="I8" s="93"/>
      <c r="J8" s="93"/>
      <c r="K8" s="93"/>
      <c r="L8" s="93"/>
      <c r="M8" s="94" t="s">
        <v>24</v>
      </c>
      <c r="N8" s="153"/>
      <c r="O8" s="153"/>
      <c r="P8" s="154" t="s">
        <v>48</v>
      </c>
      <c r="Q8" s="95" t="s">
        <v>49</v>
      </c>
      <c r="R8" s="96"/>
      <c r="S8" s="155"/>
      <c r="T8" s="156" t="s">
        <v>71</v>
      </c>
      <c r="U8" s="157"/>
      <c r="V8"/>
      <c r="W8" s="102"/>
      <c r="X8" s="153"/>
      <c r="Y8" s="136" t="s">
        <v>142</v>
      </c>
      <c r="Z8" s="136"/>
      <c r="AA8" s="154" t="s">
        <v>143</v>
      </c>
      <c r="AB8" s="154"/>
      <c r="AC8" s="154"/>
      <c r="AD8" s="164" t="str">
        <f>角色属性!AP34</f>
        <v/>
      </c>
      <c r="AE8" s="165"/>
      <c r="AF8" s="139"/>
      <c r="AG8" s="139"/>
      <c r="AH8" s="159"/>
      <c r="AI8" s="159"/>
      <c r="AJ8" s="159"/>
      <c r="AK8" s="159"/>
      <c r="AL8" s="159"/>
      <c r="AM8" s="159"/>
      <c r="AN8" s="159"/>
    </row>
    <row r="9" s="137" customFormat="1" ht="18" customHeight="1" spans="1:40">
      <c r="A9" s="150"/>
      <c r="B9" s="151"/>
      <c r="C9" s="150"/>
      <c r="D9" s="150"/>
      <c r="E9" s="90" t="s">
        <v>32</v>
      </c>
      <c r="F9" s="163">
        <f ca="1">角色属性!V23</f>
        <v>0.369370182724547</v>
      </c>
      <c r="G9" s="92" t="s">
        <v>50</v>
      </c>
      <c r="H9" s="93" t="s">
        <v>144</v>
      </c>
      <c r="I9" s="93"/>
      <c r="J9" s="93"/>
      <c r="K9" s="93"/>
      <c r="L9" s="93"/>
      <c r="M9" s="94" t="s">
        <v>145</v>
      </c>
      <c r="N9" s="153"/>
      <c r="O9" s="153"/>
      <c r="P9" s="154"/>
      <c r="Q9" s="98" t="s">
        <v>53</v>
      </c>
      <c r="R9"/>
      <c r="S9" s="166"/>
      <c r="T9" s="156" t="s">
        <v>72</v>
      </c>
      <c r="U9" s="157"/>
      <c r="V9"/>
      <c r="W9" s="102"/>
      <c r="X9" s="167"/>
      <c r="Y9" s="167"/>
      <c r="Z9" s="167"/>
      <c r="AA9" s="167"/>
      <c r="AB9" s="167"/>
      <c r="AC9" s="167"/>
      <c r="AD9" s="167"/>
      <c r="AE9" s="151"/>
      <c r="AF9" s="159"/>
      <c r="AG9" s="159"/>
      <c r="AH9" s="159"/>
      <c r="AI9" s="159"/>
      <c r="AJ9" s="159"/>
      <c r="AK9" s="159"/>
      <c r="AL9" s="159"/>
      <c r="AM9" s="159"/>
      <c r="AN9" s="159"/>
    </row>
    <row r="10" s="137" customFormat="1" ht="18" customHeight="1" spans="1:40">
      <c r="A10" s="150"/>
      <c r="B10" s="151"/>
      <c r="C10" s="150"/>
      <c r="D10" s="150"/>
      <c r="E10" s="90" t="s">
        <v>37</v>
      </c>
      <c r="F10" s="163">
        <f ca="1">角色属性!V24</f>
        <v>0.788025788025788</v>
      </c>
      <c r="G10" s="92" t="s">
        <v>54</v>
      </c>
      <c r="H10" s="93" t="s">
        <v>146</v>
      </c>
      <c r="I10" s="93"/>
      <c r="J10" s="93"/>
      <c r="K10" s="93"/>
      <c r="L10" s="93"/>
      <c r="M10" s="94" t="s">
        <v>145</v>
      </c>
      <c r="N10" s="153"/>
      <c r="O10" s="153"/>
      <c r="P10" s="168"/>
      <c r="Q10" s="102"/>
      <c r="R10" s="103"/>
      <c r="S10" s="153"/>
      <c r="T10" s="156" t="s">
        <v>73</v>
      </c>
      <c r="U10" s="157"/>
      <c r="V10"/>
      <c r="W10" s="95" t="s">
        <v>147</v>
      </c>
      <c r="X10" s="92"/>
      <c r="Y10" s="92"/>
      <c r="Z10" s="92"/>
      <c r="AA10" s="92"/>
      <c r="AB10" s="92"/>
      <c r="AC10" s="92"/>
      <c r="AD10" s="169"/>
      <c r="AE10" s="150"/>
      <c r="AF10" s="159"/>
      <c r="AG10" s="159"/>
      <c r="AH10" s="159"/>
      <c r="AI10" s="159"/>
      <c r="AJ10" s="159"/>
      <c r="AK10" s="159"/>
      <c r="AL10" s="159"/>
      <c r="AM10" s="159"/>
      <c r="AN10" s="159"/>
    </row>
    <row r="11" s="137" customFormat="1" ht="18" customHeight="1" spans="1:40">
      <c r="A11" s="150"/>
      <c r="B11" s="151"/>
      <c r="C11" s="150"/>
      <c r="D11" s="150"/>
      <c r="E11" s="107" t="s">
        <v>110</v>
      </c>
      <c r="F11" s="160">
        <f ca="1">角色属性!V25</f>
        <v>13740</v>
      </c>
      <c r="G11" s="92" t="s">
        <v>56</v>
      </c>
      <c r="H11" s="93" t="s">
        <v>148</v>
      </c>
      <c r="I11" s="93"/>
      <c r="J11" s="93"/>
      <c r="K11" s="93"/>
      <c r="L11" s="93"/>
      <c r="M11" s="94" t="s">
        <v>47</v>
      </c>
      <c r="N11" s="153"/>
      <c r="O11" s="153"/>
      <c r="P11" s="168"/>
      <c r="Q11" s="95" t="s">
        <v>59</v>
      </c>
      <c r="R11" s="96"/>
      <c r="S11" s="155"/>
      <c r="T11" s="156" t="s">
        <v>74</v>
      </c>
      <c r="U11" s="157"/>
      <c r="V11"/>
      <c r="W11" s="102"/>
      <c r="X11" s="153"/>
      <c r="Y11" s="136" t="s">
        <v>139</v>
      </c>
      <c r="Z11" s="136"/>
      <c r="AA11" s="136" t="s">
        <v>140</v>
      </c>
      <c r="AB11" s="136"/>
      <c r="AC11" s="154" t="s">
        <v>149</v>
      </c>
      <c r="AD11" s="170"/>
      <c r="AE11" s="150"/>
      <c r="AF11" s="159"/>
      <c r="AG11" s="159"/>
      <c r="AH11" s="159"/>
      <c r="AI11" s="159"/>
      <c r="AJ11" s="159"/>
      <c r="AK11" s="159"/>
      <c r="AL11" s="159"/>
      <c r="AM11" s="159"/>
      <c r="AN11" s="159"/>
    </row>
    <row r="12" s="137" customFormat="1" ht="18" customHeight="1" spans="1:40">
      <c r="A12" s="150"/>
      <c r="B12" s="151"/>
      <c r="C12" s="150"/>
      <c r="D12" s="150"/>
      <c r="E12" s="171" t="s">
        <v>150</v>
      </c>
      <c r="F12" s="172"/>
      <c r="G12" s="92" t="s">
        <v>56</v>
      </c>
      <c r="H12" s="93" t="s">
        <v>148</v>
      </c>
      <c r="I12" s="93"/>
      <c r="J12" s="93"/>
      <c r="K12" s="93"/>
      <c r="L12" s="93"/>
      <c r="M12" s="94" t="s">
        <v>47</v>
      </c>
      <c r="N12" s="150"/>
      <c r="O12" s="150"/>
      <c r="P12" s="168"/>
      <c r="Q12" s="98" t="s">
        <v>151</v>
      </c>
      <c r="R12" s="110" t="s">
        <v>152</v>
      </c>
      <c r="S12" s="168"/>
      <c r="T12" s="156" t="s">
        <v>153</v>
      </c>
      <c r="U12" s="157"/>
      <c r="V12"/>
      <c r="W12" s="112"/>
      <c r="X12" s="150"/>
      <c r="Y12" s="136" t="s">
        <v>149</v>
      </c>
      <c r="Z12" s="136"/>
      <c r="AA12" s="136"/>
      <c r="AB12" s="136"/>
      <c r="AC12" s="136"/>
      <c r="AD12" s="173"/>
      <c r="AE12" s="150"/>
      <c r="AF12" s="159"/>
      <c r="AG12" s="159"/>
      <c r="AH12" s="159"/>
      <c r="AI12" s="159"/>
      <c r="AJ12" s="159"/>
      <c r="AK12" s="159"/>
      <c r="AL12" s="159"/>
      <c r="AM12" s="159"/>
      <c r="AN12" s="159"/>
    </row>
    <row r="13" s="137" customFormat="1" ht="18" customHeight="1" spans="1:40">
      <c r="A13" s="150"/>
      <c r="B13" s="151"/>
      <c r="C13" s="150"/>
      <c r="D13" s="150"/>
      <c r="E13" s="174" t="s">
        <v>154</v>
      </c>
      <c r="F13" s="175"/>
      <c r="G13" s="92" t="s">
        <v>61</v>
      </c>
      <c r="H13" s="93" t="s">
        <v>155</v>
      </c>
      <c r="I13" s="93"/>
      <c r="J13" s="93"/>
      <c r="K13" s="93"/>
      <c r="L13" s="93"/>
      <c r="M13" s="94" t="s">
        <v>24</v>
      </c>
      <c r="N13" s="150"/>
      <c r="O13" s="150"/>
      <c r="P13" s="168"/>
      <c r="Q13" s="112"/>
      <c r="R13" s="113"/>
      <c r="S13" s="150"/>
      <c r="T13" s="156" t="s">
        <v>156</v>
      </c>
      <c r="U13" s="157"/>
      <c r="V13"/>
      <c r="W13" s="112"/>
      <c r="X13" s="150"/>
      <c r="Y13" s="136"/>
      <c r="Z13" s="136"/>
      <c r="AA13" s="136"/>
      <c r="AB13" s="136"/>
      <c r="AC13" s="136"/>
      <c r="AD13" s="136"/>
      <c r="AE13" s="176"/>
      <c r="AF13" s="159"/>
      <c r="AG13" s="159"/>
      <c r="AH13" s="159"/>
      <c r="AI13" s="159"/>
      <c r="AJ13" s="159"/>
      <c r="AK13" s="159"/>
      <c r="AL13" s="159"/>
      <c r="AM13" s="159"/>
      <c r="AN13" s="159"/>
    </row>
    <row r="14" s="137" customFormat="1" ht="18" customHeight="1" spans="1:40">
      <c r="A14" s="150"/>
      <c r="B14" s="151"/>
      <c r="C14" s="150"/>
      <c r="D14" s="150"/>
      <c r="E14" s="177" t="str">
        <f>HYPERLINK("#B"&amp;60,"我要手填属性")</f>
        <v>我要手填属性</v>
      </c>
      <c r="F14" s="178"/>
      <c r="G14" s="179" t="s">
        <v>64</v>
      </c>
      <c r="H14" s="93" t="s">
        <v>157</v>
      </c>
      <c r="I14" s="93"/>
      <c r="J14" s="93"/>
      <c r="K14" s="93"/>
      <c r="L14" s="93"/>
      <c r="M14" s="180" t="s">
        <v>47</v>
      </c>
      <c r="N14" s="181"/>
      <c r="O14" s="181"/>
      <c r="P14" s="182"/>
      <c r="Q14" s="120"/>
      <c r="R14" s="121"/>
      <c r="S14" s="181"/>
      <c r="T14" s="183" t="s">
        <v>158</v>
      </c>
      <c r="U14" s="184"/>
      <c r="V14"/>
      <c r="W14" s="185" t="s">
        <v>159</v>
      </c>
      <c r="X14" s="186"/>
      <c r="Y14" s="186"/>
      <c r="Z14" s="186"/>
      <c r="AA14" s="186"/>
      <c r="AB14" s="186"/>
      <c r="AC14" s="186"/>
      <c r="AD14" s="186"/>
      <c r="AE14" s="176"/>
      <c r="AF14" s="159"/>
      <c r="AG14" s="159"/>
      <c r="AH14" s="159"/>
      <c r="AI14" s="159"/>
      <c r="AJ14" s="159"/>
      <c r="AK14" s="159"/>
      <c r="AL14" s="159"/>
      <c r="AM14" s="159"/>
      <c r="AN14" s="159"/>
    </row>
    <row r="15" s="137" customFormat="1" ht="24.95" customHeight="1" spans="1:40">
      <c r="A15" s="150"/>
      <c r="B15" s="151"/>
      <c r="C15" s="150"/>
      <c r="D15" s="150"/>
      <c r="E15" s="86" t="str">
        <f>IF(全局设置!H2,"旗舰DPS参考","无界DPS参考")</f>
        <v>旗舰DPS参考</v>
      </c>
      <c r="F15" s="87"/>
      <c r="G15" s="89">
        <f ca="1">常更新数据!AG3</f>
        <v>11713430.3166304</v>
      </c>
      <c r="H15" s="89"/>
      <c r="I15" s="88" t="s">
        <v>160</v>
      </c>
      <c r="J15" s="89"/>
      <c r="K15" s="89"/>
      <c r="L15" s="89"/>
      <c r="M15" s="88" t="s">
        <v>161</v>
      </c>
      <c r="N15" s="89"/>
      <c r="O15" s="89"/>
      <c r="P15" s="89"/>
      <c r="Q15" s="89"/>
      <c r="R15" s="89"/>
      <c r="S15" s="89"/>
      <c r="T15" s="89"/>
      <c r="U15" s="89" t="s">
        <v>162</v>
      </c>
      <c r="V15" s="89"/>
      <c r="W15" s="89"/>
      <c r="X15" s="89"/>
      <c r="Y15" s="89"/>
      <c r="Z15" s="89"/>
      <c r="AA15" s="89"/>
      <c r="AB15" s="89"/>
      <c r="AC15" s="89"/>
      <c r="AD15" s="89"/>
      <c r="AE15" s="176"/>
      <c r="AF15" s="159"/>
      <c r="AG15" s="159"/>
      <c r="AH15" s="159"/>
      <c r="AI15" s="159"/>
      <c r="AJ15" s="159"/>
      <c r="AK15" s="159"/>
      <c r="AL15" s="159"/>
      <c r="AM15" s="159"/>
      <c r="AN15" s="159"/>
    </row>
    <row r="16" s="137" customFormat="1" ht="18" customHeight="1" spans="1:40">
      <c r="A16" s="150"/>
      <c r="B16" s="151"/>
      <c r="C16" s="150"/>
      <c r="D16" s="150"/>
      <c r="E16" s="187" t="str">
        <f ca="1">IF(伤害占比和收益!E2&lt;&gt;0,伤害占比和收益!E2,"")</f>
        <v>玳弦急曲</v>
      </c>
      <c r="F16" s="188"/>
      <c r="G16" s="189">
        <f ca="1">IF(伤害占比和收益!F2&lt;&gt;0,伤害占比和收益!F2,"")</f>
        <v>0.319045396491468</v>
      </c>
      <c r="H16" s="190"/>
      <c r="I16" s="191" t="s">
        <v>19</v>
      </c>
      <c r="J16" s="192" t="s">
        <v>20</v>
      </c>
      <c r="K16" s="154" t="s">
        <v>163</v>
      </c>
      <c r="L16" s="193"/>
      <c r="M16" s="194" t="s">
        <v>164</v>
      </c>
      <c r="N16" s="157"/>
      <c r="O16" s="157"/>
      <c r="P16" s="157"/>
      <c r="Q16" s="195" t="s">
        <v>165</v>
      </c>
      <c r="R16" s="196"/>
      <c r="S16" s="168"/>
      <c r="T16" s="159"/>
      <c r="U16" s="154" t="s">
        <v>166</v>
      </c>
      <c r="V16" s="154"/>
      <c r="W16" s="154" t="s">
        <v>167</v>
      </c>
      <c r="X16" s="154"/>
      <c r="Y16" s="154"/>
      <c r="AA16" s="136" t="s">
        <v>166</v>
      </c>
      <c r="AB16" s="154" t="s">
        <v>167</v>
      </c>
      <c r="AC16" s="154"/>
      <c r="AD16" s="154"/>
      <c r="AE16" s="197"/>
      <c r="AF16" s="159"/>
      <c r="AG16" s="159"/>
      <c r="AH16" s="159"/>
      <c r="AI16" s="159"/>
      <c r="AJ16" s="159"/>
      <c r="AK16" s="159"/>
      <c r="AL16" s="159"/>
      <c r="AM16" s="159"/>
      <c r="AN16" s="159"/>
    </row>
    <row r="17" s="137" customFormat="1" ht="18" customHeight="1" spans="1:40">
      <c r="A17" s="150"/>
      <c r="B17" s="151"/>
      <c r="C17" s="150"/>
      <c r="D17" s="150"/>
      <c r="E17" s="187" t="str">
        <f ca="1">IF(伤害占比和收益!E3&lt;&gt;0,伤害占比和收益!E3,"")</f>
        <v>急曲（DOT）</v>
      </c>
      <c r="F17" s="188"/>
      <c r="G17" s="189">
        <f ca="1">IF(伤害占比和收益!F3&lt;&gt;0,伤害占比和收益!F3,"")</f>
        <v>0.153842080755086</v>
      </c>
      <c r="H17" s="190"/>
      <c r="I17" s="194" t="str">
        <f ca="1">伤害占比和收益!K2</f>
        <v>会效</v>
      </c>
      <c r="J17" s="192">
        <f ca="1">_xlfn.XLOOKUP(I17,常更新数据!$E$2:$E$8,常更新数据!$F$2:$F$8)</f>
        <v>3279</v>
      </c>
      <c r="K17" s="198">
        <f ca="1">伤害占比和收益!L2</f>
        <v>0.0163508883822641</v>
      </c>
      <c r="L17" s="199"/>
      <c r="M17" s="194" t="s">
        <v>168</v>
      </c>
      <c r="N17" s="157"/>
      <c r="O17" s="157"/>
      <c r="P17" s="157"/>
      <c r="Q17" s="200" t="s">
        <v>169</v>
      </c>
      <c r="R17" s="201"/>
      <c r="S17" s="168"/>
      <c r="T17" s="159"/>
      <c r="U17" s="156" t="s">
        <v>170</v>
      </c>
      <c r="V17" s="202"/>
      <c r="W17" s="203"/>
      <c r="X17" s="203"/>
      <c r="Y17" s="203"/>
      <c r="Z17" s="168"/>
      <c r="AA17" s="156" t="s">
        <v>171</v>
      </c>
      <c r="AB17" s="203"/>
      <c r="AC17" s="203"/>
      <c r="AD17" s="203"/>
      <c r="AE17" s="176"/>
      <c r="AF17" s="159"/>
      <c r="AG17" s="204"/>
      <c r="AH17" s="204"/>
      <c r="AI17" s="204"/>
      <c r="AJ17" s="204"/>
      <c r="AK17" s="159"/>
      <c r="AL17" s="159"/>
      <c r="AM17" s="159"/>
      <c r="AN17" s="159"/>
    </row>
    <row r="18" s="137" customFormat="1" ht="18" customHeight="1" spans="1:40">
      <c r="A18" s="150"/>
      <c r="B18" s="151"/>
      <c r="C18" s="150"/>
      <c r="D18" s="150"/>
      <c r="E18" s="187" t="str">
        <f ca="1">IF(伤害占比和收益!E4&lt;&gt;0,伤害占比和收益!E4,"")</f>
        <v>剑破虚空</v>
      </c>
      <c r="F18" s="188"/>
      <c r="G18" s="189">
        <f ca="1">IF(伤害占比和收益!F4&lt;&gt;0,伤害占比和收益!F4,"")</f>
        <v>0.100366998454193</v>
      </c>
      <c r="H18" s="190"/>
      <c r="I18" s="194" t="str">
        <f ca="1">伤害占比和收益!K3</f>
        <v>会心</v>
      </c>
      <c r="J18" s="192">
        <f ca="1">_xlfn.XLOOKUP(I18,常更新数据!$E$2:$E$8,常更新数据!$F$2:$F$8)</f>
        <v>3279</v>
      </c>
      <c r="K18" s="198">
        <f ca="1">伤害占比和收益!L3</f>
        <v>0.0105254307271394</v>
      </c>
      <c r="L18" s="199"/>
      <c r="M18" s="194" t="s">
        <v>172</v>
      </c>
      <c r="N18" s="157"/>
      <c r="O18" s="157"/>
      <c r="P18" s="157"/>
      <c r="Q18" s="200">
        <v>5</v>
      </c>
      <c r="R18" s="201"/>
      <c r="S18" s="168"/>
      <c r="T18" s="159"/>
      <c r="U18" s="156" t="s">
        <v>173</v>
      </c>
      <c r="V18" s="202"/>
      <c r="W18" s="203"/>
      <c r="X18" s="203"/>
      <c r="Y18" s="203"/>
      <c r="Z18" s="168"/>
      <c r="AA18" s="156" t="s">
        <v>174</v>
      </c>
      <c r="AB18" s="205">
        <v>80</v>
      </c>
      <c r="AC18" s="205"/>
      <c r="AD18" s="136"/>
      <c r="AE18" s="176"/>
      <c r="AF18" s="159"/>
      <c r="AG18" s="159"/>
      <c r="AH18" s="159"/>
      <c r="AI18" s="159"/>
      <c r="AJ18" s="159"/>
      <c r="AK18" s="206"/>
      <c r="AL18" s="159"/>
      <c r="AM18" s="159"/>
      <c r="AN18" s="159"/>
    </row>
    <row r="19" s="137" customFormat="1" ht="18" customHeight="1" spans="1:40">
      <c r="A19" s="150"/>
      <c r="B19" s="207"/>
      <c r="C19" s="208"/>
      <c r="D19" s="208"/>
      <c r="E19" s="187" t="str">
        <f ca="1">IF(伤害占比和收益!E5&lt;&gt;0,伤害占比和收益!E5,"")</f>
        <v>化冰</v>
      </c>
      <c r="F19" s="188"/>
      <c r="G19" s="189">
        <f ca="1">IF(伤害占比和收益!F5&lt;&gt;0,伤害占比和收益!F5,"")</f>
        <v>0.0754278003062493</v>
      </c>
      <c r="H19" s="190"/>
      <c r="I19" s="194" t="str">
        <f ca="1">伤害占比和收益!K4</f>
        <v>无双</v>
      </c>
      <c r="J19" s="192">
        <f ca="1">_xlfn.XLOOKUP(I19,常更新数据!$E$2:$E$8,常更新数据!$F$2:$F$8)</f>
        <v>3279</v>
      </c>
      <c r="K19" s="198">
        <f ca="1">伤害占比和收益!L4</f>
        <v>0.0101044883096364</v>
      </c>
      <c r="L19" s="199"/>
      <c r="M19" s="194" t="s">
        <v>175</v>
      </c>
      <c r="N19" s="157"/>
      <c r="O19" s="157"/>
      <c r="P19" s="157"/>
      <c r="Q19"/>
      <c r="R19" s="209"/>
      <c r="S19" s="168"/>
      <c r="T19" s="159"/>
      <c r="U19" s="156" t="s">
        <v>176</v>
      </c>
      <c r="V19" s="202"/>
      <c r="W19" s="205">
        <v>80</v>
      </c>
      <c r="X19" s="205"/>
      <c r="Y19" s="136"/>
      <c r="Z19" s="93"/>
      <c r="AA19" s="156" t="s">
        <v>177</v>
      </c>
      <c r="AB19" s="205">
        <v>80</v>
      </c>
      <c r="AC19" s="205"/>
      <c r="AD19" s="136"/>
      <c r="AE19" s="176"/>
      <c r="AF19" s="159"/>
      <c r="AG19" s="159"/>
      <c r="AH19" s="159"/>
      <c r="AI19" s="159"/>
      <c r="AJ19" s="159"/>
      <c r="AK19" s="159"/>
      <c r="AL19" s="159"/>
      <c r="AM19" s="159"/>
      <c r="AN19" s="159"/>
    </row>
    <row r="20" s="137" customFormat="1" ht="18" customHeight="1" spans="1:40">
      <c r="A20" s="150"/>
      <c r="B20" s="210"/>
      <c r="C20" s="211"/>
      <c r="D20" s="211"/>
      <c r="E20" s="187" t="str">
        <f ca="1">IF(伤害占比和收益!E6&lt;&gt;0,伤害占比和收益!E6,"")</f>
        <v>盈袖</v>
      </c>
      <c r="F20" s="188"/>
      <c r="G20" s="189">
        <f ca="1">IF(伤害占比和收益!F6&lt;&gt;0,伤害占比和收益!F6,"")</f>
        <v>0.0719768093766666</v>
      </c>
      <c r="H20" s="190"/>
      <c r="I20" s="194" t="str">
        <f ca="1">伤害占比和收益!K5</f>
        <v>破防</v>
      </c>
      <c r="J20" s="192">
        <f ca="1">_xlfn.XLOOKUP(I20,常更新数据!$E$2:$E$8,常更新数据!$F$2:$F$8)</f>
        <v>3279</v>
      </c>
      <c r="K20" s="198">
        <f ca="1">伤害占比和收益!L5</f>
        <v>0.0100218562922174</v>
      </c>
      <c r="L20" s="199"/>
      <c r="M20" s="194" t="s">
        <v>178</v>
      </c>
      <c r="N20" s="157"/>
      <c r="O20" s="157"/>
      <c r="P20" s="157"/>
      <c r="Q20"/>
      <c r="R20" s="209"/>
      <c r="S20" s="168"/>
      <c r="T20" s="159"/>
      <c r="U20" s="156" t="s">
        <v>179</v>
      </c>
      <c r="V20" s="202"/>
      <c r="W20" s="203"/>
      <c r="X20" s="203"/>
      <c r="Y20" s="154"/>
      <c r="Z20" s="168"/>
      <c r="AA20" s="156" t="s">
        <v>180</v>
      </c>
      <c r="AB20" s="203"/>
      <c r="AC20" s="203"/>
      <c r="AD20" s="212"/>
      <c r="AE20" s="176"/>
      <c r="AF20" s="159"/>
      <c r="AG20" s="159"/>
      <c r="AH20" s="159"/>
      <c r="AI20" s="159"/>
      <c r="AJ20" s="159"/>
      <c r="AK20" s="159"/>
      <c r="AL20" s="159"/>
      <c r="AM20" s="159"/>
      <c r="AN20" s="159"/>
    </row>
    <row r="21" s="137" customFormat="1" ht="18" customHeight="1" spans="1:40">
      <c r="A21" s="213"/>
      <c r="B21" s="214" t="str">
        <f>全局设置!B8</f>
        <v>感谢：冰气、明月杳杳、南真帆</v>
      </c>
      <c r="C21" s="215"/>
      <c r="E21" s="187" t="str">
        <f ca="1">IF(伤害占比和收益!E7&lt;&gt;0,伤害占比和收益!E7,"")</f>
        <v>钗燕</v>
      </c>
      <c r="F21" s="188"/>
      <c r="G21" s="189">
        <f ca="1">IF(伤害占比和收益!F7&lt;&gt;0,伤害占比和收益!F7,"")</f>
        <v>0.0656114604712815</v>
      </c>
      <c r="H21" s="190"/>
      <c r="I21" s="194" t="str">
        <f ca="1">伤害占比和收益!K6</f>
        <v>破招</v>
      </c>
      <c r="J21" s="192">
        <f ca="1">_xlfn.XLOOKUP(I21,常更新数据!$E$2:$E$8,常更新数据!$F$2:$F$8)</f>
        <v>3279</v>
      </c>
      <c r="K21" s="198">
        <f ca="1">伤害占比和收益!L6</f>
        <v>0.00894339064997496</v>
      </c>
      <c r="L21" s="199"/>
      <c r="M21" s="194" t="s">
        <v>181</v>
      </c>
      <c r="N21" s="157"/>
      <c r="O21" s="157"/>
      <c r="P21" s="157"/>
      <c r="Q21"/>
      <c r="R21" s="209"/>
      <c r="S21" s="168"/>
      <c r="T21" s="159"/>
      <c r="U21" s="156" t="s">
        <v>182</v>
      </c>
      <c r="V21" s="202"/>
      <c r="W21" s="205">
        <v>80</v>
      </c>
      <c r="X21" s="205"/>
      <c r="Y21" s="168"/>
      <c r="Z21" s="93"/>
      <c r="AA21" s="156" t="s">
        <v>183</v>
      </c>
      <c r="AB21" s="205">
        <v>80</v>
      </c>
      <c r="AC21" s="205"/>
      <c r="AD21" s="136"/>
      <c r="AE21" s="176"/>
      <c r="AF21" s="159"/>
      <c r="AG21" s="159"/>
      <c r="AH21" s="159"/>
      <c r="AI21" s="159"/>
      <c r="AJ21" s="159"/>
      <c r="AK21" s="159"/>
      <c r="AL21" s="159"/>
      <c r="AM21" s="159"/>
      <c r="AN21" s="159"/>
    </row>
    <row r="22" s="137" customFormat="1" ht="18" customHeight="1" spans="1:40">
      <c r="A22" s="150"/>
      <c r="B22" s="216" t="str">
        <f>全局设置!A2</f>
        <v>版本：1.4</v>
      </c>
      <c r="C22" s="217" t="s">
        <v>184</v>
      </c>
      <c r="D22" s="217" t="s">
        <v>185</v>
      </c>
      <c r="E22" s="187" t="str">
        <f ca="1">IF(伤害占比和收益!E8&lt;&gt;0,伤害占比和收益!E8,"")</f>
        <v>江海凝光</v>
      </c>
      <c r="F22" s="188"/>
      <c r="G22" s="189">
        <f ca="1">IF(伤害占比和收益!F8&lt;&gt;0,伤害占比和收益!F8,"")</f>
        <v>0.053854051720725</v>
      </c>
      <c r="H22" s="190"/>
      <c r="I22" s="194" t="str">
        <f ca="1">伤害占比和收益!K7</f>
        <v>攻击</v>
      </c>
      <c r="J22" s="192">
        <f ca="1">_xlfn.XLOOKUP(I22,常更新数据!$E$2:$E$8,常更新数据!$F$2:$F$8)</f>
        <v>994</v>
      </c>
      <c r="K22" s="198">
        <f ca="1">伤害占比和收益!L7</f>
        <v>0.0087235344470693</v>
      </c>
      <c r="L22" s="199"/>
      <c r="M22" s="194" t="s">
        <v>186</v>
      </c>
      <c r="N22" s="157"/>
      <c r="O22" s="157"/>
      <c r="P22" s="157"/>
      <c r="Q22" s="200" t="s">
        <v>187</v>
      </c>
      <c r="R22" s="201"/>
      <c r="S22" s="168"/>
      <c r="T22" s="159"/>
      <c r="U22" s="156" t="s">
        <v>188</v>
      </c>
      <c r="V22" s="202"/>
      <c r="W22" s="159"/>
      <c r="X22" s="159"/>
      <c r="Y22" s="154"/>
      <c r="Z22" s="159"/>
      <c r="AA22" s="156" t="s">
        <v>189</v>
      </c>
      <c r="AB22" s="203"/>
      <c r="AC22" s="203"/>
      <c r="AD22" s="212"/>
      <c r="AE22" s="176"/>
      <c r="AF22" s="159"/>
      <c r="AG22" s="159"/>
      <c r="AH22" s="159"/>
      <c r="AI22" s="159"/>
      <c r="AJ22" s="159"/>
      <c r="AK22" s="159"/>
      <c r="AL22" s="159"/>
      <c r="AM22" s="159"/>
      <c r="AN22" s="159"/>
    </row>
    <row r="23" s="137" customFormat="1" ht="18" customHeight="1" spans="1:40">
      <c r="A23" s="150"/>
      <c r="B23" s="218" t="str">
        <f>HYPERLINK("https://www.kdocs.cn/l/ckVRfNFXuBZJ","☞ 奖励作者喝杯蜜雪冰城")</f>
        <v>☞ 奖励作者喝杯蜜雪冰城</v>
      </c>
      <c r="C23" s="219"/>
      <c r="D23" s="219"/>
      <c r="E23" s="187" t="str">
        <f ca="1">IF(伤害占比和收益!E9&lt;&gt;0,伤害占比和收益!E9,"")</f>
        <v>流芳仙姿•剑破</v>
      </c>
      <c r="F23" s="188"/>
      <c r="G23" s="189">
        <f ca="1">IF(伤害占比和收益!F9&lt;&gt;0,伤害占比和收益!F9,"")</f>
        <v>0.0449421555671691</v>
      </c>
      <c r="H23" s="190"/>
      <c r="I23" s="194" t="str">
        <f ca="1">伤害占比和收益!K8</f>
        <v>根骨</v>
      </c>
      <c r="J23" s="192">
        <f ca="1">_xlfn.XLOOKUP(I23,常更新数据!$E$2:$E$8,常更新数据!$F$2:$F$8)</f>
        <v>420</v>
      </c>
      <c r="K23" s="198">
        <f ca="1">伤害占比和收益!L8</f>
        <v>0.0070628764557894</v>
      </c>
      <c r="L23" s="199"/>
      <c r="M23" s="194" t="s">
        <v>190</v>
      </c>
      <c r="N23" s="157"/>
      <c r="O23" s="157"/>
      <c r="P23" s="157"/>
      <c r="Q23" s="200" t="s">
        <v>93</v>
      </c>
      <c r="R23" s="201"/>
      <c r="S23" s="168"/>
      <c r="T23" s="159"/>
      <c r="U23" s="156" t="s">
        <v>191</v>
      </c>
      <c r="V23" s="202"/>
      <c r="W23" s="205">
        <v>80</v>
      </c>
      <c r="X23" s="205"/>
      <c r="Y23" s="168"/>
      <c r="Z23" s="150"/>
      <c r="AA23" s="156" t="s">
        <v>192</v>
      </c>
      <c r="AB23" s="205">
        <v>80</v>
      </c>
      <c r="AC23" s="205"/>
      <c r="AD23" s="136"/>
      <c r="AE23" s="176"/>
      <c r="AF23" s="159"/>
      <c r="AG23" s="159"/>
      <c r="AH23" s="159"/>
      <c r="AI23" s="159"/>
      <c r="AJ23" s="159"/>
      <c r="AK23" s="159"/>
      <c r="AL23" s="159"/>
      <c r="AM23" s="159"/>
      <c r="AN23" s="159"/>
    </row>
    <row r="24" s="137" customFormat="1" ht="18" customHeight="1" spans="1:40">
      <c r="A24" s="150"/>
      <c r="B24" s="220"/>
      <c r="C24" s="159"/>
      <c r="D24" s="221"/>
      <c r="E24" s="187" t="str">
        <f ca="1">IF(伤害占比和收益!E10&lt;&gt;0,伤害占比和收益!E10,"")</f>
        <v>流芳仙姿•玳弦</v>
      </c>
      <c r="F24" s="188"/>
      <c r="G24" s="189">
        <f ca="1">IF(伤害占比和收益!F10&lt;&gt;0,伤害占比和收益!F10,"")</f>
        <v>0.0267081734172232</v>
      </c>
      <c r="H24" s="190"/>
      <c r="I24" s="222" t="s">
        <v>193</v>
      </c>
      <c r="J24" s="223"/>
      <c r="K24" s="223"/>
      <c r="L24" s="224"/>
      <c r="M24" s="222" t="s">
        <v>194</v>
      </c>
      <c r="N24" s="223"/>
      <c r="O24" s="223"/>
      <c r="P24" s="223"/>
      <c r="Q24" s="223"/>
      <c r="R24" s="225"/>
      <c r="S24" s="168"/>
      <c r="T24" s="159"/>
      <c r="U24" s="156" t="s">
        <v>195</v>
      </c>
      <c r="V24" s="202"/>
      <c r="W24" s="150"/>
      <c r="X24" s="150"/>
      <c r="Y24" s="154"/>
      <c r="Z24" s="150"/>
      <c r="AA24" s="156" t="s">
        <v>196</v>
      </c>
      <c r="AB24" s="205">
        <v>80</v>
      </c>
      <c r="AC24" s="205"/>
      <c r="AD24" s="136"/>
      <c r="AE24" s="176"/>
      <c r="AF24" s="159"/>
      <c r="AG24" s="159"/>
      <c r="AH24" s="159"/>
      <c r="AI24" s="159"/>
      <c r="AJ24" s="159"/>
      <c r="AK24" s="159"/>
      <c r="AL24" s="159"/>
      <c r="AM24" s="159"/>
      <c r="AN24" s="159"/>
    </row>
    <row r="25" s="137" customFormat="1" ht="18" customHeight="1" spans="1:40">
      <c r="A25" s="150"/>
      <c r="B25" s="226"/>
      <c r="C25" s="150"/>
      <c r="D25" s="150"/>
      <c r="E25" s="187" t="str">
        <f ca="1">IF(伤害占比和收益!E11&lt;&gt;0,伤害占比和收益!E11,"")</f>
        <v>破•霜降</v>
      </c>
      <c r="F25" s="188"/>
      <c r="G25" s="189">
        <f ca="1">IF(伤害占比和收益!F11&lt;&gt;0,伤害占比和收益!F11,"")</f>
        <v>0.0194482417260729</v>
      </c>
      <c r="H25" s="190"/>
      <c r="I25" s="194" t="str" cm="1">
        <f ca="1" t="array" ref="I25:I36">IF(伤害占比和收益!I3:I14&gt;0,伤害占比和收益!H3:H14,"")</f>
        <v>田螺阵</v>
      </c>
      <c r="J25" s="202"/>
      <c r="K25" s="227" cm="1">
        <f ca="1" t="array" ref="K25:K36">IF(伤害占比和收益!I3:I14&gt;0,伤害占比和收益!I3:I14,"")</f>
        <v>0.139386552906419</v>
      </c>
      <c r="L25" s="228"/>
      <c r="M25" s="194" t="s">
        <v>197</v>
      </c>
      <c r="N25" s="157"/>
      <c r="O25" s="229"/>
      <c r="P25"/>
      <c r="Q25" s="156" t="s">
        <v>198</v>
      </c>
      <c r="R25"/>
      <c r="S25" s="204"/>
      <c r="T25" s="159"/>
      <c r="U25" s="156" t="s">
        <v>199</v>
      </c>
      <c r="V25" s="202"/>
      <c r="W25" s="205">
        <v>80</v>
      </c>
      <c r="X25" s="205"/>
      <c r="Y25" s="168"/>
      <c r="Z25" s="150"/>
      <c r="AA25" s="156" t="s">
        <v>200</v>
      </c>
      <c r="AB25" s="205">
        <v>80</v>
      </c>
      <c r="AC25" s="205"/>
      <c r="AD25" s="136"/>
      <c r="AE25" s="176"/>
      <c r="AF25" s="159"/>
      <c r="AG25" s="159"/>
      <c r="AH25" s="159"/>
      <c r="AI25" s="159"/>
      <c r="AJ25" s="159"/>
      <c r="AK25" s="159"/>
      <c r="AL25" s="159"/>
      <c r="AM25" s="159"/>
      <c r="AN25" s="159"/>
    </row>
    <row r="26" s="137" customFormat="1" ht="18" customHeight="1" spans="1:40">
      <c r="A26" s="150"/>
      <c r="B26" s="230"/>
      <c r="C26" s="230"/>
      <c r="D26" s="150"/>
      <c r="E26" s="187" t="str">
        <f ca="1">IF(伤害占比和收益!E12&lt;&gt;0,伤害占比和收益!E12,"")</f>
        <v>破•钗燕</v>
      </c>
      <c r="F26" s="188"/>
      <c r="G26" s="189">
        <f ca="1">IF(伤害占比和收益!F12&lt;&gt;0,伤害占比和收益!F12,"")</f>
        <v>0.0165070708190326</v>
      </c>
      <c r="H26" s="190"/>
      <c r="I26" s="194" t="str">
        <v>万灵阵</v>
      </c>
      <c r="J26" s="202"/>
      <c r="K26" s="227">
        <v>0.134323756488608</v>
      </c>
      <c r="L26" s="228"/>
      <c r="M26" s="194" t="s">
        <v>201</v>
      </c>
      <c r="N26" s="157"/>
      <c r="O26" s="159"/>
      <c r="P26" s="93" t="s">
        <v>202</v>
      </c>
      <c r="Q26" s="156" t="s">
        <v>203</v>
      </c>
      <c r="R26"/>
      <c r="S26" s="136"/>
      <c r="T26" s="159"/>
      <c r="U26" s="156" t="s">
        <v>204</v>
      </c>
      <c r="V26" s="202"/>
      <c r="W26" s="205">
        <v>80</v>
      </c>
      <c r="X26" s="205"/>
      <c r="Y26" s="168"/>
      <c r="Z26" s="150"/>
      <c r="AA26" s="156" t="s">
        <v>205</v>
      </c>
      <c r="AB26" s="205">
        <v>80</v>
      </c>
      <c r="AC26" s="205"/>
      <c r="AD26" s="136"/>
      <c r="AE26" s="176"/>
      <c r="AF26" s="159"/>
      <c r="AG26" s="159"/>
      <c r="AH26" s="159"/>
      <c r="AI26" s="159"/>
      <c r="AJ26" s="159"/>
      <c r="AK26" s="159"/>
      <c r="AL26" s="159"/>
      <c r="AM26" s="159"/>
      <c r="AN26" s="159"/>
    </row>
    <row r="27" s="137" customFormat="1" ht="18" customHeight="1" spans="1:40">
      <c r="A27" s="150"/>
      <c r="B27" s="231"/>
      <c r="C27" s="231"/>
      <c r="D27" s="150"/>
      <c r="E27" s="187" t="str">
        <f ca="1">IF(伤害占比和收益!E13&lt;&gt;0,伤害占比和收益!E13,"")</f>
        <v>昆吾·弦刃</v>
      </c>
      <c r="F27" s="188"/>
      <c r="G27" s="189">
        <f ca="1">IF(伤害占比和收益!F13&lt;&gt;0,伤害占比和收益!F13,"")</f>
        <v>0.0133769733956448</v>
      </c>
      <c r="H27" s="190"/>
      <c r="I27" s="194" t="str">
        <v>气纯阵</v>
      </c>
      <c r="J27" s="202"/>
      <c r="K27" s="227">
        <v>0.117959904619415</v>
      </c>
      <c r="L27" s="228"/>
      <c r="M27" s="194" t="s">
        <v>206</v>
      </c>
      <c r="N27" s="157"/>
      <c r="O27" s="159"/>
      <c r="P27"/>
      <c r="Q27" s="156" t="s">
        <v>207</v>
      </c>
      <c r="R27"/>
      <c r="S27" s="136"/>
      <c r="T27" s="159"/>
      <c r="U27" s="156" t="s">
        <v>208</v>
      </c>
      <c r="V27" s="202"/>
      <c r="W27" s="205">
        <v>80</v>
      </c>
      <c r="X27" s="205"/>
      <c r="Y27" s="168"/>
      <c r="Z27" s="150"/>
      <c r="AA27" s="156" t="s">
        <v>209</v>
      </c>
      <c r="AB27" s="205">
        <v>80</v>
      </c>
      <c r="AC27" s="205"/>
      <c r="AD27" s="136"/>
      <c r="AE27" s="176"/>
      <c r="AF27" s="159"/>
      <c r="AG27" s="159"/>
      <c r="AH27" s="159"/>
      <c r="AI27" s="159"/>
      <c r="AJ27" s="159"/>
      <c r="AK27" s="159"/>
      <c r="AL27" s="159"/>
      <c r="AM27" s="159"/>
      <c r="AN27" s="159"/>
    </row>
    <row r="28" s="137" customFormat="1" ht="18" customHeight="1" spans="1:40">
      <c r="A28" s="150"/>
      <c r="B28" s="1"/>
      <c r="C28" s="150"/>
      <c r="D28" s="150"/>
      <c r="E28" s="187" t="str">
        <f ca="1">IF(伤害占比和收益!E14&lt;&gt;0,伤害占比和收益!E14,"")</f>
        <v>刃凌</v>
      </c>
      <c r="F28" s="188"/>
      <c r="G28" s="189">
        <f ca="1">IF(伤害占比和收益!F14&lt;&gt;0,伤害占比和收益!F14,"")</f>
        <v>0.0108652149682116</v>
      </c>
      <c r="H28" s="190"/>
      <c r="I28" s="194" t="str">
        <v>和尚阵</v>
      </c>
      <c r="J28" s="202"/>
      <c r="K28" s="227">
        <v>0.114622713878719</v>
      </c>
      <c r="L28" s="228"/>
      <c r="M28" s="194" t="s">
        <v>210</v>
      </c>
      <c r="N28" s="157"/>
      <c r="O28" s="159"/>
      <c r="P28"/>
      <c r="Q28" s="156" t="s">
        <v>211</v>
      </c>
      <c r="R28"/>
      <c r="S28" s="232"/>
      <c r="T28" s="139"/>
      <c r="U28" s="156" t="s">
        <v>212</v>
      </c>
      <c r="V28" s="202"/>
      <c r="W28" s="205">
        <v>80</v>
      </c>
      <c r="X28" s="205"/>
      <c r="Y28" s="168"/>
      <c r="Z28" s="93"/>
      <c r="AA28" s="156" t="s">
        <v>213</v>
      </c>
      <c r="AB28" s="205">
        <v>80</v>
      </c>
      <c r="AC28" s="205"/>
      <c r="AD28" s="136"/>
      <c r="AE28" s="176"/>
      <c r="AF28" s="159"/>
      <c r="AG28" s="159"/>
      <c r="AH28" s="159"/>
      <c r="AI28" s="159"/>
      <c r="AJ28" s="159"/>
      <c r="AK28" s="159"/>
      <c r="AL28" s="159"/>
      <c r="AM28" s="159"/>
      <c r="AN28" s="159"/>
    </row>
    <row r="29" s="137" customFormat="1" ht="18" customHeight="1" spans="1:40">
      <c r="A29" s="150"/>
      <c r="B29" s="1"/>
      <c r="C29" s="150"/>
      <c r="D29" s="150"/>
      <c r="E29" s="187" t="str">
        <f ca="1">IF(伤害占比和收益!E15&lt;&gt;0,伤害占比和收益!E15,"")</f>
        <v>破•虚空</v>
      </c>
      <c r="F29" s="188"/>
      <c r="G29" s="189">
        <f ca="1">IF(伤害占比和收益!F15&lt;&gt;0,伤害占比和收益!F15,"")</f>
        <v>0.0091114071390006</v>
      </c>
      <c r="H29" s="190"/>
      <c r="I29" s="194" t="str">
        <v>莫问阵</v>
      </c>
      <c r="J29" s="202"/>
      <c r="K29" s="227">
        <v>0.110788310898524</v>
      </c>
      <c r="L29" s="228"/>
      <c r="M29" s="194" t="s">
        <v>214</v>
      </c>
      <c r="N29" s="157"/>
      <c r="P29"/>
      <c r="Q29" s="156"/>
      <c r="S29" s="232"/>
      <c r="T29" s="139"/>
      <c r="U29" s="156" t="s">
        <v>215</v>
      </c>
      <c r="V29" s="202"/>
      <c r="W29" s="205">
        <v>80</v>
      </c>
      <c r="X29" s="205"/>
      <c r="Y29" s="168"/>
      <c r="Z29" s="233"/>
      <c r="AA29" s="156"/>
      <c r="AB29" s="233"/>
      <c r="AC29" s="233"/>
      <c r="AD29" s="170"/>
      <c r="AE29" s="150"/>
      <c r="AF29" s="159"/>
      <c r="AG29" s="159"/>
      <c r="AH29" s="159"/>
      <c r="AI29" s="159"/>
      <c r="AJ29" s="159"/>
      <c r="AK29" s="159"/>
      <c r="AL29" s="159"/>
      <c r="AM29" s="159"/>
      <c r="AN29" s="159"/>
    </row>
    <row r="30" s="137" customFormat="1" ht="18" customHeight="1" spans="1:40">
      <c r="A30" s="150"/>
      <c r="B30" s="150"/>
      <c r="C30" s="150"/>
      <c r="D30" s="150"/>
      <c r="E30" s="187" t="str">
        <f ca="1">IF(伤害占比和收益!E16&lt;&gt;0,伤害占比和收益!E16,"")</f>
        <v>巽</v>
      </c>
      <c r="F30" s="188"/>
      <c r="G30" s="189">
        <f ca="1">IF(伤害占比和收益!F16&lt;&gt;0,伤害占比和收益!F16,"")</f>
        <v>0.00773429856702586</v>
      </c>
      <c r="H30" s="190"/>
      <c r="I30" s="194" t="str">
        <v>段氏阵</v>
      </c>
      <c r="J30" s="202"/>
      <c r="K30" s="227">
        <v>0.110425279632527</v>
      </c>
      <c r="L30" s="228"/>
      <c r="M30" s="194" t="s">
        <v>216</v>
      </c>
      <c r="N30" s="157"/>
      <c r="O30" s="159"/>
      <c r="P30"/>
      <c r="Q30" s="159"/>
      <c r="R30" s="159"/>
      <c r="S30" s="234"/>
      <c r="T30" s="154"/>
      <c r="U30" s="156" t="s">
        <v>217</v>
      </c>
      <c r="V30" s="202"/>
      <c r="W30" s="205">
        <v>80</v>
      </c>
      <c r="X30" s="205"/>
      <c r="Y30" s="168"/>
      <c r="Z30" s="138"/>
      <c r="AA30" s="156"/>
      <c r="AB30" s="138"/>
      <c r="AC30" s="138"/>
      <c r="AD30" s="235"/>
      <c r="AE30" s="150"/>
      <c r="AF30" s="159"/>
      <c r="AG30" s="159"/>
      <c r="AH30" s="159"/>
      <c r="AI30" s="159"/>
      <c r="AJ30" s="159"/>
      <c r="AK30" s="159"/>
      <c r="AL30" s="159"/>
      <c r="AM30" s="159"/>
      <c r="AN30" s="159"/>
    </row>
    <row r="31" s="137" customFormat="1" ht="18" customHeight="1" spans="1:40">
      <c r="A31" s="150"/>
      <c r="B31" s="150"/>
      <c r="C31" s="150"/>
      <c r="D31" s="150"/>
      <c r="E31" s="187" t="str">
        <f ca="1">IF(伤害占比和收益!E17&lt;&gt;0,伤害占比和收益!E17,"")</f>
        <v>逐云寒蕊</v>
      </c>
      <c r="F31" s="188"/>
      <c r="G31" s="189">
        <f ca="1">IF(伤害占比和收益!F17&lt;&gt;0,伤害占比和收益!F17,"")</f>
        <v>0.00582575547944806</v>
      </c>
      <c r="H31" s="190"/>
      <c r="I31" s="194" t="str">
        <v>花间阵</v>
      </c>
      <c r="J31" s="202"/>
      <c r="K31" s="227">
        <v>0.109376414992736</v>
      </c>
      <c r="L31" s="228"/>
      <c r="M31" s="194" t="s">
        <v>218</v>
      </c>
      <c r="N31" s="157"/>
      <c r="O31" s="159"/>
      <c r="P31"/>
      <c r="Q31" s="159"/>
      <c r="R31" s="159"/>
      <c r="S31" s="234"/>
      <c r="T31" s="159"/>
      <c r="U31" s="202"/>
      <c r="V31" s="202"/>
      <c r="W31" s="159"/>
      <c r="X31" s="159"/>
      <c r="Y31" s="159"/>
      <c r="Z31" s="159"/>
      <c r="AA31" s="159"/>
      <c r="AB31" s="159"/>
      <c r="AC31" s="159"/>
      <c r="AD31" s="236"/>
      <c r="AE31" s="150"/>
      <c r="AF31" s="159"/>
      <c r="AG31" s="159"/>
      <c r="AH31" s="159"/>
      <c r="AI31" s="159"/>
      <c r="AJ31" s="159"/>
      <c r="AK31" s="159"/>
      <c r="AL31" s="159"/>
      <c r="AM31" s="159"/>
      <c r="AN31" s="159"/>
    </row>
    <row r="32" s="137" customFormat="1" ht="18" customHeight="1" spans="1:40">
      <c r="A32" s="150"/>
      <c r="B32" s="150"/>
      <c r="C32" s="150"/>
      <c r="D32" s="150"/>
      <c r="E32" s="187" t="str">
        <f ca="1">IF(伤害占比和收益!E18&lt;&gt;0,伤害占比和收益!E18,"")</f>
        <v>破</v>
      </c>
      <c r="F32" s="188"/>
      <c r="G32" s="189">
        <f ca="1">IF(伤害占比和收益!F18&lt;&gt;0,伤害占比和收益!F18,"")</f>
        <v>0.00535611134550201</v>
      </c>
      <c r="H32" s="190"/>
      <c r="I32" s="194" t="str">
        <v>自己阵</v>
      </c>
      <c r="J32" s="237"/>
      <c r="K32" s="227">
        <v>0.106866326710263</v>
      </c>
      <c r="L32" s="228"/>
      <c r="M32" s="194" t="s">
        <v>219</v>
      </c>
      <c r="N32" s="157"/>
      <c r="O32" s="159"/>
      <c r="P32"/>
      <c r="Q32" s="94" t="s">
        <v>220</v>
      </c>
      <c r="R32" s="94"/>
      <c r="S32" s="238"/>
      <c r="T32" s="138"/>
      <c r="U32" s="239"/>
      <c r="V32" s="159"/>
      <c r="W32" s="138"/>
      <c r="X32" s="138"/>
      <c r="Y32" s="240"/>
      <c r="Z32" s="138"/>
      <c r="AA32" s="138"/>
      <c r="AB32" s="138"/>
      <c r="AC32" s="138"/>
      <c r="AD32" s="241"/>
      <c r="AE32" s="150"/>
      <c r="AF32" s="159"/>
      <c r="AG32" s="159"/>
      <c r="AH32" s="159"/>
      <c r="AI32" s="159"/>
      <c r="AJ32" s="159"/>
      <c r="AK32" s="159"/>
      <c r="AL32" s="159"/>
      <c r="AM32" s="159"/>
      <c r="AN32" s="159"/>
    </row>
    <row r="33" ht="18" customHeight="1" spans="5:42">
      <c r="E33" s="187" t="str">
        <f>IF(伤害占比和收益!E19&lt;&gt;0,伤害占比和收益!E19,"")</f>
        <v/>
      </c>
      <c r="F33" s="188"/>
      <c r="G33" s="189" t="str">
        <f>IF(伤害占比和收益!F19&lt;&gt;0,伤害占比和收益!F19,"")</f>
        <v/>
      </c>
      <c r="H33" s="190"/>
      <c r="I33" s="194" t="str">
        <v>毒经阵</v>
      </c>
      <c r="J33" s="237"/>
      <c r="K33" s="227">
        <v>0.0996546299806678</v>
      </c>
      <c r="L33" s="228"/>
      <c r="M33" s="242" t="str">
        <f ca="1">常更新数据!AG2</f>
        <v/>
      </c>
      <c r="N33" s="243"/>
      <c r="O33" s="243"/>
      <c r="P33" s="243"/>
      <c r="Q33" s="243"/>
      <c r="R33" s="243"/>
      <c r="S33" s="244"/>
      <c r="AD33" s="241"/>
      <c r="AI33" s="155"/>
      <c r="AJ33" s="159"/>
      <c r="AO33" s="168"/>
    </row>
    <row r="34" ht="18" customHeight="1" spans="5:42">
      <c r="E34" s="187" t="str">
        <f>IF(伤害占比和收益!E20&lt;&gt;0,伤害占比和收益!E20,"")</f>
        <v/>
      </c>
      <c r="F34" s="188"/>
      <c r="G34" s="189" t="str">
        <f>IF(伤害占比和收益!F20&lt;&gt;0,伤害占比和收益!F20,"")</f>
        <v/>
      </c>
      <c r="H34" s="190"/>
      <c r="I34" s="194" t="str">
        <v>无相阵</v>
      </c>
      <c r="J34" s="237"/>
      <c r="K34" s="227">
        <v>0.0937944677658116</v>
      </c>
      <c r="L34" s="228"/>
      <c r="M34" s="245"/>
      <c r="P34" s="246"/>
      <c r="S34" s="244"/>
      <c r="AD34" s="241"/>
      <c r="AI34" s="155"/>
      <c r="AJ34" s="159"/>
      <c r="AN34" s="168"/>
      <c r="AO34" s="168"/>
      <c r="AP34" s="168"/>
    </row>
    <row r="35" ht="18" customHeight="1" spans="5:42">
      <c r="E35" s="187" t="str">
        <f>IF(伤害占比和收益!E21&lt;&gt;0,伤害占比和收益!E21,"")</f>
        <v/>
      </c>
      <c r="F35" s="188"/>
      <c r="G35" s="189" t="str">
        <f>IF(伤害占比和收益!F21&lt;&gt;0,伤害占比和收益!F21,"")</f>
        <v/>
      </c>
      <c r="H35" s="190"/>
      <c r="I35" s="194" t="str">
        <v>无界阵</v>
      </c>
      <c r="J35" s="237"/>
      <c r="K35" s="227">
        <v>0.073787067087296</v>
      </c>
      <c r="L35" s="228"/>
      <c r="M35" s="245"/>
      <c r="S35" s="244"/>
      <c r="AD35" s="241"/>
      <c r="AK35" s="138"/>
      <c r="AM35" s="138"/>
      <c r="AN35" s="138"/>
      <c r="AO35" s="138"/>
      <c r="AP35" s="138"/>
    </row>
    <row r="36" ht="18" customHeight="1" spans="5:42">
      <c r="E36" s="187" t="str">
        <f>IF(伤害占比和收益!E22&lt;&gt;0,伤害占比和收益!E22,"")</f>
        <v/>
      </c>
      <c r="F36" s="188"/>
      <c r="G36" s="189" t="str">
        <f>IF(伤害占比和收益!F22&lt;&gt;0,伤害占比和收益!F22,"")</f>
        <v/>
      </c>
      <c r="H36" s="190"/>
      <c r="I36" s="194" t="str">
        <v>冰心阵</v>
      </c>
      <c r="J36" s="237"/>
      <c r="K36" s="227">
        <v>0.0649468078950262</v>
      </c>
      <c r="L36" s="228"/>
      <c r="M36" s="245"/>
      <c r="S36" s="244"/>
      <c r="AD36" s="241"/>
      <c r="AK36" s="138"/>
      <c r="AM36" s="138"/>
      <c r="AN36" s="138"/>
      <c r="AO36" s="138"/>
      <c r="AP36" s="138"/>
    </row>
    <row r="37" ht="24.95" customHeight="1" spans="5:42">
      <c r="E37" s="87" t="s">
        <v>221</v>
      </c>
      <c r="F37" s="87"/>
      <c r="G37" s="247"/>
      <c r="H37" s="89" t="s">
        <v>222</v>
      </c>
      <c r="I37" s="89"/>
      <c r="J37" s="89"/>
      <c r="K37" s="89" t="s">
        <v>223</v>
      </c>
      <c r="L37" s="89"/>
      <c r="M37" s="89"/>
      <c r="N37" s="89"/>
      <c r="O37" s="89"/>
      <c r="P37" s="89" t="s">
        <v>224</v>
      </c>
      <c r="Q37" s="89"/>
      <c r="R37" s="89" t="s">
        <v>225</v>
      </c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248"/>
      <c r="AG37" s="138"/>
      <c r="AH37" s="138"/>
      <c r="AI37" s="155"/>
      <c r="AJ37" s="138"/>
      <c r="AK37" s="138"/>
      <c r="AL37" s="138"/>
      <c r="AM37" s="138"/>
      <c r="AN37" s="249"/>
      <c r="AO37" s="138"/>
      <c r="AP37" s="138"/>
    </row>
    <row r="38" ht="24.95" customHeight="1" spans="5:42">
      <c r="E38" s="250" t="s">
        <v>226</v>
      </c>
      <c r="F38" s="251"/>
      <c r="G38" s="252" t="s">
        <v>227</v>
      </c>
      <c r="H38" s="253">
        <v>375844</v>
      </c>
      <c r="I38" s="253"/>
      <c r="J38" s="253"/>
      <c r="K38" s="254">
        <f>角色属性!X17</f>
        <v>1887486</v>
      </c>
      <c r="L38" s="255"/>
      <c r="M38" s="255"/>
      <c r="N38" s="255"/>
      <c r="O38" s="255"/>
      <c r="P38" s="254" t="str">
        <f>角色属性!Y17</f>
        <v>1887486</v>
      </c>
      <c r="Q38" s="256"/>
      <c r="R38" s="157" t="s">
        <v>228</v>
      </c>
      <c r="S38" s="257"/>
      <c r="T38" s="257"/>
      <c r="U38" s="192" t="s">
        <v>92</v>
      </c>
      <c r="V38" s="192"/>
      <c r="Y38"/>
      <c r="AA38"/>
      <c r="AB38"/>
      <c r="AD38" s="241"/>
    </row>
    <row r="39" ht="18" customHeight="1" spans="5:42">
      <c r="E39" s="250"/>
      <c r="F39" s="251"/>
      <c r="G39" s="252" t="s">
        <v>91</v>
      </c>
      <c r="H39"/>
      <c r="I39" s="94"/>
      <c r="J39" s="94"/>
      <c r="K39" s="254">
        <f>角色属性!X18</f>
        <v>7872</v>
      </c>
      <c r="L39" s="255"/>
      <c r="M39" s="255"/>
      <c r="N39" s="255"/>
      <c r="O39" s="255"/>
      <c r="P39" s="254" t="str">
        <f>角色属性!Y18</f>
        <v>7872</v>
      </c>
      <c r="Q39" s="256"/>
      <c r="R39" s="157" t="s">
        <v>96</v>
      </c>
      <c r="S39" s="257"/>
      <c r="T39" s="257"/>
      <c r="U39"/>
      <c r="V39"/>
      <c r="X39"/>
      <c r="Y39"/>
      <c r="AA39"/>
      <c r="AB39"/>
      <c r="AC39" s="93"/>
      <c r="AD39" s="173"/>
    </row>
    <row r="40" ht="18" customHeight="1" spans="5:42">
      <c r="E40" s="250"/>
      <c r="F40" s="251"/>
      <c r="G40" s="252" t="s">
        <v>95</v>
      </c>
      <c r="H40"/>
      <c r="I40" s="94"/>
      <c r="J40" s="94"/>
      <c r="K40" s="254">
        <f>角色属性!X19</f>
        <v>45976</v>
      </c>
      <c r="L40" s="255"/>
      <c r="M40" s="255"/>
      <c r="N40" s="255"/>
      <c r="O40" s="255"/>
      <c r="P40" s="254" t="str">
        <f>角色属性!Y19</f>
        <v>45976</v>
      </c>
      <c r="Q40" s="256"/>
      <c r="R40" s="157" t="s">
        <v>99</v>
      </c>
      <c r="S40" s="257"/>
      <c r="T40" s="257"/>
      <c r="U40"/>
      <c r="V40"/>
      <c r="AD40" s="241"/>
    </row>
    <row r="41" ht="18" customHeight="1" spans="5:42">
      <c r="E41" s="250"/>
      <c r="F41" s="251"/>
      <c r="G41" s="252" t="s">
        <v>98</v>
      </c>
      <c r="H41"/>
      <c r="I41" s="258"/>
      <c r="J41" s="258"/>
      <c r="K41" s="259">
        <f>角色属性!X20</f>
        <v>0.140862809365564</v>
      </c>
      <c r="L41" s="228"/>
      <c r="M41" s="228"/>
      <c r="N41" s="228"/>
      <c r="O41" s="228"/>
      <c r="P41" s="254" t="str">
        <f>角色属性!Y20</f>
        <v>14.09%</v>
      </c>
      <c r="Q41" s="256"/>
      <c r="R41" s="157" t="s">
        <v>103</v>
      </c>
      <c r="S41" s="257"/>
      <c r="T41" s="257"/>
      <c r="U41"/>
      <c r="V41"/>
      <c r="X41"/>
      <c r="Y41"/>
      <c r="AA41"/>
      <c r="AB41" s="94"/>
      <c r="AD41" s="241"/>
    </row>
    <row r="42" ht="18" customHeight="1" spans="5:42">
      <c r="E42" s="250"/>
      <c r="F42" s="251"/>
      <c r="G42" s="252" t="s">
        <v>102</v>
      </c>
      <c r="H42"/>
      <c r="I42" s="258"/>
      <c r="J42" s="258"/>
      <c r="K42" s="259">
        <f>角色属性!X21</f>
        <v>1.75</v>
      </c>
      <c r="L42" s="228"/>
      <c r="M42" s="228"/>
      <c r="N42" s="228"/>
      <c r="O42" s="228"/>
      <c r="P42" s="260" t="str">
        <f>角色属性!Y21</f>
        <v>175%</v>
      </c>
      <c r="Q42" s="261"/>
      <c r="R42" s="157" t="s">
        <v>105</v>
      </c>
      <c r="U42"/>
      <c r="V42"/>
      <c r="X42"/>
      <c r="Y42"/>
      <c r="AA42"/>
      <c r="AB42" s="94"/>
      <c r="AC42" s="93"/>
      <c r="AD42" s="241"/>
    </row>
    <row r="43" ht="18" customHeight="1" spans="5:42">
      <c r="E43" s="250"/>
      <c r="F43" s="251"/>
      <c r="G43" s="252" t="s">
        <v>24</v>
      </c>
      <c r="H43"/>
      <c r="I43" s="94"/>
      <c r="J43" s="94"/>
      <c r="K43" s="254">
        <f>角色属性!X22</f>
        <v>10422</v>
      </c>
      <c r="L43" s="255"/>
      <c r="M43" s="255"/>
      <c r="N43" s="255"/>
      <c r="O43" s="255"/>
      <c r="P43" s="262">
        <f>角色属性!Y22</f>
        <v>10422</v>
      </c>
      <c r="Q43" s="263"/>
      <c r="R43" s="157" t="s">
        <v>108</v>
      </c>
      <c r="U43"/>
      <c r="V43"/>
      <c r="W43" s="94"/>
      <c r="X43"/>
      <c r="Y43"/>
      <c r="Z43" s="94"/>
      <c r="AA43"/>
      <c r="AB43" s="94"/>
      <c r="AC43" s="93"/>
      <c r="AD43"/>
    </row>
    <row r="44" ht="18" customHeight="1" spans="5:42">
      <c r="E44" s="250"/>
      <c r="F44" s="251"/>
      <c r="G44" s="252" t="s">
        <v>32</v>
      </c>
      <c r="H44"/>
      <c r="I44" s="258"/>
      <c r="J44" s="258"/>
      <c r="K44" s="259">
        <f>角色属性!X23</f>
        <v>0.204463138217081</v>
      </c>
      <c r="L44" s="228"/>
      <c r="M44" s="228"/>
      <c r="N44" s="228"/>
      <c r="O44" s="228"/>
      <c r="P44" s="259">
        <f>角色属性!Y23</f>
        <v>0.204463138217081</v>
      </c>
      <c r="Q44" s="264"/>
      <c r="R44" s="157" t="s">
        <v>109</v>
      </c>
      <c r="S44" s="136"/>
      <c r="T44" s="136"/>
      <c r="U44"/>
      <c r="V44"/>
      <c r="AD44" s="241"/>
    </row>
    <row r="45" ht="18" customHeight="1" spans="5:42">
      <c r="E45" s="250"/>
      <c r="F45" s="251"/>
      <c r="G45" s="252" t="s">
        <v>37</v>
      </c>
      <c r="H45"/>
      <c r="I45" s="258"/>
      <c r="J45" s="258"/>
      <c r="K45" s="259">
        <f>角色属性!X24</f>
        <v>0.696308196308196</v>
      </c>
      <c r="L45" s="228"/>
      <c r="M45" s="228"/>
      <c r="N45" s="228"/>
      <c r="O45" s="228"/>
      <c r="P45" s="259">
        <f>角色属性!Y24</f>
        <v>0.696308196308196</v>
      </c>
      <c r="Q45" s="264"/>
      <c r="R45" s="157"/>
      <c r="S45" s="257"/>
      <c r="T45" s="257"/>
      <c r="U45" s="93"/>
      <c r="V45" s="93"/>
      <c r="AD45" s="241"/>
    </row>
    <row r="46" ht="18" customHeight="1" spans="5:42">
      <c r="E46" s="250"/>
      <c r="F46" s="251"/>
      <c r="G46" s="252" t="s">
        <v>110</v>
      </c>
      <c r="H46"/>
      <c r="I46" s="265"/>
      <c r="J46" s="266"/>
      <c r="K46" s="267">
        <f>角色属性!X25</f>
        <v>56029</v>
      </c>
      <c r="L46" s="268"/>
      <c r="M46" s="268"/>
      <c r="N46" s="268"/>
      <c r="O46" s="268"/>
      <c r="P46" s="254" t="str">
        <f>角色属性!Y25</f>
        <v>56029</v>
      </c>
      <c r="Q46" s="256"/>
      <c r="R46" s="157"/>
      <c r="S46" s="136"/>
      <c r="T46" s="136"/>
      <c r="U46" s="93"/>
      <c r="V46" s="93"/>
      <c r="Z46" s="269"/>
      <c r="AA46" s="269"/>
      <c r="AD46" s="241"/>
    </row>
    <row r="47" ht="18" customHeight="1" spans="5:42">
      <c r="E47" s="250"/>
      <c r="F47" s="270"/>
      <c r="G47" s="271" t="s">
        <v>229</v>
      </c>
      <c r="H47" s="272" t="s">
        <v>230</v>
      </c>
      <c r="I47" s="273"/>
      <c r="J47" s="274"/>
      <c r="K47" s="275">
        <v>1476615</v>
      </c>
      <c r="L47" s="275"/>
      <c r="M47" s="276"/>
      <c r="N47" s="276"/>
      <c r="O47" s="276"/>
      <c r="P47"/>
      <c r="Q47"/>
      <c r="R47" s="157"/>
      <c r="U47" s="93"/>
      <c r="V47" s="93"/>
      <c r="AD47" s="241"/>
    </row>
    <row r="48" spans="5:42">
      <c r="E48" s="250"/>
      <c r="F48" s="270"/>
      <c r="G48" s="277"/>
      <c r="H48" s="278"/>
      <c r="I48" s="278"/>
      <c r="J48" s="279"/>
      <c r="K48" s="280"/>
      <c r="L48" s="280"/>
      <c r="M48" s="281"/>
      <c r="N48" s="281"/>
      <c r="O48" s="281"/>
      <c r="P48"/>
      <c r="Q48"/>
      <c r="W48" s="269"/>
      <c r="X48" s="269"/>
      <c r="Y48" s="269"/>
      <c r="AD48" s="241"/>
    </row>
    <row r="49" ht="18" customHeight="1" spans="5:30">
      <c r="E49" s="282"/>
      <c r="F49" s="283"/>
      <c r="G49" s="284" t="s">
        <v>231</v>
      </c>
      <c r="H49" s="285" t="s">
        <v>150</v>
      </c>
      <c r="I49" s="285"/>
      <c r="J49" s="286"/>
      <c r="K49" s="285" t="s">
        <v>150</v>
      </c>
      <c r="L49" s="285"/>
      <c r="M49" s="285"/>
      <c r="N49" s="285"/>
      <c r="O49" s="286"/>
      <c r="P49" s="287" t="s">
        <v>150</v>
      </c>
      <c r="Q49" s="286"/>
      <c r="R49" s="288" t="s">
        <v>232</v>
      </c>
      <c r="S49" s="288"/>
      <c r="T49" s="288"/>
      <c r="U49" s="288"/>
      <c r="V49" s="288"/>
      <c r="W49" s="288"/>
      <c r="X49" s="288"/>
      <c r="Y49" s="288"/>
      <c r="Z49" s="288"/>
      <c r="AA49" s="288"/>
      <c r="AB49" s="288"/>
      <c r="AC49" s="288"/>
      <c r="AD49" s="289"/>
    </row>
    <row r="50" ht="16.5" spans="5:30">
      <c r="E50" s="290"/>
      <c r="F50" s="142"/>
      <c r="G50" s="291"/>
      <c r="H50" s="292"/>
      <c r="I50" s="142"/>
      <c r="J50" s="142"/>
      <c r="K50" s="142"/>
      <c r="L50" s="142"/>
      <c r="M50" s="293"/>
      <c r="N50" s="293"/>
      <c r="O50" s="293"/>
      <c r="P50" s="142"/>
      <c r="Q50" s="142"/>
      <c r="R50" s="293"/>
      <c r="S50" s="293"/>
      <c r="T50" s="293"/>
      <c r="U50" s="142"/>
      <c r="V50" s="142"/>
      <c r="W50" s="142"/>
      <c r="X50" s="142"/>
      <c r="Y50" s="142"/>
      <c r="Z50" s="142"/>
      <c r="AA50" s="142"/>
      <c r="AB50" s="142"/>
      <c r="AC50" s="142"/>
      <c r="AD50" s="294"/>
    </row>
    <row r="51" ht="16.5" spans="5:30">
      <c r="E51" s="141"/>
      <c r="G51" s="295"/>
      <c r="H51" s="136"/>
      <c r="M51" s="150"/>
      <c r="N51" s="150"/>
      <c r="O51" s="150"/>
      <c r="R51" s="150"/>
      <c r="S51" s="150"/>
      <c r="T51" s="150"/>
      <c r="AD51" s="241"/>
    </row>
    <row r="52" ht="18" spans="5:30">
      <c r="E52" s="296" t="s">
        <v>233</v>
      </c>
      <c r="F52" s="297"/>
      <c r="G52" s="297"/>
      <c r="H52" s="297"/>
      <c r="I52" s="297"/>
      <c r="J52" s="297"/>
      <c r="K52" s="297"/>
      <c r="L52" s="297"/>
      <c r="M52" s="150"/>
      <c r="N52" s="150"/>
      <c r="O52" s="150"/>
      <c r="R52" s="150"/>
      <c r="S52" s="150"/>
      <c r="T52" s="150"/>
      <c r="AD52" s="241"/>
    </row>
    <row r="53" ht="18" spans="5:30">
      <c r="E53" s="296"/>
      <c r="F53" s="297"/>
      <c r="G53" s="297"/>
      <c r="H53" s="297"/>
      <c r="I53" s="297"/>
      <c r="J53" s="297"/>
      <c r="K53" s="297"/>
      <c r="L53" s="297"/>
      <c r="M53" s="150"/>
      <c r="N53" s="150"/>
      <c r="O53" s="150"/>
      <c r="R53" s="150"/>
      <c r="S53" s="150"/>
      <c r="T53" s="150"/>
      <c r="AD53" s="241"/>
    </row>
    <row r="54" ht="18" spans="5:30">
      <c r="E54" s="298" t="s">
        <v>234</v>
      </c>
      <c r="F54" s="299"/>
      <c r="G54" s="299"/>
      <c r="H54" s="255"/>
      <c r="I54" s="255"/>
      <c r="J54" s="255"/>
      <c r="K54" s="255"/>
      <c r="L54" s="255"/>
      <c r="M54" s="255"/>
      <c r="N54" s="255"/>
      <c r="O54" s="255"/>
      <c r="P54" s="139"/>
      <c r="R54" s="150"/>
      <c r="S54" s="150"/>
      <c r="T54" s="150"/>
      <c r="AD54" s="241"/>
    </row>
    <row r="55" ht="16.5" spans="5:30">
      <c r="E55" s="300" t="s">
        <v>235</v>
      </c>
      <c r="F55" s="154"/>
      <c r="G55" s="154"/>
      <c r="H55" s="154"/>
      <c r="I55" s="154"/>
      <c r="J55" s="154"/>
      <c r="K55" s="154"/>
      <c r="L55" s="154"/>
      <c r="M55" s="154"/>
      <c r="N55" s="154"/>
      <c r="O55" s="154"/>
      <c r="P55" s="154"/>
      <c r="Q55" s="154"/>
      <c r="R55" s="154"/>
      <c r="S55" s="154"/>
      <c r="T55" s="154"/>
      <c r="U55" s="154"/>
      <c r="V55" s="154"/>
      <c r="W55" s="154"/>
      <c r="X55" s="154"/>
      <c r="Y55" s="154"/>
      <c r="Z55" s="154"/>
      <c r="AA55" s="154"/>
      <c r="AB55" s="154"/>
      <c r="AC55" s="154"/>
      <c r="AD55" s="170"/>
    </row>
    <row r="56" spans="5:30">
      <c r="E56" s="301"/>
      <c r="F56" s="302"/>
      <c r="G56" s="302"/>
      <c r="H56" s="302"/>
      <c r="I56" s="302"/>
      <c r="J56" s="302"/>
      <c r="K56" s="302"/>
      <c r="L56" s="302"/>
      <c r="M56" s="302"/>
      <c r="N56" s="302"/>
      <c r="O56" s="302"/>
      <c r="P56" s="139"/>
      <c r="AD56" s="241"/>
    </row>
    <row r="57" spans="5:30">
      <c r="E57" s="301"/>
      <c r="F57" s="302"/>
      <c r="G57" s="302"/>
      <c r="H57" s="302"/>
      <c r="I57" s="302"/>
      <c r="J57" s="302"/>
      <c r="K57" s="302"/>
      <c r="L57" s="302"/>
      <c r="M57" s="302"/>
      <c r="N57" s="302"/>
      <c r="O57" s="302"/>
      <c r="P57" s="139"/>
      <c r="AD57" s="241"/>
    </row>
    <row r="58" spans="5:30">
      <c r="E58" s="301"/>
      <c r="F58" s="302"/>
      <c r="G58" s="302"/>
      <c r="H58" s="302"/>
      <c r="I58" s="302"/>
      <c r="J58" s="302"/>
      <c r="K58" s="302"/>
      <c r="L58" s="302"/>
      <c r="M58" s="302"/>
      <c r="N58" s="302"/>
      <c r="O58" s="302"/>
      <c r="P58" s="139"/>
      <c r="AD58" s="241"/>
    </row>
    <row r="59" spans="5:30">
      <c r="E59" s="301"/>
      <c r="F59" s="302"/>
      <c r="G59" s="302"/>
      <c r="H59" s="302"/>
      <c r="I59" s="302"/>
      <c r="J59" s="302"/>
      <c r="K59" s="302"/>
      <c r="L59" s="302"/>
      <c r="M59" s="302"/>
      <c r="N59" s="302"/>
      <c r="O59" s="302"/>
      <c r="P59" s="139"/>
      <c r="AD59" s="241"/>
    </row>
    <row r="60" spans="5:30">
      <c r="E60" s="301"/>
      <c r="F60" s="302"/>
      <c r="G60" s="302"/>
      <c r="H60" s="302"/>
      <c r="I60" s="302"/>
      <c r="J60" s="302"/>
      <c r="K60" s="302"/>
      <c r="L60" s="302"/>
      <c r="M60" s="302"/>
      <c r="N60" s="302"/>
      <c r="O60" s="302"/>
      <c r="P60" s="139"/>
      <c r="AD60" s="241"/>
    </row>
    <row r="61" spans="5:30">
      <c r="E61" s="301"/>
      <c r="F61" s="302"/>
      <c r="G61" s="302"/>
      <c r="H61" s="302"/>
      <c r="I61" s="302"/>
      <c r="J61" s="302"/>
      <c r="K61" s="302"/>
      <c r="L61" s="302"/>
      <c r="M61" s="302"/>
      <c r="N61" s="302"/>
      <c r="O61" s="302"/>
      <c r="P61" s="139"/>
      <c r="AD61" s="241"/>
    </row>
    <row r="62" spans="5:30">
      <c r="E62" s="301"/>
      <c r="F62" s="302"/>
      <c r="G62" s="302"/>
      <c r="H62" s="302"/>
      <c r="I62" s="302"/>
      <c r="J62" s="302"/>
      <c r="K62" s="302"/>
      <c r="L62" s="302"/>
      <c r="M62" s="302"/>
      <c r="N62" s="302"/>
      <c r="O62" s="302"/>
      <c r="P62" s="139"/>
      <c r="AD62" s="241"/>
    </row>
    <row r="63" spans="5:30">
      <c r="E63" s="301"/>
      <c r="F63" s="302"/>
      <c r="G63" s="302"/>
      <c r="H63" s="302"/>
      <c r="I63" s="302"/>
      <c r="J63" s="302"/>
      <c r="K63" s="302"/>
      <c r="L63" s="302"/>
      <c r="M63" s="302"/>
      <c r="N63" s="302"/>
      <c r="O63" s="302"/>
      <c r="P63" s="139"/>
      <c r="AD63" s="241"/>
    </row>
    <row r="64" spans="5:30">
      <c r="E64" s="301"/>
      <c r="F64" s="302"/>
      <c r="G64" s="302"/>
      <c r="H64" s="302"/>
      <c r="I64" s="302"/>
      <c r="J64" s="302"/>
      <c r="K64" s="302"/>
      <c r="L64" s="302"/>
      <c r="M64" s="302"/>
      <c r="N64" s="302"/>
      <c r="O64" s="302"/>
      <c r="P64" s="139"/>
      <c r="AD64" s="241"/>
    </row>
    <row r="65" ht="18" spans="5:30">
      <c r="E65" s="298" t="s">
        <v>236</v>
      </c>
      <c r="F65" s="299"/>
      <c r="G65" s="299"/>
      <c r="H65" s="303"/>
      <c r="I65" s="303"/>
      <c r="J65" s="303"/>
      <c r="K65" s="303"/>
      <c r="L65" s="303"/>
      <c r="M65" s="303"/>
      <c r="N65" s="303"/>
      <c r="O65" s="303"/>
      <c r="P65" s="139"/>
      <c r="AD65" s="241"/>
    </row>
    <row r="66" ht="16.5" spans="5:30">
      <c r="E66" s="300" t="s">
        <v>237</v>
      </c>
      <c r="F66" s="154"/>
      <c r="G66" s="154"/>
      <c r="H66" s="154"/>
      <c r="I66" s="154"/>
      <c r="J66" s="154"/>
      <c r="K66" s="154"/>
      <c r="L66" s="154"/>
      <c r="M66" s="154"/>
      <c r="N66" s="154"/>
      <c r="O66" s="154"/>
      <c r="P66" s="139"/>
      <c r="AD66" s="241"/>
    </row>
    <row r="67" ht="16.5" spans="5:30">
      <c r="E67" s="304" t="s">
        <v>238</v>
      </c>
      <c r="F67" s="305"/>
      <c r="G67" s="305"/>
      <c r="H67" s="305"/>
      <c r="I67" s="305"/>
      <c r="J67" s="305"/>
      <c r="K67" s="305"/>
      <c r="L67" s="305"/>
      <c r="M67" s="305"/>
      <c r="N67" s="305"/>
      <c r="O67" s="305"/>
      <c r="P67" s="139"/>
      <c r="AD67" s="241"/>
    </row>
    <row r="68" ht="18" spans="5:30">
      <c r="E68" s="306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139"/>
      <c r="AD68" s="241"/>
    </row>
    <row r="69" ht="18" spans="5:30">
      <c r="E69" s="306"/>
      <c r="F69" s="303"/>
      <c r="G69" s="303"/>
      <c r="H69" s="303"/>
      <c r="I69" s="303"/>
      <c r="J69" s="303"/>
      <c r="K69" s="303"/>
      <c r="L69" s="303"/>
      <c r="M69" s="303"/>
      <c r="N69" s="303"/>
      <c r="O69" s="303"/>
      <c r="P69" s="139"/>
      <c r="AD69" s="241"/>
    </row>
    <row r="70" ht="18" spans="5:30">
      <c r="E70" s="306"/>
      <c r="F70" s="303"/>
      <c r="G70" s="303"/>
      <c r="H70" s="303"/>
      <c r="I70" s="303"/>
      <c r="J70" s="303"/>
      <c r="K70" s="303"/>
      <c r="L70" s="303"/>
      <c r="M70" s="303"/>
      <c r="N70" s="303"/>
      <c r="O70" s="303"/>
      <c r="P70" s="139"/>
      <c r="AD70" s="241"/>
    </row>
    <row r="71" ht="18" spans="5:30">
      <c r="E71" s="306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139"/>
      <c r="AD71" s="241"/>
    </row>
    <row r="72" ht="18" spans="5:30">
      <c r="E72" s="306"/>
      <c r="F72" s="303"/>
      <c r="G72" s="303"/>
      <c r="H72" s="303"/>
      <c r="I72" s="303"/>
      <c r="J72" s="303"/>
      <c r="K72" s="303"/>
      <c r="L72" s="303"/>
      <c r="M72" s="303"/>
      <c r="N72" s="303"/>
      <c r="O72" s="303"/>
      <c r="P72" s="139"/>
      <c r="AD72" s="241"/>
    </row>
    <row r="73" ht="18" spans="5:30">
      <c r="E73" s="306"/>
      <c r="F73" s="303"/>
      <c r="G73" s="303"/>
      <c r="H73" s="303"/>
      <c r="I73" s="303"/>
      <c r="J73" s="303"/>
      <c r="K73" s="303"/>
      <c r="L73" s="303"/>
      <c r="M73" s="303"/>
      <c r="N73" s="303"/>
      <c r="O73" s="303"/>
      <c r="P73" s="139"/>
      <c r="AD73" s="241"/>
    </row>
    <row r="74" ht="18" spans="5:30">
      <c r="E74" s="306"/>
      <c r="F74" s="303"/>
      <c r="G74" s="303"/>
      <c r="H74" s="303"/>
      <c r="I74" s="303"/>
      <c r="J74" s="303"/>
      <c r="K74" s="303"/>
      <c r="L74" s="303"/>
      <c r="M74" s="303"/>
      <c r="N74" s="303"/>
      <c r="O74" s="303"/>
      <c r="P74" s="139"/>
      <c r="AD74" s="241"/>
    </row>
    <row r="75" ht="16.5" spans="5:30">
      <c r="E75" s="304" t="s">
        <v>239</v>
      </c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139"/>
      <c r="AD75" s="241"/>
    </row>
    <row r="76" spans="5:30">
      <c r="E76" s="301"/>
      <c r="F76" s="302"/>
      <c r="G76" s="302"/>
      <c r="H76" s="302"/>
      <c r="I76" s="302"/>
      <c r="J76" s="302"/>
      <c r="K76" s="302"/>
      <c r="L76" s="302"/>
      <c r="M76" s="302"/>
      <c r="N76" s="302"/>
      <c r="O76" s="302"/>
      <c r="P76" s="139"/>
      <c r="AD76" s="241"/>
    </row>
    <row r="77" spans="5:30">
      <c r="E77" s="301"/>
      <c r="F77" s="302"/>
      <c r="G77" s="302"/>
      <c r="H77" s="302"/>
      <c r="I77" s="302"/>
      <c r="J77" s="302"/>
      <c r="K77" s="302"/>
      <c r="L77" s="302"/>
      <c r="M77" s="302"/>
      <c r="N77" s="302"/>
      <c r="O77" s="302"/>
      <c r="P77" s="139"/>
      <c r="AD77" s="241"/>
    </row>
    <row r="78" spans="5:30">
      <c r="E78" s="301"/>
      <c r="F78" s="302"/>
      <c r="G78" s="302"/>
      <c r="H78" s="302"/>
      <c r="I78" s="302"/>
      <c r="J78" s="302"/>
      <c r="K78" s="302"/>
      <c r="L78" s="302"/>
      <c r="M78" s="302"/>
      <c r="N78" s="302"/>
      <c r="O78" s="302"/>
      <c r="P78" s="139"/>
      <c r="AD78" s="241"/>
    </row>
    <row r="79" spans="5:30">
      <c r="E79" s="301"/>
      <c r="F79" s="302"/>
      <c r="G79" s="302"/>
      <c r="H79" s="302"/>
      <c r="I79" s="302"/>
      <c r="J79" s="302"/>
      <c r="K79" s="302"/>
      <c r="L79" s="302"/>
      <c r="M79" s="302"/>
      <c r="N79" s="302"/>
      <c r="O79" s="302"/>
      <c r="P79" s="139"/>
      <c r="AD79" s="241"/>
    </row>
    <row r="80" spans="5:30">
      <c r="E80" s="301"/>
      <c r="F80" s="302"/>
      <c r="G80" s="302"/>
      <c r="H80" s="302"/>
      <c r="I80" s="302"/>
      <c r="J80" s="302"/>
      <c r="K80" s="302"/>
      <c r="L80" s="302"/>
      <c r="M80" s="302"/>
      <c r="N80" s="302"/>
      <c r="O80" s="302"/>
      <c r="P80" s="139"/>
      <c r="AD80" s="241"/>
    </row>
    <row r="81" spans="5:30">
      <c r="E81" s="301"/>
      <c r="F81" s="302"/>
      <c r="G81" s="302"/>
      <c r="H81" s="302"/>
      <c r="I81" s="302"/>
      <c r="J81" s="302"/>
      <c r="K81" s="302"/>
      <c r="L81" s="302"/>
      <c r="M81" s="302"/>
      <c r="N81" s="302"/>
      <c r="O81" s="302"/>
      <c r="P81" s="139"/>
      <c r="AD81" s="241"/>
    </row>
    <row r="82" spans="5:30">
      <c r="E82" s="301"/>
      <c r="F82" s="302"/>
      <c r="G82" s="302"/>
      <c r="H82" s="302"/>
      <c r="I82" s="302"/>
      <c r="J82" s="302"/>
      <c r="K82" s="302"/>
      <c r="L82" s="302"/>
      <c r="M82" s="302"/>
      <c r="N82" s="302"/>
      <c r="O82" s="302"/>
      <c r="P82" s="139"/>
      <c r="AD82" s="241"/>
    </row>
    <row r="83" spans="5:30">
      <c r="E83" s="301"/>
      <c r="F83" s="302"/>
      <c r="G83" s="302"/>
      <c r="H83" s="302"/>
      <c r="I83" s="302"/>
      <c r="J83" s="302"/>
      <c r="K83" s="302"/>
      <c r="L83" s="302"/>
      <c r="M83" s="302"/>
      <c r="N83" s="302"/>
      <c r="O83" s="302"/>
      <c r="P83" s="139"/>
      <c r="AD83" s="241"/>
    </row>
    <row r="84" spans="5:30">
      <c r="E84" s="301"/>
      <c r="F84" s="302"/>
      <c r="G84" s="302"/>
      <c r="H84" s="302"/>
      <c r="I84" s="302"/>
      <c r="J84" s="302"/>
      <c r="K84" s="302"/>
      <c r="L84" s="302"/>
      <c r="M84" s="302"/>
      <c r="N84" s="302"/>
      <c r="O84" s="302"/>
      <c r="P84" s="139"/>
      <c r="AD84" s="241"/>
    </row>
    <row r="85" spans="5:30">
      <c r="E85" s="301"/>
      <c r="F85" s="302"/>
      <c r="G85" s="302"/>
      <c r="H85" s="302"/>
      <c r="I85" s="302"/>
      <c r="J85" s="302"/>
      <c r="K85" s="302"/>
      <c r="L85" s="302"/>
      <c r="M85" s="302"/>
      <c r="N85" s="302"/>
      <c r="O85" s="302"/>
      <c r="P85" s="139"/>
      <c r="AD85" s="241"/>
    </row>
    <row r="86" spans="5:30">
      <c r="E86" s="301"/>
      <c r="F86" s="302"/>
      <c r="G86" s="302"/>
      <c r="H86" s="302"/>
      <c r="I86" s="302"/>
      <c r="J86" s="302"/>
      <c r="K86" s="302"/>
      <c r="L86" s="302"/>
      <c r="M86" s="302"/>
      <c r="N86" s="302"/>
      <c r="O86" s="302"/>
      <c r="P86" s="139"/>
      <c r="AD86" s="241"/>
    </row>
    <row r="87" spans="5:30">
      <c r="E87" s="301"/>
      <c r="F87" s="302"/>
      <c r="G87" s="302"/>
      <c r="H87" s="302"/>
      <c r="I87" s="302"/>
      <c r="J87" s="302"/>
      <c r="K87" s="302"/>
      <c r="L87" s="302"/>
      <c r="M87" s="302"/>
      <c r="N87" s="302"/>
      <c r="O87" s="302"/>
      <c r="P87" s="139"/>
      <c r="AD87" s="241"/>
    </row>
    <row r="88" spans="5:30">
      <c r="E88" s="301"/>
      <c r="F88" s="302"/>
      <c r="G88" s="302"/>
      <c r="H88" s="302"/>
      <c r="I88" s="302"/>
      <c r="J88" s="302"/>
      <c r="K88" s="302"/>
      <c r="L88" s="302"/>
      <c r="M88" s="302"/>
      <c r="N88" s="302"/>
      <c r="O88" s="302"/>
      <c r="P88" s="139"/>
      <c r="AD88" s="241"/>
    </row>
    <row r="89" ht="16.5" spans="5:30">
      <c r="E89" s="304" t="s">
        <v>240</v>
      </c>
      <c r="F89" s="305"/>
      <c r="G89" s="305"/>
      <c r="H89" s="305"/>
      <c r="I89" s="305"/>
      <c r="J89" s="305"/>
      <c r="K89" s="305"/>
      <c r="L89" s="305"/>
      <c r="M89" s="305"/>
      <c r="N89" s="305"/>
      <c r="O89" s="305"/>
      <c r="P89" s="139"/>
      <c r="AD89" s="241"/>
    </row>
    <row r="90" spans="5:30">
      <c r="E90" s="307"/>
      <c r="F90" s="139"/>
      <c r="G90" s="139"/>
      <c r="H90" s="139"/>
      <c r="I90" s="139"/>
      <c r="J90" s="139"/>
      <c r="K90" s="139"/>
      <c r="L90" s="139"/>
      <c r="M90" s="139"/>
      <c r="N90" s="139"/>
      <c r="O90" s="139"/>
      <c r="P90" s="139"/>
      <c r="AD90" s="241"/>
    </row>
    <row r="91" spans="5:30">
      <c r="E91" s="307"/>
      <c r="F91" s="139"/>
      <c r="G91" s="139"/>
      <c r="H91" s="139"/>
      <c r="I91" s="139"/>
      <c r="J91" s="139"/>
      <c r="K91" s="139"/>
      <c r="L91" s="139"/>
      <c r="M91" s="139"/>
      <c r="N91" s="139"/>
      <c r="O91" s="139"/>
      <c r="P91" s="139"/>
      <c r="AD91" s="241"/>
    </row>
    <row r="92" spans="5:30">
      <c r="E92" s="307"/>
      <c r="F92" s="139"/>
      <c r="G92" s="139"/>
      <c r="H92" s="139"/>
      <c r="I92" s="139"/>
      <c r="J92" s="139"/>
      <c r="K92" s="139"/>
      <c r="L92" s="139"/>
      <c r="M92" s="139"/>
      <c r="N92" s="139"/>
      <c r="O92" s="139"/>
      <c r="P92" s="139"/>
      <c r="AD92" s="241"/>
    </row>
    <row r="93" spans="5:30">
      <c r="E93" s="307"/>
      <c r="F93" s="139"/>
      <c r="G93" s="139"/>
      <c r="H93" s="139"/>
      <c r="I93" s="139"/>
      <c r="J93" s="139"/>
      <c r="K93" s="139"/>
      <c r="L93" s="139"/>
      <c r="M93" s="139"/>
      <c r="N93" s="139"/>
      <c r="O93" s="139"/>
      <c r="P93" s="139"/>
      <c r="AD93" s="241"/>
    </row>
    <row r="94" spans="5:30">
      <c r="E94" s="307"/>
      <c r="F94" s="139"/>
      <c r="G94" s="139"/>
      <c r="H94" s="139"/>
      <c r="I94" s="139"/>
      <c r="J94" s="139"/>
      <c r="K94" s="139"/>
      <c r="L94" s="139"/>
      <c r="M94" s="139"/>
      <c r="N94" s="139"/>
      <c r="O94" s="139"/>
      <c r="P94" s="139"/>
      <c r="AD94" s="241"/>
    </row>
    <row r="95" spans="5:30">
      <c r="E95" s="307"/>
      <c r="F95" s="139"/>
      <c r="G95" s="139"/>
      <c r="H95" s="139"/>
      <c r="I95" s="139"/>
      <c r="J95" s="139"/>
      <c r="K95" s="139"/>
      <c r="L95" s="139"/>
      <c r="M95" s="139"/>
      <c r="N95" s="139"/>
      <c r="O95" s="139"/>
      <c r="P95" s="139"/>
      <c r="AD95" s="241"/>
    </row>
    <row r="96" spans="5:30">
      <c r="E96" s="307"/>
      <c r="F96" s="139"/>
      <c r="G96" s="139"/>
      <c r="H96" s="139"/>
      <c r="I96" s="139"/>
      <c r="J96" s="139"/>
      <c r="K96" s="139"/>
      <c r="L96" s="139"/>
      <c r="M96" s="139"/>
      <c r="N96" s="139"/>
      <c r="O96" s="139"/>
      <c r="P96" s="139"/>
      <c r="AD96" s="241"/>
    </row>
    <row r="97" spans="5:30">
      <c r="E97" s="307"/>
      <c r="F97" s="139"/>
      <c r="G97" s="139"/>
      <c r="H97" s="139"/>
      <c r="I97" s="139"/>
      <c r="J97" s="139"/>
      <c r="K97" s="139"/>
      <c r="L97" s="139"/>
      <c r="M97" s="139"/>
      <c r="N97" s="139"/>
      <c r="O97" s="139"/>
      <c r="P97" s="139"/>
      <c r="AD97" s="241"/>
    </row>
    <row r="98" spans="5:30">
      <c r="E98" s="307"/>
      <c r="F98" s="139"/>
      <c r="G98" s="139"/>
      <c r="H98" s="139"/>
      <c r="I98" s="139"/>
      <c r="J98" s="139"/>
      <c r="K98" s="139"/>
      <c r="L98" s="139"/>
      <c r="M98" s="139"/>
      <c r="N98" s="139"/>
      <c r="O98" s="139"/>
      <c r="P98" s="139"/>
      <c r="AD98" s="241"/>
    </row>
    <row r="99" spans="5:30">
      <c r="E99" s="307"/>
      <c r="F99" s="139"/>
      <c r="G99" s="139"/>
      <c r="H99" s="139"/>
      <c r="I99" s="139"/>
      <c r="J99" s="139"/>
      <c r="K99" s="139"/>
      <c r="L99" s="139"/>
      <c r="M99" s="139"/>
      <c r="N99" s="139"/>
      <c r="O99" s="139"/>
      <c r="P99" s="139"/>
      <c r="AD99" s="241"/>
    </row>
    <row r="100" spans="5:30">
      <c r="E100" s="307"/>
      <c r="F100" s="139"/>
      <c r="G100" s="139"/>
      <c r="H100" s="139"/>
      <c r="I100" s="139"/>
      <c r="J100" s="139"/>
      <c r="K100" s="139"/>
      <c r="L100" s="139"/>
      <c r="M100" s="139"/>
      <c r="N100" s="139"/>
      <c r="O100" s="139"/>
      <c r="P100" s="139"/>
      <c r="AD100" s="241"/>
    </row>
    <row r="101" spans="5:30">
      <c r="E101" s="307"/>
      <c r="F101" s="139"/>
      <c r="G101" s="139"/>
      <c r="H101" s="139"/>
      <c r="I101" s="139"/>
      <c r="J101" s="139"/>
      <c r="K101" s="139"/>
      <c r="L101" s="139"/>
      <c r="M101" s="139"/>
      <c r="N101" s="139"/>
      <c r="O101" s="139"/>
      <c r="P101" s="139"/>
      <c r="AD101" s="241"/>
    </row>
    <row r="102" spans="5:30">
      <c r="E102" s="307"/>
      <c r="F102" s="139"/>
      <c r="G102" s="139"/>
      <c r="H102" s="139"/>
      <c r="I102" s="139"/>
      <c r="J102" s="139"/>
      <c r="K102" s="139"/>
      <c r="L102" s="139"/>
      <c r="M102" s="139"/>
      <c r="N102" s="139"/>
      <c r="O102" s="139"/>
      <c r="P102" s="139"/>
      <c r="AD102" s="241"/>
    </row>
    <row r="103" spans="5:30">
      <c r="E103" s="307"/>
      <c r="F103" s="139"/>
      <c r="G103" s="139"/>
      <c r="H103" s="139"/>
      <c r="I103" s="139"/>
      <c r="J103" s="139"/>
      <c r="K103" s="139"/>
      <c r="L103" s="139"/>
      <c r="M103" s="139"/>
      <c r="N103" s="139"/>
      <c r="O103" s="139"/>
      <c r="P103" s="139"/>
      <c r="AD103" s="241"/>
    </row>
    <row r="104" spans="5:30">
      <c r="E104" s="141"/>
      <c r="P104" s="139"/>
      <c r="AD104" s="241"/>
    </row>
    <row r="105" spans="5:30">
      <c r="E105" s="307"/>
      <c r="F105" s="139"/>
      <c r="G105" s="139"/>
      <c r="H105" s="139"/>
      <c r="I105" s="139"/>
      <c r="J105" s="139"/>
      <c r="K105" s="139"/>
      <c r="L105" s="139"/>
      <c r="M105" s="139"/>
      <c r="N105" s="139"/>
      <c r="O105" s="139"/>
      <c r="P105" s="139"/>
      <c r="AD105" s="241"/>
    </row>
    <row r="106" ht="16.5" spans="5:30">
      <c r="E106" s="304" t="s">
        <v>241</v>
      </c>
      <c r="F106" s="305"/>
      <c r="G106" s="305"/>
      <c r="H106" s="305"/>
      <c r="I106" s="305"/>
      <c r="J106" s="305"/>
      <c r="K106" s="305"/>
      <c r="L106" s="305"/>
      <c r="M106" s="305"/>
      <c r="N106" s="305"/>
      <c r="O106" s="305"/>
      <c r="P106" s="139"/>
      <c r="AD106" s="241"/>
    </row>
    <row r="107" spans="5:30">
      <c r="E107" s="307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AD107" s="241"/>
    </row>
    <row r="108" spans="5:30">
      <c r="E108" s="307"/>
      <c r="F108" s="139"/>
      <c r="G108" s="139"/>
      <c r="H108" s="139"/>
      <c r="I108" s="139"/>
      <c r="J108" s="139"/>
      <c r="K108" s="139"/>
      <c r="L108" s="139"/>
      <c r="M108" s="139"/>
      <c r="N108" s="139"/>
      <c r="O108" s="139"/>
      <c r="P108" s="139"/>
      <c r="AD108" s="241"/>
    </row>
    <row r="109" spans="5:30">
      <c r="E109" s="141"/>
      <c r="P109" s="139"/>
      <c r="AD109" s="241"/>
    </row>
    <row r="110" spans="5:30">
      <c r="E110" s="301"/>
      <c r="F110" s="302"/>
      <c r="G110" s="302"/>
      <c r="H110" s="302"/>
      <c r="I110" s="302"/>
      <c r="J110" s="302"/>
      <c r="K110" s="302"/>
      <c r="L110" s="302"/>
      <c r="M110" s="302"/>
      <c r="N110" s="302"/>
      <c r="O110" s="302"/>
      <c r="P110" s="139"/>
      <c r="AD110" s="241"/>
    </row>
    <row r="111" spans="5:30">
      <c r="E111" s="301"/>
      <c r="F111" s="302"/>
      <c r="G111" s="302"/>
      <c r="H111" s="302"/>
      <c r="I111" s="302"/>
      <c r="J111" s="302"/>
      <c r="K111" s="302"/>
      <c r="L111" s="302"/>
      <c r="M111" s="302"/>
      <c r="N111" s="302"/>
      <c r="O111" s="302"/>
      <c r="P111" s="139"/>
      <c r="AD111" s="241"/>
    </row>
    <row r="112" spans="5:30">
      <c r="E112" s="301"/>
      <c r="F112" s="302"/>
      <c r="G112" s="302"/>
      <c r="H112" s="302"/>
      <c r="I112" s="302"/>
      <c r="J112" s="302"/>
      <c r="K112" s="302"/>
      <c r="L112" s="302"/>
      <c r="M112" s="302"/>
      <c r="N112" s="302"/>
      <c r="O112" s="302"/>
      <c r="P112" s="139"/>
      <c r="AD112" s="241"/>
    </row>
    <row r="113" spans="5:30">
      <c r="E113" s="301"/>
      <c r="F113" s="302"/>
      <c r="G113" s="302"/>
      <c r="H113" s="302"/>
      <c r="I113" s="302"/>
      <c r="J113" s="302"/>
      <c r="K113" s="302"/>
      <c r="L113" s="302"/>
      <c r="M113" s="302"/>
      <c r="N113" s="302"/>
      <c r="O113" s="302"/>
      <c r="P113" s="139"/>
      <c r="AD113" s="241"/>
    </row>
    <row r="114" spans="5:30">
      <c r="E114" s="301"/>
      <c r="F114" s="302"/>
      <c r="G114" s="302"/>
      <c r="H114" s="302"/>
      <c r="I114" s="302"/>
      <c r="J114" s="302"/>
      <c r="K114" s="302"/>
      <c r="L114" s="302"/>
      <c r="M114" s="302"/>
      <c r="N114" s="302"/>
      <c r="O114" s="302"/>
      <c r="P114" s="139"/>
      <c r="AD114" s="241"/>
    </row>
    <row r="115" spans="5:30">
      <c r="E115" s="301"/>
      <c r="F115" s="302"/>
      <c r="G115" s="302"/>
      <c r="H115" s="302"/>
      <c r="I115" s="302"/>
      <c r="J115" s="302"/>
      <c r="K115" s="302"/>
      <c r="L115" s="302"/>
      <c r="M115" s="302"/>
      <c r="N115" s="302"/>
      <c r="O115" s="302"/>
      <c r="P115" s="139"/>
      <c r="AD115" s="241"/>
    </row>
    <row r="116" spans="5:30">
      <c r="E116" s="301"/>
      <c r="F116" s="302"/>
      <c r="G116" s="302"/>
      <c r="H116" s="302"/>
      <c r="I116" s="302"/>
      <c r="J116" s="302"/>
      <c r="K116" s="302"/>
      <c r="L116" s="302"/>
      <c r="M116" s="302"/>
      <c r="N116" s="302"/>
      <c r="O116" s="302"/>
      <c r="P116" s="139"/>
      <c r="AD116" s="241"/>
    </row>
    <row r="117" spans="5:30">
      <c r="E117" s="301"/>
      <c r="F117" s="302"/>
      <c r="G117" s="302"/>
      <c r="H117" s="302"/>
      <c r="I117" s="302"/>
      <c r="J117" s="302"/>
      <c r="K117" s="302"/>
      <c r="L117" s="302"/>
      <c r="M117" s="302"/>
      <c r="N117" s="302"/>
      <c r="O117" s="302"/>
      <c r="P117" s="139"/>
      <c r="AD117" s="241"/>
    </row>
    <row r="118" spans="5:30">
      <c r="E118" s="301"/>
      <c r="F118" s="302"/>
      <c r="G118" s="302"/>
      <c r="H118" s="302"/>
      <c r="I118" s="302"/>
      <c r="J118" s="302"/>
      <c r="K118" s="302"/>
      <c r="L118" s="302"/>
      <c r="M118" s="302"/>
      <c r="N118" s="302"/>
      <c r="O118" s="302"/>
      <c r="P118" s="139"/>
      <c r="AD118" s="241"/>
    </row>
    <row r="119" spans="5:30">
      <c r="E119" s="301"/>
      <c r="F119" s="302"/>
      <c r="G119" s="302"/>
      <c r="H119" s="302"/>
      <c r="I119" s="302"/>
      <c r="J119" s="302"/>
      <c r="K119" s="302"/>
      <c r="L119" s="302"/>
      <c r="M119" s="302"/>
      <c r="N119" s="302"/>
      <c r="O119" s="302"/>
      <c r="P119" s="139"/>
      <c r="AD119" s="241"/>
    </row>
    <row r="120" spans="5:30">
      <c r="E120" s="301"/>
      <c r="F120" s="302"/>
      <c r="G120" s="302"/>
      <c r="H120" s="302"/>
      <c r="I120" s="302"/>
      <c r="J120" s="302"/>
      <c r="K120" s="302"/>
      <c r="L120" s="302"/>
      <c r="M120" s="302"/>
      <c r="N120" s="302"/>
      <c r="O120" s="302"/>
      <c r="P120" s="139"/>
      <c r="AD120" s="241"/>
    </row>
    <row r="121" spans="5:30">
      <c r="E121" s="308"/>
      <c r="F121" s="309"/>
      <c r="G121" s="309"/>
      <c r="H121" s="309"/>
      <c r="I121" s="309"/>
      <c r="J121" s="309"/>
      <c r="K121" s="309"/>
      <c r="L121" s="309"/>
      <c r="M121" s="309"/>
      <c r="N121" s="309"/>
      <c r="O121" s="309"/>
      <c r="P121" s="310"/>
      <c r="Q121" s="140"/>
      <c r="R121" s="140"/>
      <c r="S121" s="140"/>
      <c r="T121" s="140"/>
      <c r="U121" s="140"/>
      <c r="V121" s="140"/>
      <c r="W121" s="140"/>
      <c r="X121" s="140"/>
      <c r="Y121" s="140"/>
      <c r="Z121" s="140"/>
      <c r="AA121" s="140"/>
      <c r="AB121" s="140"/>
      <c r="AC121" s="140"/>
      <c r="AD121" s="311"/>
    </row>
  </sheetData>
  <mergeCells count="221">
    <mergeCell ref="E2:F2"/>
    <mergeCell ref="G2:K2"/>
    <mergeCell ref="M2:P2"/>
    <mergeCell ref="Q2:R2"/>
    <mergeCell ref="U2:V2"/>
    <mergeCell ref="W2:AD2"/>
    <mergeCell ref="AF2:AG2"/>
    <mergeCell ref="H3:L3"/>
    <mergeCell ref="Q3:R3"/>
    <mergeCell ref="T3:U3"/>
    <mergeCell ref="W3:AD3"/>
    <mergeCell ref="AF3:AG3"/>
    <mergeCell ref="H4:L4"/>
    <mergeCell ref="T4:U4"/>
    <mergeCell ref="AC4:AD4"/>
    <mergeCell ref="H5:L5"/>
    <mergeCell ref="T5:U5"/>
    <mergeCell ref="H6:L6"/>
    <mergeCell ref="T6:U6"/>
    <mergeCell ref="W6:AD6"/>
    <mergeCell ref="H7:L7"/>
    <mergeCell ref="T7:U7"/>
    <mergeCell ref="AC7:AD7"/>
    <mergeCell ref="H8:L8"/>
    <mergeCell ref="Q8:R8"/>
    <mergeCell ref="T8:U8"/>
    <mergeCell ref="AA8:AB8"/>
    <mergeCell ref="H9:L9"/>
    <mergeCell ref="T9:U9"/>
    <mergeCell ref="X9:AD9"/>
    <mergeCell ref="H10:L10"/>
    <mergeCell ref="T10:U10"/>
    <mergeCell ref="W10:AD10"/>
    <mergeCell ref="H11:L11"/>
    <mergeCell ref="Q11:R11"/>
    <mergeCell ref="T11:U11"/>
    <mergeCell ref="AC11:AD11"/>
    <mergeCell ref="E12:F12"/>
    <mergeCell ref="H12:L12"/>
    <mergeCell ref="T12:U12"/>
    <mergeCell ref="E13:F13"/>
    <mergeCell ref="H13:L13"/>
    <mergeCell ref="T13:U13"/>
    <mergeCell ref="E14:F14"/>
    <mergeCell ref="H14:L14"/>
    <mergeCell ref="T14:U14"/>
    <mergeCell ref="W14:AD14"/>
    <mergeCell ref="E15:F15"/>
    <mergeCell ref="G15:H15"/>
    <mergeCell ref="I15:L15"/>
    <mergeCell ref="M15:R15"/>
    <mergeCell ref="U15:AD15"/>
    <mergeCell ref="E16:F16"/>
    <mergeCell ref="G16:H16"/>
    <mergeCell ref="M16:P16"/>
    <mergeCell ref="Q16:R16"/>
    <mergeCell ref="U16:V16"/>
    <mergeCell ref="W16:Y16"/>
    <mergeCell ref="AB16:AD16"/>
    <mergeCell ref="E17:F17"/>
    <mergeCell ref="G17:H17"/>
    <mergeCell ref="M17:P17"/>
    <mergeCell ref="Q17:R17"/>
    <mergeCell ref="X17:Y17"/>
    <mergeCell ref="AB17:AD17"/>
    <mergeCell ref="AG17:AJ17"/>
    <mergeCell ref="E18:F18"/>
    <mergeCell ref="G18:H18"/>
    <mergeCell ref="M18:P18"/>
    <mergeCell ref="Q18:R18"/>
    <mergeCell ref="X18:Y18"/>
    <mergeCell ref="AB18:AC18"/>
    <mergeCell ref="B19:D19"/>
    <mergeCell ref="E19:F19"/>
    <mergeCell ref="G19:H19"/>
    <mergeCell ref="M19:P19"/>
    <mergeCell ref="W19:X19"/>
    <mergeCell ref="AB19:AC19"/>
    <mergeCell ref="B20:D20"/>
    <mergeCell ref="E20:F20"/>
    <mergeCell ref="G20:H20"/>
    <mergeCell ref="M20:P20"/>
    <mergeCell ref="B21:C21"/>
    <mergeCell ref="E21:F21"/>
    <mergeCell ref="G21:H21"/>
    <mergeCell ref="M21:P21"/>
    <mergeCell ref="W21:X21"/>
    <mergeCell ref="AB21:AC21"/>
    <mergeCell ref="E22:F22"/>
    <mergeCell ref="G22:H22"/>
    <mergeCell ref="M22:P22"/>
    <mergeCell ref="Q22:R22"/>
    <mergeCell ref="B23:D23"/>
    <mergeCell ref="E23:F23"/>
    <mergeCell ref="G23:H23"/>
    <mergeCell ref="M23:P23"/>
    <mergeCell ref="Q23:R23"/>
    <mergeCell ref="W23:X23"/>
    <mergeCell ref="AB23:AC23"/>
    <mergeCell ref="E24:F24"/>
    <mergeCell ref="G24:H24"/>
    <mergeCell ref="I24:K24"/>
    <mergeCell ref="M24:R24"/>
    <mergeCell ref="AB24:AC24"/>
    <mergeCell ref="E25:F25"/>
    <mergeCell ref="G25:H25"/>
    <mergeCell ref="M25:N25"/>
    <mergeCell ref="W25:X25"/>
    <mergeCell ref="AB25:AC25"/>
    <mergeCell ref="B26:C26"/>
    <mergeCell ref="E26:F26"/>
    <mergeCell ref="G26:H26"/>
    <mergeCell ref="M26:N26"/>
    <mergeCell ref="W26:X26"/>
    <mergeCell ref="AB26:AC26"/>
    <mergeCell ref="E27:F27"/>
    <mergeCell ref="G27:H27"/>
    <mergeCell ref="M27:N27"/>
    <mergeCell ref="W27:X27"/>
    <mergeCell ref="AB27:AC27"/>
    <mergeCell ref="E28:F28"/>
    <mergeCell ref="G28:H28"/>
    <mergeCell ref="M28:N28"/>
    <mergeCell ref="W28:X28"/>
    <mergeCell ref="AB28:AC28"/>
    <mergeCell ref="E29:F29"/>
    <mergeCell ref="G29:H29"/>
    <mergeCell ref="M29:N29"/>
    <mergeCell ref="W29:X29"/>
    <mergeCell ref="E30:F30"/>
    <mergeCell ref="G30:H30"/>
    <mergeCell ref="M30:N30"/>
    <mergeCell ref="W30:X30"/>
    <mergeCell ref="E31:F31"/>
    <mergeCell ref="G31:H31"/>
    <mergeCell ref="M31:N31"/>
    <mergeCell ref="E32:F32"/>
    <mergeCell ref="G32:H32"/>
    <mergeCell ref="M32:N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H37:J37"/>
    <mergeCell ref="K37:O37"/>
    <mergeCell ref="P37:Q37"/>
    <mergeCell ref="R37:AD37"/>
    <mergeCell ref="H38:J38"/>
    <mergeCell ref="K38:O38"/>
    <mergeCell ref="P38:Q38"/>
    <mergeCell ref="U38:V38"/>
    <mergeCell ref="K39:O39"/>
    <mergeCell ref="P39:Q39"/>
    <mergeCell ref="K40:O40"/>
    <mergeCell ref="P40:Q40"/>
    <mergeCell ref="K41:O41"/>
    <mergeCell ref="P41:Q41"/>
    <mergeCell ref="K42:O42"/>
    <mergeCell ref="P42:Q42"/>
    <mergeCell ref="K43:O43"/>
    <mergeCell ref="P43:Q43"/>
    <mergeCell ref="K44:O44"/>
    <mergeCell ref="P44:Q44"/>
    <mergeCell ref="K45:O45"/>
    <mergeCell ref="P45:Q45"/>
    <mergeCell ref="U45:V45"/>
    <mergeCell ref="K46:O46"/>
    <mergeCell ref="P46:Q46"/>
    <mergeCell ref="U46:V46"/>
    <mergeCell ref="U47:V47"/>
    <mergeCell ref="H49:J49"/>
    <mergeCell ref="K49:N49"/>
    <mergeCell ref="P49:Q49"/>
    <mergeCell ref="R49:AD49"/>
    <mergeCell ref="E54:G54"/>
    <mergeCell ref="H54:J54"/>
    <mergeCell ref="K54:N54"/>
    <mergeCell ref="E55:AD55"/>
    <mergeCell ref="E65:G65"/>
    <mergeCell ref="H65:J65"/>
    <mergeCell ref="K65:N65"/>
    <mergeCell ref="E66:O66"/>
    <mergeCell ref="E67:O67"/>
    <mergeCell ref="E68:G68"/>
    <mergeCell ref="H68:J68"/>
    <mergeCell ref="K68:N68"/>
    <mergeCell ref="E69:G69"/>
    <mergeCell ref="H69:J69"/>
    <mergeCell ref="K69:N69"/>
    <mergeCell ref="E70:G70"/>
    <mergeCell ref="H70:J70"/>
    <mergeCell ref="K70:N70"/>
    <mergeCell ref="E71:G71"/>
    <mergeCell ref="H71:J71"/>
    <mergeCell ref="K71:N71"/>
    <mergeCell ref="E72:G72"/>
    <mergeCell ref="H72:J72"/>
    <mergeCell ref="K72:N72"/>
    <mergeCell ref="E73:G73"/>
    <mergeCell ref="H73:J73"/>
    <mergeCell ref="K73:N73"/>
    <mergeCell ref="E74:G74"/>
    <mergeCell ref="H74:J74"/>
    <mergeCell ref="K74:N74"/>
    <mergeCell ref="E75:O75"/>
    <mergeCell ref="E89:O89"/>
    <mergeCell ref="E106:O106"/>
    <mergeCell ref="G47:G48"/>
    <mergeCell ref="E110:O121"/>
    <mergeCell ref="E56:O64"/>
    <mergeCell ref="E76:O88"/>
    <mergeCell ref="H47:J48"/>
    <mergeCell ref="M47:O48"/>
    <mergeCell ref="E52:K53"/>
    <mergeCell ref="E38:F49"/>
    <mergeCell ref="K47:L48"/>
  </mergeCells>
  <conditionalFormatting sqref="W32:Y32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{7bf4c50b-4585-4b6d-8216-2e1d1ecfc233}</x14:id>
        </ext>
      </extLst>
    </cfRule>
  </conditionalFormatting>
  <conditionalFormatting sqref="K17:K23">
    <cfRule type="dataBar" priority="16">
      <dataBar>
        <cfvo type="min"/>
        <cfvo type="max"/>
        <color rgb="FFFEEDED"/>
      </dataBar>
      <extLst>
        <ext xmlns:x14="http://schemas.microsoft.com/office/spreadsheetml/2009/9/main" uri="{B025F937-C7B1-47D3-B67F-A62EFF666E3E}">
          <x14:id>{ab048f0c-6164-4837-900a-47fd256491a3}</x14:id>
        </ext>
      </extLst>
    </cfRule>
    <cfRule type="dataBar" priority="19">
      <dataBar>
        <cfvo type="min"/>
        <cfvo type="max"/>
        <color rgb="FFFDE4E3"/>
      </dataBar>
      <extLst>
        <ext xmlns:x14="http://schemas.microsoft.com/office/spreadsheetml/2009/9/main" uri="{B025F937-C7B1-47D3-B67F-A62EFF666E3E}">
          <x14:id>{2b94e3fb-c0ce-4ccf-b96b-1f778c84d71e}</x14:id>
        </ext>
      </extLst>
    </cfRule>
    <cfRule type="dataBar" priority="20">
      <dataBar>
        <cfvo type="min"/>
        <cfvo type="max"/>
        <color rgb="FFF89696"/>
      </dataBar>
      <extLst>
        <ext xmlns:x14="http://schemas.microsoft.com/office/spreadsheetml/2009/9/main" uri="{B025F937-C7B1-47D3-B67F-A62EFF666E3E}">
          <x14:id>{e2aa3616-80e2-471f-a081-9133de10b8a5}</x14:id>
        </ext>
      </extLst>
    </cfRule>
  </conditionalFormatting>
  <conditionalFormatting sqref="K25:K36">
    <cfRule type="dataBar" priority="17">
      <dataBar>
        <cfvo type="min"/>
        <cfvo type="max"/>
        <color rgb="FFFEEDED"/>
      </dataBar>
      <extLst>
        <ext xmlns:x14="http://schemas.microsoft.com/office/spreadsheetml/2009/9/main" uri="{B025F937-C7B1-47D3-B67F-A62EFF666E3E}">
          <x14:id>{bb9c47d3-4c1b-4bf7-a287-b9d9a0ce7ea3}</x14:id>
        </ext>
      </extLst>
    </cfRule>
    <cfRule type="dataBar" priority="18">
      <dataBar>
        <cfvo type="min"/>
        <cfvo type="max"/>
        <color rgb="FFFDE4E3"/>
      </dataBar>
      <extLst>
        <ext xmlns:x14="http://schemas.microsoft.com/office/spreadsheetml/2009/9/main" uri="{B025F937-C7B1-47D3-B67F-A62EFF666E3E}">
          <x14:id>{d4f43315-71ce-4838-b7ae-86dd81ea491c}</x14:id>
        </ext>
      </extLst>
    </cfRule>
  </conditionalFormatting>
  <conditionalFormatting sqref="W24:X24 W34:Y34 I25:I36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{2a66d8cd-7305-4add-b6d8-534511aff56d}</x14:id>
        </ext>
      </extLst>
    </cfRule>
  </conditionalFormatting>
  <conditionalFormatting sqref="W35:Y36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{be6b353a-9a97-4c7d-a1b2-592611a8e5e6}</x14:id>
        </ext>
      </extLst>
    </cfRule>
  </conditionalFormatting>
  <dataValidations count="50">
    <dataValidation type="list" allowBlank="1" showInputMessage="1" showErrorMessage="1" sqref="H3">
      <formula1>OFFSET(装备筛选!A2,,,COUNTA(装备列表(LEFT(装备筛选!A1,2))),1)</formula1>
    </dataValidation>
    <dataValidation type="list" allowBlank="1" showInputMessage="1" showErrorMessage="1" sqref="M3">
      <formula1>OFFSET(数据引用!L3,0,0,数据引用!L2,1)</formula1>
    </dataValidation>
    <dataValidation type="list" allowBlank="1" showInputMessage="1" showErrorMessage="1" sqref="H4">
      <formula1>OFFSET(装备筛选!B2,,,COUNTA(装备列表(LEFT(装备筛选!B1,2))),1)</formula1>
    </dataValidation>
    <dataValidation type="list" allowBlank="1" showInputMessage="1" showErrorMessage="1" sqref="J4">
      <formula1>OFFSET(装备筛选!$B$2,0,0,装备筛选!#REF!-COUNTIF(装备筛选!$B$2:$B$51,#N/A),1)</formula1>
    </dataValidation>
    <dataValidation type="list" allowBlank="1" showInputMessage="1" showErrorMessage="1" sqref="M4">
      <formula1>OFFSET(数据引用!Q3,0,0,数据引用!Q2,1)</formula1>
    </dataValidation>
    <dataValidation type="list" allowBlank="1" showInputMessage="1" showErrorMessage="1" sqref="H5">
      <formula1>OFFSET(装备筛选!C2,,,COUNTA(装备列表(LEFT(装备筛选!C1,2))),1)</formula1>
    </dataValidation>
    <dataValidation type="list" allowBlank="1" showInputMessage="1" showErrorMessage="1" sqref="J5">
      <formula1>OFFSET(装备筛选!$C$2,0,0,装备筛选!#REF!-COUNTIF(装备筛选!$C$2:$C$51,#N/A),1)</formula1>
    </dataValidation>
    <dataValidation type="list" allowBlank="1" showInputMessage="1" showErrorMessage="1" sqref="M5">
      <formula1>OFFSET(数据引用!Q3,0,0,数据引用!Q2,1)</formula1>
    </dataValidation>
    <dataValidation type="list" allowBlank="1" showInputMessage="1" showErrorMessage="1" sqref="H6">
      <formula1>OFFSET(装备筛选!D2,,,COUNTA(装备列表(LEFT(装备筛选!D1,2))),1)</formula1>
    </dataValidation>
    <dataValidation type="list" allowBlank="1" showInputMessage="1" showErrorMessage="1" sqref="J6">
      <formula1>OFFSET(装备筛选!$D$2,0,0,装备筛选!#REF!-COUNTIF(装备筛选!$D$2:$D$51,#N/A),1)</formula1>
    </dataValidation>
    <dataValidation type="list" allowBlank="1" showInputMessage="1" showErrorMessage="1" sqref="M6">
      <formula1>OFFSET(数据引用!M3,0,0,数据引用!M2,1)</formula1>
    </dataValidation>
    <dataValidation type="list" allowBlank="1" showInputMessage="1" showErrorMessage="1" sqref="H7">
      <formula1>OFFSET(装备筛选!E2,,,COUNTA(装备列表(LEFT(装备筛选!E1,2))),1)</formula1>
    </dataValidation>
    <dataValidation type="list" allowBlank="1" showInputMessage="1" showErrorMessage="1" sqref="J7">
      <formula1>OFFSET(装备筛选!$E$2,0,0,装备筛选!#REF!-COUNTIF(装备筛选!$E$2:$E$51,#N/A),1)</formula1>
    </dataValidation>
    <dataValidation type="list" allowBlank="1" showInputMessage="1" showErrorMessage="1" sqref="M7">
      <formula1>OFFSET(数据引用!M3,0,0,数据引用!M2,1)</formula1>
    </dataValidation>
    <dataValidation type="list" allowBlank="1" showInputMessage="1" showErrorMessage="1" sqref="H8">
      <formula1>OFFSET(装备筛选!F2,,,COUNTA(装备列表(LEFT(装备筛选!F1,2))),1)</formula1>
    </dataValidation>
    <dataValidation type="list" allowBlank="1" showInputMessage="1" showErrorMessage="1" sqref="J8">
      <formula1>OFFSET(装备筛选!$F$2,0,0,装备筛选!#REF!-COUNTIF(装备筛选!$F$2:$F$51,#N/A),1)</formula1>
    </dataValidation>
    <dataValidation type="list" allowBlank="1" showInputMessage="1" showErrorMessage="1" sqref="M8">
      <formula1>OFFSET(数据引用!L3,0,0,数据引用!L2,1)</formula1>
    </dataValidation>
    <dataValidation type="list" allowBlank="1" showInputMessage="1" showErrorMessage="1" sqref="H9">
      <formula1>OFFSET(装备筛选!G2,,,COUNTA(装备列表(LEFT(装备筛选!G1,2))),1)</formula1>
    </dataValidation>
    <dataValidation type="list" allowBlank="1" showInputMessage="1" showErrorMessage="1" sqref="J9">
      <formula1>OFFSET(装备筛选!$G$2,0,0,装备筛选!#REF!-COUNTIF(装备筛选!$G$2:$G$51,#N/A),1)</formula1>
    </dataValidation>
    <dataValidation type="list" allowBlank="1" showInputMessage="1" showErrorMessage="1" sqref="M9">
      <formula1>OFFSET(数据引用!R3,0,0,数据引用!R2,1)</formula1>
    </dataValidation>
    <dataValidation allowBlank="1" showInputMessage="1" showErrorMessage="1" sqref="S9 L13 E15:F15 AC43 S4:S6 Y19:Y30 AD18:AD28 R45:AA48"/>
    <dataValidation type="list" allowBlank="1" showInputMessage="1" showErrorMessage="1" sqref="H10">
      <formula1>OFFSET(装备筛选!H2,,,COUNTA(装备列表(LEFT(装备筛选!H1,2))),1)</formula1>
    </dataValidation>
    <dataValidation type="list" allowBlank="1" showInputMessage="1" showErrorMessage="1" sqref="J10">
      <formula1>OFFSET(装备筛选!$H$2,0,0,装备筛选!#REF!-COUNTIF(装备筛选!$H$2:$H$51,#N/A),1)</formula1>
    </dataValidation>
    <dataValidation type="list" allowBlank="1" showInputMessage="1" showErrorMessage="1" sqref="M10">
      <formula1>OFFSET(数据引用!S3,0,0,数据引用!S2,1)</formula1>
    </dataValidation>
    <dataValidation type="list" allowBlank="1" showInputMessage="1" showErrorMessage="1" sqref="H11">
      <formula1>OFFSET(装备筛选!I2,,,COUNTA(装备列表(LEFT(装备筛选!I1,2))),1)</formula1>
    </dataValidation>
    <dataValidation type="list" allowBlank="1" showInputMessage="1" showErrorMessage="1" sqref="M11">
      <formula1>OFFSET(数据引用!N3,0,0,数据引用!N2,1)</formula1>
    </dataValidation>
    <dataValidation type="list" allowBlank="1" showInputMessage="1" showErrorMessage="1" sqref="H12">
      <formula1>OFFSET(装备筛选!I2,,,COUNTA(装备列表(LEFT(装备筛选!I1,2))),1)</formula1>
    </dataValidation>
    <dataValidation type="list" allowBlank="1" showInputMessage="1" showErrorMessage="1" sqref="M12">
      <formula1>OFFSET(数据引用!N3,0,0,数据引用!N2,1)</formula1>
    </dataValidation>
    <dataValidation type="list" allowBlank="1" showInputMessage="1" showErrorMessage="1" sqref="H13">
      <formula1>OFFSET(装备筛选!K2,,,COUNTA(装备列表(LEFT(装备筛选!K1,2))),1)</formula1>
    </dataValidation>
    <dataValidation type="list" allowBlank="1" showInputMessage="1" showErrorMessage="1" sqref="I13">
      <formula1>OFFSET(装备筛选!L2,0,0,装备筛选!#REF!-COUNTIF(装备筛选!L2:L51,#N/A),1)</formula1>
    </dataValidation>
    <dataValidation type="list" allowBlank="1" showInputMessage="1" showErrorMessage="1" sqref="J13:K13">
      <formula1>OFFSET(装备筛选!#REF!,0,0,装备筛选!#REF!-COUNTIF(装备筛选!#REF!,#N/A),1)</formula1>
    </dataValidation>
    <dataValidation type="list" allowBlank="1" showInputMessage="1" showErrorMessage="1" sqref="M13">
      <formula1>OFFSET(数据引用!O3,0,0,数据引用!O2,1)</formula1>
    </dataValidation>
    <dataValidation type="list" allowBlank="1" showInputMessage="1" showErrorMessage="1" sqref="H14">
      <formula1>OFFSET(装备筛选!L2,,,COUNTA(装备列表(LEFT(装备筛选!L1,2))),1)</formula1>
    </dataValidation>
    <dataValidation type="list" allowBlank="1" showInputMessage="1" showErrorMessage="1" sqref="J14">
      <formula1>OFFSET(装备筛选!$L$2,0,0,装备筛选!#REF!-COUNTIF(装备筛选!$L$2:$L$51,#N/A),1)</formula1>
    </dataValidation>
    <dataValidation type="list" allowBlank="1" showInputMessage="1" showErrorMessage="1" sqref="M14">
      <formula1>OFFSET(数据引用!P3,0,0,数据引用!P2,1)</formula1>
    </dataValidation>
    <dataValidation type="list" allowBlank="1" showInputMessage="1" showErrorMessage="1" sqref="Q16:R16">
      <formula1>"旗舰端,无界端"</formula1>
    </dataValidation>
    <dataValidation type="list" allowBlank="1" showInputMessage="1" showErrorMessage="1" sqref="Q17">
      <formula1>"10人本,25普通,25英雄,极境木桩（无增益）"</formula1>
    </dataValidation>
    <dataValidation type="list" allowBlank="1" showInputMessage="1" showErrorMessage="1" sqref="Q18">
      <formula1>"5"</formula1>
    </dataValidation>
    <dataValidation type="list" allowBlank="1" showInputMessage="1" showErrorMessage="1" sqref="R19">
      <formula1>加速计算!$A$11:$A$14</formula1>
    </dataValidation>
    <dataValidation type="list" allowBlank="1" showInputMessage="1" showErrorMessage="1" sqref="W19:X19 W21:X21 AB21:AC21 W23:X23 W25:X30 AB18:AC19 AB23:AC28">
      <formula1>"100,90,80,70"</formula1>
    </dataValidation>
    <dataValidation type="list" allowBlank="1" showInputMessage="1" showErrorMessage="1" sqref="R21">
      <formula1>"江玳气,X玳"</formula1>
    </dataValidation>
    <dataValidation type="list" allowBlank="1" showInputMessage="1" showErrorMessage="1" sqref="Q22">
      <formula1>"不使用,会心起手"</formula1>
    </dataValidation>
    <dataValidation type="list" allowBlank="1" showInputMessage="1" showErrorMessage="1" sqref="Q23">
      <formula1>"无,风舞者"</formula1>
    </dataValidation>
    <dataValidation type="list" allowBlank="1" showInputMessage="1" showErrorMessage="1" sqref="P26">
      <formula1>"无,紫攻击,紫破防,紫会心,紫破招,紫加速,蓝攻击,蓝破防,蓝会心,蓝破招,蓝加速"</formula1>
    </dataValidation>
    <dataValidation type="list" allowBlank="1" showInputMessage="1" showErrorMessage="1" sqref="S26">
      <formula1>"无,紫根骨,蓝根骨,八段锦"</formula1>
    </dataValidation>
    <dataValidation type="list" allowBlank="1" showInputMessage="1" showErrorMessage="1" sqref="S27">
      <formula1>"无,紫破防,紫会心,紫攻击,紫破招,紫加速,蓝破防,蓝会心,蓝攻击,蓝破招,蓝加速,八段锦"</formula1>
    </dataValidation>
    <dataValidation type="list" allowBlank="1" showInputMessage="1" showErrorMessage="1" sqref="S28">
      <formula1>"无,同泽宴"</formula1>
    </dataValidation>
    <dataValidation type="list" allowBlank="1" showInputMessage="1" showErrorMessage="1" sqref="S29">
      <formula1>"无,水煮鱼"</formula1>
    </dataValidation>
    <dataValidation type="list" allowBlank="1" showInputMessage="1" showErrorMessage="1" sqref="Q32 H50:H53">
      <formula1>"非创意,减血量,减破招,减无双"</formula1>
    </dataValidation>
    <dataValidation type="list" allowBlank="1" showInputMessage="1" showErrorMessage="1" sqref="J11:J12">
      <formula1>OFFSET(装备筛选!$I$2,0,0,装备筛选!#REF!-COUNTIF(装备筛选!$I$2:$I$51,#N/A),1)</formula1>
    </dataValidation>
  </dataValidations>
  <hyperlinks>
    <hyperlink ref="C22" r:id="rId28" display="下载最新版"/>
    <hyperlink ref="D22" r:id="rId28" display="问题反馈"/>
  </hyperlinks>
  <pageMargins left="0.75" right="0.75" top="1" bottom="1" header="0.5" footer="0.5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509" name="Check Box 117" r:id="rId4">
              <controlPr defaultSize="0">
                <anchor mov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552450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name="Check Box 118" r:id="rId5">
              <controlPr defaultSize="0">
                <anchor mov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581025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name="Check Box 119" r:id="rId6">
              <controlPr defaultSize="0">
                <anchor moveWithCells="1">
                  <from>
                    <xdr:col>27</xdr:col>
                    <xdr:colOff>0</xdr:colOff>
                    <xdr:row>3</xdr:row>
                    <xdr:rowOff>0</xdr:rowOff>
                  </from>
                  <to>
                    <xdr:col>29</xdr:col>
                    <xdr:colOff>419100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name="Check Box 120" r:id="rId7">
              <controlPr defaultSize="0">
                <anchor moveWithCells="1">
                  <from>
                    <xdr:col>23</xdr:col>
                    <xdr:colOff>0</xdr:colOff>
                    <xdr:row>6</xdr:row>
                    <xdr:rowOff>0</xdr:rowOff>
                  </from>
                  <to>
                    <xdr:col>24</xdr:col>
                    <xdr:colOff>561975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name="Check Box 121" r:id="rId8">
              <controlPr defaultSize="0">
                <anchor moveWithCells="1">
                  <from>
                    <xdr:col>25</xdr:col>
                    <xdr:colOff>0</xdr:colOff>
                    <xdr:row>6</xdr:row>
                    <xdr:rowOff>0</xdr:rowOff>
                  </from>
                  <to>
                    <xdr:col>26</xdr:col>
                    <xdr:colOff>590550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name="Check Box 122" r:id="rId9">
              <controlPr defaultSize="0">
                <anchor moveWithCells="1">
                  <from>
                    <xdr:col>27</xdr:col>
                    <xdr:colOff>0</xdr:colOff>
                    <xdr:row>6</xdr:row>
                    <xdr:rowOff>0</xdr:rowOff>
                  </from>
                  <to>
                    <xdr:col>29</xdr:col>
                    <xdr:colOff>419100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name="Check Box 123" r:id="rId10">
              <controlPr defaultSize="0">
                <anchor moveWithCells="1">
                  <from>
                    <xdr:col>23</xdr:col>
                    <xdr:colOff>0</xdr:colOff>
                    <xdr:row>7</xdr:row>
                    <xdr:rowOff>0</xdr:rowOff>
                  </from>
                  <to>
                    <xdr:col>24</xdr:col>
                    <xdr:colOff>552450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name="Check Box 124" r:id="rId11">
              <controlPr defaultSize="0">
                <anchor moveWithCells="1">
                  <from>
                    <xdr:col>25</xdr:col>
                    <xdr:colOff>0</xdr:colOff>
                    <xdr:row>7</xdr:row>
                    <xdr:rowOff>0</xdr:rowOff>
                  </from>
                  <to>
                    <xdr:col>26</xdr:col>
                    <xdr:colOff>676275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name="Check Box 125" r:id="rId12">
              <controlPr defaultSize="0">
                <anchor moveWithCells="1">
                  <from>
                    <xdr:col>23</xdr:col>
                    <xdr:colOff>0</xdr:colOff>
                    <xdr:row>10</xdr:row>
                    <xdr:rowOff>0</xdr:rowOff>
                  </from>
                  <to>
                    <xdr:col>24</xdr:col>
                    <xdr:colOff>561975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name="Check Box 126" r:id="rId13">
              <controlPr defaultSize="0">
                <anchor moveWithCells="1">
                  <from>
                    <xdr:col>25</xdr:col>
                    <xdr:colOff>0</xdr:colOff>
                    <xdr:row>10</xdr:row>
                    <xdr:rowOff>0</xdr:rowOff>
                  </from>
                  <to>
                    <xdr:col>26</xdr:col>
                    <xdr:colOff>590550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name="Check Box 127" r:id="rId14">
              <controlPr defaultSize="0">
                <anchor moveWithCells="1">
                  <from>
                    <xdr:col>27</xdr:col>
                    <xdr:colOff>0</xdr:colOff>
                    <xdr:row>10</xdr:row>
                    <xdr:rowOff>0</xdr:rowOff>
                  </from>
                  <to>
                    <xdr:col>29</xdr:col>
                    <xdr:colOff>419100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name="Check Box 128" r:id="rId15">
              <controlPr defaultSize="0">
                <anchor moveWithCells="1">
                  <from>
                    <xdr:col>23</xdr:col>
                    <xdr:colOff>0</xdr:colOff>
                    <xdr:row>11</xdr:row>
                    <xdr:rowOff>0</xdr:rowOff>
                  </from>
                  <to>
                    <xdr:col>24</xdr:col>
                    <xdr:colOff>552450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7" name="Check Box 185" r:id="rId16">
              <controlPr defaultSize="0">
                <anchor moveWithCells="1" sizeWithCells="1">
                  <from>
                    <xdr:col>25</xdr:col>
                    <xdr:colOff>0</xdr:colOff>
                    <xdr:row>16</xdr:row>
                    <xdr:rowOff>9525</xdr:rowOff>
                  </from>
                  <to>
                    <xdr:col>26</xdr:col>
                    <xdr:colOff>790575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8" name="Check Box 186" r:id="rId17">
              <controlPr defaultSize="0">
                <anchor moveWithCells="1" sizeWithCells="1">
                  <from>
                    <xdr:col>25</xdr:col>
                    <xdr:colOff>0</xdr:colOff>
                    <xdr:row>17</xdr:row>
                    <xdr:rowOff>0</xdr:rowOff>
                  </from>
                  <to>
                    <xdr:col>26</xdr:col>
                    <xdr:colOff>809625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9" name="Check Box 187" r:id="rId18">
              <controlPr defaultSize="0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26</xdr:col>
                    <xdr:colOff>809625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0" name="Check Box 188" r:id="rId19">
              <controlPr defaultSize="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26</xdr:col>
                    <xdr:colOff>809625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1" name="Check Box 189" r:id="rId20">
              <controlPr defaultSize="0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26</xdr:col>
                    <xdr:colOff>809625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2" name="Check Box 190" r:id="rId21">
              <controlPr defaultSize="0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26</xdr:col>
                    <xdr:colOff>809625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3" name="Check Box 191" r:id="rId22">
              <controlPr defaultSize="0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26</xdr:col>
                    <xdr:colOff>809625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4" name="Check Box 192" r:id="rId23">
              <controlPr defaultSize="0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26</xdr:col>
                    <xdr:colOff>809625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5" name="Check Box 193" r:id="rId24">
              <controlPr defaultSize="0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26</xdr:col>
                    <xdr:colOff>809625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6" name="Check Box 194" r:id="rId25">
              <controlPr defaultSize="0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26</xdr:col>
                    <xdr:colOff>809625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7" name="Check Box 195" r:id="rId26">
              <controlPr defaultSize="0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26</xdr:col>
                    <xdr:colOff>809625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8" name="Check Box 196" r:id="rId27">
              <controlPr defaultSize="0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26</xdr:col>
                    <xdr:colOff>809625</xdr:colOff>
                    <xdr:row>27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f4c50b-4585-4b6d-8216-2e1d1ecfc2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W32:Y32</xm:sqref>
        </x14:conditionalFormatting>
        <x14:conditionalFormatting xmlns:xm="http://schemas.microsoft.com/office/excel/2006/main">
          <x14:cfRule type="dataBar" id="{ab048f0c-6164-4837-900a-47fd256491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94e3fb-c0ce-4ccf-b96b-1f778c84d7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aa3616-80e2-471f-a081-9133de10b8a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K17:K23</xm:sqref>
        </x14:conditionalFormatting>
        <x14:conditionalFormatting xmlns:xm="http://schemas.microsoft.com/office/excel/2006/main">
          <x14:cfRule type="dataBar" id="{bb9c47d3-4c1b-4bf7-a287-b9d9a0ce7e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4f43315-71ce-4838-b7ae-86dd81ea491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K25:K36</xm:sqref>
        </x14:conditionalFormatting>
        <x14:conditionalFormatting xmlns:xm="http://schemas.microsoft.com/office/excel/2006/main">
          <x14:cfRule type="dataBar" id="{2a66d8cd-7305-4add-b6d8-534511aff5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W24:X24 W34:Y34 I25:I36</xm:sqref>
        </x14:conditionalFormatting>
        <x14:conditionalFormatting xmlns:xm="http://schemas.microsoft.com/office/excel/2006/main">
          <x14:cfRule type="dataBar" id="{be6b353a-9a97-4c7d-a1b2-592611a8e5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W35:Y36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2"/>
  <dimension ref="A1:Q60"/>
  <sheetViews>
    <sheetView showGridLines="0" workbookViewId="0">
      <selection activeCell="I15" sqref="I15"/>
    </sheetView>
  </sheetViews>
  <sheetFormatPr defaultColWidth="9" defaultRowHeight="18" customHeight="1"/>
  <cols>
    <col min="1" max="1" width="8" style="123" customWidth="1"/>
    <col min="2" max="2" width="10.125" style="123" customWidth="1"/>
    <col min="3" max="3" width="7.25" style="123" customWidth="1"/>
    <col min="4" max="4" width="18" style="123" customWidth="1"/>
    <col min="5" max="5" width="9.375" style="123"/>
    <col min="6" max="14" width="9" style="123"/>
    <col min="15" max="17" width="12.625" style="123"/>
    <col min="18" max="16384" width="9" style="123"/>
  </cols>
  <sheetData>
    <row r="1" customHeight="1" spans="1:17">
      <c r="B1" s="124"/>
      <c r="C1" s="124"/>
      <c r="D1" s="124"/>
      <c r="E1" s="124"/>
    </row>
    <row r="2" ht="33" customHeight="1" spans="1:17">
      <c r="B2" s="125" t="s">
        <v>242</v>
      </c>
      <c r="C2" s="126" t="s">
        <v>43</v>
      </c>
      <c r="F2" s="127"/>
    </row>
    <row r="3" ht="24.95" customHeight="1" spans="1:17">
      <c r="A3" s="128"/>
      <c r="B3" s="129" t="s">
        <v>243</v>
      </c>
      <c r="C3" s="129"/>
      <c r="D3" s="129"/>
      <c r="E3" s="129"/>
    </row>
    <row r="4" customHeight="1" spans="1:17">
      <c r="B4" s="130" t="s">
        <v>124</v>
      </c>
      <c r="C4" s="130"/>
      <c r="D4" s="130"/>
      <c r="E4" s="131" t="s">
        <v>244</v>
      </c>
    </row>
    <row r="5" customHeight="1" spans="1:17">
      <c r="B5" s="132" t="str" cm="1">
        <f ca="1" t="array" ref="B5:B48">OFFSET(装备筛选!R2,,,装备筛选!O2,1)</f>
        <v>秋映月•特效(会心 破招 破防 无双 41400)</v>
      </c>
      <c r="C5" s="132"/>
      <c r="D5" s="132"/>
      <c r="E5" s="133" cm="1">
        <f ca="1" t="array" ref="E5:E48">OFFSET(装备筛选!S2,,,装备筛选!O2,1)</f>
        <v>0</v>
      </c>
      <c r="Q5" s="134"/>
    </row>
    <row r="6" customHeight="1" spans="1:17">
      <c r="B6" s="132" t="str">
        <v>山色秋分•特效(会心 无双 41400)</v>
      </c>
      <c r="C6" s="132"/>
      <c r="D6" s="132"/>
      <c r="E6" s="133">
        <v>-0.00274726736350517</v>
      </c>
      <c r="Q6" s="134"/>
    </row>
    <row r="7" customHeight="1" spans="1:17">
      <c r="B7" s="132" t="str">
        <v>醉醒间•特效(会心 41400)</v>
      </c>
      <c r="C7" s="132"/>
      <c r="D7" s="132"/>
      <c r="E7" s="133">
        <v>-0.00301729292663522</v>
      </c>
      <c r="Q7" s="134"/>
    </row>
    <row r="8" customHeight="1" spans="1:17">
      <c r="B8" s="132" t="str">
        <v>空林鸟•特效(破防 无双 41400)</v>
      </c>
      <c r="C8" s="132"/>
      <c r="D8" s="132"/>
      <c r="E8" s="133">
        <v>-0.00929945135543953</v>
      </c>
      <c r="Q8" s="134"/>
    </row>
    <row r="9" customHeight="1" spans="1:17">
      <c r="B9" s="132" t="str">
        <v>芳生裤·觉•精简(会心 破防 无双 41400)</v>
      </c>
      <c r="C9" s="132"/>
      <c r="D9" s="132"/>
      <c r="E9" s="133">
        <v>-0.0131208043733019</v>
      </c>
      <c r="Q9" s="134"/>
    </row>
    <row r="10" customHeight="1" spans="1:17">
      <c r="B10" s="132" t="str">
        <v>辞红尘•特效(破防 41400)</v>
      </c>
      <c r="C10" s="132"/>
      <c r="D10" s="132"/>
      <c r="E10" s="133">
        <v>-0.0131683373361031</v>
      </c>
    </row>
    <row r="11" customHeight="1" spans="1:17">
      <c r="B11" s="132" t="str">
        <v>凭危楼•特效(加速 41400)</v>
      </c>
      <c r="C11" s="132"/>
      <c r="D11" s="132"/>
      <c r="E11" s="133">
        <v>-0.0157706511178377</v>
      </c>
    </row>
    <row r="12" customHeight="1" spans="1:17">
      <c r="B12" s="132" t="str">
        <v>一醉天涯•特效(破招 无双 41400)</v>
      </c>
      <c r="C12" s="132"/>
      <c r="D12" s="132"/>
      <c r="E12" s="133">
        <v>-0.015866967297937</v>
      </c>
    </row>
    <row r="13" customHeight="1" spans="1:17">
      <c r="B13" s="132" t="str">
        <v>日易裤·明•精简(会心 破招 无双 41400)</v>
      </c>
      <c r="C13" s="132"/>
      <c r="D13" s="132"/>
      <c r="E13" s="133">
        <v>-0.0198953087343706</v>
      </c>
    </row>
    <row r="14" customHeight="1" spans="1:17">
      <c r="B14" s="132" t="str">
        <v>皎然裤·悟•精简(会心 无双 41400)</v>
      </c>
      <c r="C14" s="132"/>
      <c r="D14" s="132"/>
      <c r="E14" s="133">
        <v>-0.0202998520848352</v>
      </c>
    </row>
    <row r="15" customHeight="1" spans="1:17">
      <c r="B15" s="132" t="str">
        <v>渡月裤·引•精简(破招 无双 41400)</v>
      </c>
      <c r="C15" s="132"/>
      <c r="D15" s="132"/>
      <c r="E15" s="133">
        <v>-0.0219963646709125</v>
      </c>
    </row>
    <row r="16" customHeight="1" spans="1:17">
      <c r="B16" s="132" t="str">
        <v>故春裤·绝•精简(破防 破招 无双 41400)</v>
      </c>
      <c r="C16" s="132"/>
      <c r="D16" s="132"/>
      <c r="E16" s="133">
        <v>-0.0222971205374555</v>
      </c>
    </row>
    <row r="17" customHeight="1" spans="2:5">
      <c r="B17" s="132" t="str">
        <v>无愁裤·破•精简(破防 无双 41400)</v>
      </c>
      <c r="C17" s="132"/>
      <c r="D17" s="132"/>
      <c r="E17" s="133">
        <v>-0.023143041976871</v>
      </c>
    </row>
    <row r="18" customHeight="1" spans="2:5">
      <c r="B18" s="132" t="str">
        <v>蕴元裤·尊•精简(无双 41400)</v>
      </c>
      <c r="C18" s="132"/>
      <c r="D18" s="132"/>
      <c r="E18" s="133">
        <v>-0.0268026724098307</v>
      </c>
    </row>
    <row r="19" customHeight="1" spans="2:5">
      <c r="B19" s="132" t="str">
        <v>枯梢瘦骨•特效(会心 破招 破防 无双 35300)</v>
      </c>
      <c r="C19" s="132"/>
      <c r="D19" s="132"/>
      <c r="E19" s="133">
        <v>-0.0318443955161862</v>
      </c>
    </row>
    <row r="20" customHeight="1" spans="2:5">
      <c r="B20" s="132" t="str">
        <v>闲来步屧•特效(会心 无双 35300)</v>
      </c>
      <c r="C20" s="132"/>
      <c r="D20" s="132"/>
      <c r="E20" s="133">
        <v>-0.0327477891717671</v>
      </c>
    </row>
    <row r="21" customHeight="1" spans="2:5">
      <c r="B21" s="132" t="str">
        <v>故垒颓垣•特效(会心 35300)</v>
      </c>
      <c r="C21" s="132"/>
      <c r="D21" s="132"/>
      <c r="E21" s="133">
        <v>-0.0332774967904191</v>
      </c>
    </row>
    <row r="22" customHeight="1" spans="2:5">
      <c r="B22" s="135" t="str">
        <v>吊湘累•特效(破防 无双 35300)</v>
      </c>
      <c r="C22" s="135"/>
      <c r="D22" s="135"/>
      <c r="E22" s="133">
        <v>-0.0392738933825436</v>
      </c>
    </row>
    <row r="23" customHeight="1" spans="2:5">
      <c r="B23" s="135" t="str">
        <v>大切裤(会心 无双 42100)</v>
      </c>
      <c r="C23" s="135"/>
      <c r="D23" s="135"/>
      <c r="E23" s="133">
        <v>-0.0406981884150525</v>
      </c>
    </row>
    <row r="24" customHeight="1" spans="2:5">
      <c r="B24" s="135" t="str">
        <v>风前柳色•特效(破防 35300)</v>
      </c>
      <c r="C24" s="135"/>
      <c r="D24" s="135"/>
      <c r="E24" s="133">
        <v>-0.042117909445559</v>
      </c>
    </row>
    <row r="25" customHeight="1" spans="2:5">
      <c r="B25" s="135" t="str">
        <v>雁回裤·觉•精简(会心 破防 无双 35300)</v>
      </c>
      <c r="C25" s="135"/>
      <c r="D25" s="135"/>
      <c r="E25" s="133">
        <v>-0.0426118987081225</v>
      </c>
    </row>
    <row r="26" customHeight="1" spans="2:5">
      <c r="B26" s="135" t="str">
        <v>玄脉裤(会心 无双 41400)</v>
      </c>
      <c r="C26" s="135"/>
      <c r="D26" s="135"/>
      <c r="E26" s="133">
        <v>-0.0435648038082047</v>
      </c>
    </row>
    <row r="27" customHeight="1" spans="2:5">
      <c r="B27" s="135" t="str">
        <v>浪客裤(破防 无双 41400)</v>
      </c>
      <c r="C27" s="135"/>
      <c r="D27" s="135"/>
      <c r="E27" s="133">
        <v>-0.045881740685857</v>
      </c>
    </row>
    <row r="28" customHeight="1" spans="2:5">
      <c r="B28" s="135" t="str">
        <v>千尺青空•特效(破招 无双 35300)</v>
      </c>
      <c r="C28" s="135"/>
      <c r="D28" s="135"/>
      <c r="E28" s="133">
        <v>-0.0467042850278647</v>
      </c>
    </row>
    <row r="29" customHeight="1" spans="2:5">
      <c r="B29" s="135" t="str">
        <v>清宵裤·明•精简(会心 破招 无双 35300)</v>
      </c>
      <c r="C29" s="135"/>
      <c r="D29" s="135"/>
      <c r="E29" s="133">
        <v>-0.0481310048485498</v>
      </c>
    </row>
    <row r="30" customHeight="1" spans="2:5">
      <c r="B30" s="135" t="str">
        <v>纤云裤·悟•精简(会心 无双 35300)</v>
      </c>
      <c r="C30" s="135"/>
      <c r="D30" s="135"/>
      <c r="E30" s="133">
        <v>-0.0487579172953564</v>
      </c>
    </row>
    <row r="31" customHeight="1" spans="2:5">
      <c r="B31" s="135" t="str">
        <v>寒枝裤·绝•精简(破防 破招 无双 35300)</v>
      </c>
      <c r="C31" s="135"/>
      <c r="D31" s="135"/>
      <c r="E31" s="133">
        <v>-0.0501313876654887</v>
      </c>
    </row>
    <row r="32" customHeight="1" spans="2:5">
      <c r="B32" s="135" t="str">
        <v>凤箫裤·破•精简(破防 无双 35300)</v>
      </c>
      <c r="C32" s="135"/>
      <c r="D32" s="135"/>
      <c r="E32" s="133">
        <v>-0.0511493700713602</v>
      </c>
    </row>
    <row r="33" customHeight="1" spans="2:5">
      <c r="B33" s="135" t="str">
        <v>兰舟裤·引•精简(破招 无双 35300)</v>
      </c>
      <c r="C33" s="135"/>
      <c r="D33" s="135"/>
      <c r="E33" s="133">
        <v>-0.0519258870551859</v>
      </c>
    </row>
    <row r="34" customHeight="1" spans="2:5">
      <c r="B34" s="135" t="str">
        <v>鹊角裤(破招 无双 41400)</v>
      </c>
      <c r="C34" s="135"/>
      <c r="D34" s="135"/>
      <c r="E34" s="133">
        <v>-0.0525757641443825</v>
      </c>
    </row>
    <row r="35" customHeight="1" spans="2:5">
      <c r="B35" s="135" t="str">
        <v>世界首领裤(破招 无双 41400)</v>
      </c>
      <c r="C35" s="135"/>
      <c r="D35" s="135"/>
      <c r="E35" s="133">
        <v>-0.0525757641443825</v>
      </c>
    </row>
    <row r="36" customHeight="1" spans="2:5">
      <c r="B36" s="135" t="str">
        <v>罗幕裤·尊•精简(无双 35300)</v>
      </c>
      <c r="C36" s="135"/>
      <c r="D36" s="135"/>
      <c r="E36" s="133">
        <v>-0.053754696137418</v>
      </c>
    </row>
    <row r="37" customHeight="1" spans="2:5">
      <c r="B37" s="135" t="str">
        <v>侠义裤(会心 无双 38100)</v>
      </c>
      <c r="C37" s="135"/>
      <c r="D37" s="135"/>
      <c r="E37" s="133">
        <v>-0.0569424581237069</v>
      </c>
    </row>
    <row r="38" customHeight="1" spans="2:5">
      <c r="B38" s="135" t="str">
        <v>小切裤(会心 无双 35900)</v>
      </c>
      <c r="C38" s="135"/>
      <c r="D38" s="135"/>
      <c r="E38" s="133">
        <v>-0.0657745314055528</v>
      </c>
    </row>
    <row r="39" customHeight="1" spans="2:5">
      <c r="B39" s="135" t="str">
        <v>椒丘裤(会心 无双 35300)</v>
      </c>
      <c r="C39" s="135"/>
      <c r="D39" s="135"/>
      <c r="E39" s="133">
        <v>-0.0681877224000346</v>
      </c>
    </row>
    <row r="40" customHeight="1" spans="2:5">
      <c r="B40" s="135" t="str">
        <v>浪客裤(破防 无双 35300)</v>
      </c>
      <c r="C40" s="135"/>
      <c r="D40" s="135"/>
      <c r="E40" s="133">
        <v>-0.0701850166196046</v>
      </c>
    </row>
    <row r="41" customHeight="1" spans="2:5">
      <c r="B41" s="135" t="str">
        <v>吃鸡裤(破防 无双 35300)</v>
      </c>
      <c r="C41" s="135"/>
      <c r="D41" s="135"/>
      <c r="E41" s="133">
        <v>-0.0701850166196046</v>
      </c>
    </row>
    <row r="42" customHeight="1" spans="2:5">
      <c r="B42" s="135" t="str">
        <v>世界首领裤(破招 无双 35300)</v>
      </c>
      <c r="C42" s="135"/>
      <c r="D42" s="135"/>
      <c r="E42" s="133">
        <v>-0.0755310204817211</v>
      </c>
    </row>
    <row r="43" customHeight="1" spans="2:5">
      <c r="B43" s="135" t="str">
        <v>噙香裤(破招 无双 35300)</v>
      </c>
      <c r="C43" s="135"/>
      <c r="D43" s="135"/>
      <c r="E43" s="133">
        <v>-0.0755310204817211</v>
      </c>
    </row>
    <row r="44" customHeight="1" spans="2:5">
      <c r="B44" s="135" t="str">
        <v>神藏下裳(加速 无双 41400)</v>
      </c>
      <c r="C44" s="135"/>
      <c r="D44" s="135"/>
      <c r="E44" s="133">
        <v>-0.0816063514497888</v>
      </c>
    </row>
    <row r="45" customHeight="1" spans="2:5">
      <c r="B45" s="135" t="str">
        <v>话情裤·迅•精简(加速 41400)</v>
      </c>
      <c r="C45" s="135"/>
      <c r="D45" s="135"/>
      <c r="E45" s="133">
        <v>-0.0845247514044904</v>
      </c>
    </row>
    <row r="46" customHeight="1" spans="2:5">
      <c r="B46" s="135" t="str">
        <v>香丹下裳(加速 无双 35300)</v>
      </c>
      <c r="C46" s="135"/>
      <c r="D46" s="135"/>
      <c r="E46" s="133">
        <v>-0.0982891255545669</v>
      </c>
    </row>
    <row r="47" customHeight="1" spans="2:5">
      <c r="B47" s="135" t="str">
        <v>长亭回首•特效(加速 35300)</v>
      </c>
      <c r="C47" s="135"/>
      <c r="D47" s="135"/>
      <c r="E47" s="133">
        <v>-0.0992680937056224</v>
      </c>
    </row>
    <row r="48" customHeight="1" spans="2:5">
      <c r="B48" s="135" t="str">
        <v>惊鹊裤·迅•精简(加速 35300)</v>
      </c>
      <c r="C48" s="135"/>
      <c r="D48" s="135"/>
      <c r="E48" s="133">
        <v>-0.108994868628282</v>
      </c>
    </row>
    <row r="49" customHeight="1" spans="2:5">
      <c r="B49" s="135"/>
      <c r="C49" s="135"/>
      <c r="D49" s="135"/>
      <c r="E49" s="133"/>
    </row>
    <row r="50" customHeight="1" spans="2:5">
      <c r="B50" s="135"/>
      <c r="C50" s="135"/>
      <c r="D50" s="135"/>
      <c r="E50" s="133"/>
    </row>
    <row r="51" customHeight="1" spans="2:5">
      <c r="B51" s="135"/>
      <c r="C51" s="135"/>
      <c r="D51" s="135"/>
      <c r="E51" s="133"/>
    </row>
    <row r="52" customHeight="1" spans="2:5">
      <c r="B52" s="135"/>
      <c r="C52" s="135"/>
      <c r="D52" s="135"/>
      <c r="E52" s="133"/>
    </row>
    <row r="53" customHeight="1" spans="2:5">
      <c r="B53" s="135"/>
      <c r="C53" s="135"/>
      <c r="D53" s="135"/>
      <c r="E53" s="133"/>
    </row>
    <row r="54" customHeight="1" spans="2:5">
      <c r="B54" s="135"/>
      <c r="C54" s="135"/>
      <c r="D54" s="135"/>
      <c r="E54" s="133"/>
    </row>
    <row r="55" customHeight="1" spans="2:5">
      <c r="B55" s="135"/>
      <c r="C55" s="135"/>
      <c r="D55" s="135"/>
      <c r="E55" s="133"/>
    </row>
    <row r="56" customHeight="1" spans="2:5">
      <c r="B56" s="135"/>
      <c r="C56" s="135"/>
      <c r="D56" s="135"/>
    </row>
    <row r="57" customHeight="1" spans="2:5">
      <c r="B57" s="136"/>
      <c r="C57" s="136"/>
      <c r="D57" s="136"/>
    </row>
    <row r="58" customHeight="1" spans="2:5">
      <c r="B58" s="136"/>
      <c r="C58" s="136"/>
      <c r="D58" s="136"/>
    </row>
    <row r="59" customHeight="1" spans="2:5">
      <c r="B59" s="136"/>
      <c r="C59" s="136"/>
      <c r="D59" s="136"/>
    </row>
    <row r="60" customHeight="1" spans="2:5">
      <c r="B60" s="136"/>
      <c r="C60" s="136"/>
      <c r="D60" s="136"/>
    </row>
  </sheetData>
  <sheetProtection algorithmName="SHA-512" hashValue="KCQhLjbNvmumtG6T6zUQJLTLjvzE7vdOy7QZI0L4Sxa4FVFrD1z8b+aBjlmPmUXqEVsx6E8c4lME6dKXaTWB3A==" saltValue="hu+VQAgBvl0lSTKafmu+Ng==" spinCount="100000" sheet="1" objects="1" scenarios="1"/>
  <mergeCells count="1">
    <mergeCell ref="B3:E3"/>
  </mergeCells>
  <conditionalFormatting sqref="E5:E55">
    <cfRule type="cellIs" dxfId="8" priority="1" operator="greaterThan">
      <formula>0</formula>
    </cfRule>
  </conditionalFormatting>
  <conditionalFormatting sqref="B5:D56">
    <cfRule type="expression" dxfId="9" priority="2">
      <formula>E5&gt;0</formula>
    </cfRule>
  </conditionalFormatting>
  <dataValidations count="1">
    <dataValidation type="list" allowBlank="1" showInputMessage="1" showErrorMessage="1" sqref="C2">
      <formula1>装备筛选!$N$5:$N$16</formula1>
    </dataValidation>
  </dataValidations>
  <pageMargins left="0.75" right="0.75" top="1" bottom="1" header="0.5" footer="0.5"/>
  <pageSetup paperSize="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V30"/>
  <sheetViews>
    <sheetView workbookViewId="0">
      <selection activeCell="Q32" sqref="Q32"/>
    </sheetView>
  </sheetViews>
  <sheetFormatPr defaultColWidth="9" defaultRowHeight="18" customHeight="1"/>
  <cols>
    <col min="1" max="4" width="9" style="84"/>
    <col min="5" max="5" width="9.875" style="84" customWidth="1"/>
    <col min="6" max="6" width="8.875" style="84" customWidth="1"/>
    <col min="7" max="7" width="13.25" style="84" customWidth="1"/>
    <col min="8" max="8" width="9" style="84"/>
    <col min="9" max="9" width="6.25" style="84" customWidth="1"/>
    <col min="10" max="13" width="9" style="84"/>
    <col min="14" max="14" width="9.5" style="84"/>
    <col min="15" max="15" width="9" style="84"/>
    <col min="16" max="16" width="14.5" style="84" customWidth="1"/>
    <col min="17" max="17" width="9" style="84"/>
    <col min="18" max="18" width="8.875" style="84" customWidth="1"/>
    <col min="19" max="24" width="9" style="84"/>
    <col min="25" max="16379" width="9" style="85"/>
  </cols>
  <sheetData>
    <row r="1" ht="38.1" customHeight="1"/>
    <row r="2" customHeight="1" spans="1:22">
      <c r="B2" s="86" t="s">
        <v>245</v>
      </c>
      <c r="C2" s="87"/>
      <c r="D2" s="88" t="s">
        <v>124</v>
      </c>
      <c r="E2" s="89"/>
      <c r="F2" s="89"/>
      <c r="G2" s="89"/>
      <c r="H2" s="88" t="s">
        <v>125</v>
      </c>
      <c r="I2" s="89"/>
      <c r="J2" s="88" t="s">
        <v>126</v>
      </c>
      <c r="K2" s="89"/>
      <c r="M2" s="86" t="s">
        <v>246</v>
      </c>
      <c r="N2" s="87"/>
      <c r="O2" s="88" t="s">
        <v>124</v>
      </c>
      <c r="P2" s="89"/>
      <c r="Q2" s="89"/>
      <c r="R2" s="89"/>
      <c r="S2" s="88" t="s">
        <v>125</v>
      </c>
      <c r="T2" s="89"/>
      <c r="U2" s="88" t="s">
        <v>126</v>
      </c>
      <c r="V2" s="89"/>
    </row>
    <row r="3" customHeight="1" spans="1:22">
      <c r="B3" s="90" t="s">
        <v>109</v>
      </c>
      <c r="C3" s="91">
        <v>820991</v>
      </c>
      <c r="D3" s="92" t="s">
        <v>22</v>
      </c>
      <c r="E3" s="93" t="s">
        <v>247</v>
      </c>
      <c r="F3" s="93"/>
      <c r="G3" s="93"/>
      <c r="H3" s="94" t="s">
        <v>24</v>
      </c>
      <c r="I3" s="93" t="s">
        <v>25</v>
      </c>
      <c r="J3" s="95" t="s">
        <v>26</v>
      </c>
      <c r="K3" s="96"/>
      <c r="M3" s="90" t="s">
        <v>109</v>
      </c>
      <c r="N3" s="91">
        <v>729484</v>
      </c>
      <c r="O3" s="92" t="s">
        <v>22</v>
      </c>
      <c r="P3" s="93" t="s">
        <v>23</v>
      </c>
      <c r="Q3" s="93"/>
      <c r="R3" s="93"/>
      <c r="S3" s="94" t="s">
        <v>47</v>
      </c>
      <c r="T3" s="93" t="s">
        <v>25</v>
      </c>
      <c r="U3" s="95" t="s">
        <v>26</v>
      </c>
      <c r="V3" s="96"/>
    </row>
    <row r="4" customHeight="1" spans="1:22">
      <c r="B4" s="90" t="s">
        <v>91</v>
      </c>
      <c r="C4" s="97">
        <v>12876</v>
      </c>
      <c r="D4" s="92" t="s">
        <v>27</v>
      </c>
      <c r="E4" s="93" t="s">
        <v>248</v>
      </c>
      <c r="F4" s="93"/>
      <c r="G4" s="93"/>
      <c r="H4" s="94" t="s">
        <v>29</v>
      </c>
      <c r="I4" s="93" t="s">
        <v>30</v>
      </c>
      <c r="J4" s="98" t="s">
        <v>31</v>
      </c>
      <c r="K4" s="99" t="s">
        <v>98</v>
      </c>
      <c r="M4" s="90" t="s">
        <v>91</v>
      </c>
      <c r="N4" s="97">
        <v>11417</v>
      </c>
      <c r="O4" s="92" t="s">
        <v>27</v>
      </c>
      <c r="P4" s="93" t="s">
        <v>249</v>
      </c>
      <c r="Q4" s="93"/>
      <c r="R4" s="93"/>
      <c r="S4" s="94" t="s">
        <v>29</v>
      </c>
      <c r="T4" s="93" t="s">
        <v>250</v>
      </c>
      <c r="U4" s="98" t="s">
        <v>31</v>
      </c>
      <c r="V4" s="99" t="s">
        <v>98</v>
      </c>
    </row>
    <row r="5" customHeight="1" spans="1:22">
      <c r="B5" s="90" t="s">
        <v>95</v>
      </c>
      <c r="C5" s="97">
        <v>78402</v>
      </c>
      <c r="D5" s="92" t="s">
        <v>33</v>
      </c>
      <c r="E5" s="93" t="s">
        <v>251</v>
      </c>
      <c r="F5" s="93"/>
      <c r="G5" s="93"/>
      <c r="H5" s="94" t="s">
        <v>29</v>
      </c>
      <c r="I5" s="93" t="s">
        <v>35</v>
      </c>
      <c r="J5" s="98" t="s">
        <v>36</v>
      </c>
      <c r="K5" s="99" t="s">
        <v>32</v>
      </c>
      <c r="M5" s="90" t="s">
        <v>95</v>
      </c>
      <c r="N5" s="97">
        <v>67309</v>
      </c>
      <c r="O5" s="92" t="s">
        <v>33</v>
      </c>
      <c r="P5" s="93" t="s">
        <v>34</v>
      </c>
      <c r="Q5" s="93"/>
      <c r="R5" s="93"/>
      <c r="S5" s="94" t="s">
        <v>29</v>
      </c>
      <c r="T5" s="93" t="s">
        <v>35</v>
      </c>
      <c r="U5" s="98" t="s">
        <v>36</v>
      </c>
      <c r="V5" s="99" t="s">
        <v>32</v>
      </c>
    </row>
    <row r="6" customHeight="1" spans="1:22">
      <c r="B6" s="90" t="s">
        <v>98</v>
      </c>
      <c r="C6" s="100">
        <v>0.56811702402088</v>
      </c>
      <c r="D6" s="92" t="s">
        <v>38</v>
      </c>
      <c r="E6" s="93" t="s">
        <v>39</v>
      </c>
      <c r="F6" s="93"/>
      <c r="G6" s="93"/>
      <c r="H6" s="94" t="s">
        <v>37</v>
      </c>
      <c r="I6" s="93" t="s">
        <v>40</v>
      </c>
      <c r="J6" s="98" t="s">
        <v>41</v>
      </c>
      <c r="K6" s="99" t="s">
        <v>42</v>
      </c>
      <c r="M6" s="90" t="s">
        <v>98</v>
      </c>
      <c r="N6" s="100">
        <v>0.527165647461091</v>
      </c>
      <c r="O6" s="92" t="s">
        <v>38</v>
      </c>
      <c r="P6" s="93" t="s">
        <v>252</v>
      </c>
      <c r="Q6" s="93"/>
      <c r="R6" s="93"/>
      <c r="S6" s="94" t="s">
        <v>37</v>
      </c>
      <c r="T6" s="93" t="s">
        <v>40</v>
      </c>
      <c r="U6" s="98" t="s">
        <v>41</v>
      </c>
      <c r="V6" s="99" t="s">
        <v>42</v>
      </c>
    </row>
    <row r="7" customHeight="1" spans="1:22">
      <c r="B7" s="90" t="s">
        <v>102</v>
      </c>
      <c r="C7" s="100">
        <v>2.064740226401</v>
      </c>
      <c r="D7" s="92" t="s">
        <v>43</v>
      </c>
      <c r="E7" s="93" t="s">
        <v>44</v>
      </c>
      <c r="F7" s="93"/>
      <c r="G7" s="93"/>
      <c r="H7" s="94" t="s">
        <v>37</v>
      </c>
      <c r="I7" s="101"/>
      <c r="J7" s="102"/>
      <c r="K7" s="103"/>
      <c r="M7" s="90" t="s">
        <v>102</v>
      </c>
      <c r="N7" s="100">
        <v>1.88251569788672</v>
      </c>
      <c r="O7" s="92" t="s">
        <v>43</v>
      </c>
      <c r="P7" s="93" t="s">
        <v>253</v>
      </c>
      <c r="Q7" s="93"/>
      <c r="R7" s="93"/>
      <c r="S7" s="94" t="s">
        <v>98</v>
      </c>
      <c r="T7" s="101"/>
      <c r="U7" s="102"/>
      <c r="V7" s="103"/>
    </row>
    <row r="8" customHeight="1" spans="1:22">
      <c r="B8" s="90" t="s">
        <v>24</v>
      </c>
      <c r="C8" s="97">
        <v>32213</v>
      </c>
      <c r="D8" s="92" t="s">
        <v>45</v>
      </c>
      <c r="E8" s="93" t="s">
        <v>254</v>
      </c>
      <c r="F8" s="93"/>
      <c r="G8" s="93"/>
      <c r="H8" s="94" t="s">
        <v>47</v>
      </c>
      <c r="I8" s="93" t="s">
        <v>48</v>
      </c>
      <c r="J8" s="95" t="s">
        <v>49</v>
      </c>
      <c r="K8" s="96"/>
      <c r="M8" s="90" t="s">
        <v>24</v>
      </c>
      <c r="N8" s="97">
        <v>33666</v>
      </c>
      <c r="O8" s="92" t="s">
        <v>45</v>
      </c>
      <c r="P8" s="93" t="s">
        <v>255</v>
      </c>
      <c r="Q8" s="93"/>
      <c r="R8" s="93"/>
      <c r="S8" s="94" t="s">
        <v>47</v>
      </c>
      <c r="T8" s="93" t="s">
        <v>48</v>
      </c>
      <c r="U8" s="95" t="s">
        <v>49</v>
      </c>
      <c r="V8" s="96"/>
    </row>
    <row r="9" customHeight="1" spans="1:22">
      <c r="B9" s="90" t="s">
        <v>32</v>
      </c>
      <c r="C9" s="100">
        <v>0.375840423159035</v>
      </c>
      <c r="D9" s="92" t="s">
        <v>50</v>
      </c>
      <c r="E9" s="93" t="s">
        <v>51</v>
      </c>
      <c r="F9" s="93"/>
      <c r="G9" s="93"/>
      <c r="H9" s="94" t="s">
        <v>52</v>
      </c>
      <c r="I9" s="101"/>
      <c r="J9" s="98" t="s">
        <v>53</v>
      </c>
      <c r="K9" s="104">
        <v>8</v>
      </c>
      <c r="M9" s="90" t="s">
        <v>32</v>
      </c>
      <c r="N9" s="100">
        <v>0.270608291113023</v>
      </c>
      <c r="O9" s="92" t="s">
        <v>50</v>
      </c>
      <c r="P9" s="93" t="s">
        <v>256</v>
      </c>
      <c r="Q9" s="93"/>
      <c r="R9" s="93"/>
      <c r="S9" s="94" t="s">
        <v>93</v>
      </c>
      <c r="T9" s="101"/>
      <c r="U9" s="98" t="s">
        <v>53</v>
      </c>
      <c r="V9" s="104">
        <v>7</v>
      </c>
    </row>
    <row r="10" customHeight="1" spans="1:22">
      <c r="A10" s="105"/>
      <c r="B10" s="90" t="s">
        <v>37</v>
      </c>
      <c r="C10" s="100">
        <v>0.766088266088266</v>
      </c>
      <c r="D10" s="92" t="s">
        <v>54</v>
      </c>
      <c r="E10" s="93" t="s">
        <v>55</v>
      </c>
      <c r="F10" s="93"/>
      <c r="G10" s="93"/>
      <c r="H10" s="94" t="s">
        <v>52</v>
      </c>
      <c r="I10" s="106"/>
      <c r="J10" s="102"/>
      <c r="K10" s="103"/>
      <c r="M10" s="90" t="s">
        <v>37</v>
      </c>
      <c r="N10" s="100">
        <v>0.677693177693178</v>
      </c>
      <c r="O10" s="92" t="s">
        <v>54</v>
      </c>
      <c r="P10" s="93" t="s">
        <v>257</v>
      </c>
      <c r="Q10" s="93"/>
      <c r="R10" s="93"/>
      <c r="S10" s="94" t="s">
        <v>93</v>
      </c>
      <c r="T10" s="106"/>
      <c r="U10" s="102"/>
      <c r="V10" s="103"/>
    </row>
    <row r="11" customHeight="1" spans="1:22">
      <c r="A11" s="105"/>
      <c r="B11" s="107" t="s">
        <v>110</v>
      </c>
      <c r="C11" s="97">
        <v>13740</v>
      </c>
      <c r="D11" s="92" t="s">
        <v>56</v>
      </c>
      <c r="E11" s="93" t="s">
        <v>57</v>
      </c>
      <c r="F11" s="93"/>
      <c r="G11" s="93"/>
      <c r="H11" s="94" t="s">
        <v>58</v>
      </c>
      <c r="I11" s="106"/>
      <c r="J11" s="95" t="s">
        <v>59</v>
      </c>
      <c r="K11" s="96"/>
      <c r="M11" s="107" t="s">
        <v>110</v>
      </c>
      <c r="N11" s="97">
        <v>35120</v>
      </c>
      <c r="O11" s="92" t="s">
        <v>56</v>
      </c>
      <c r="P11" s="93" t="s">
        <v>258</v>
      </c>
      <c r="Q11" s="93"/>
      <c r="R11" s="93"/>
      <c r="S11" s="94" t="s">
        <v>259</v>
      </c>
      <c r="T11" s="106"/>
      <c r="U11" s="95" t="s">
        <v>59</v>
      </c>
      <c r="V11" s="96"/>
    </row>
    <row r="12" customHeight="1" spans="1:22">
      <c r="A12" s="105"/>
      <c r="B12" s="108" t="s">
        <v>260</v>
      </c>
      <c r="C12" s="109"/>
      <c r="D12" s="92" t="s">
        <v>56</v>
      </c>
      <c r="E12" s="93" t="s">
        <v>57</v>
      </c>
      <c r="F12" s="93"/>
      <c r="G12" s="93"/>
      <c r="H12" s="94" t="s">
        <v>58</v>
      </c>
      <c r="I12" s="106"/>
      <c r="J12" s="98" t="s">
        <v>151</v>
      </c>
      <c r="K12" s="110" t="s">
        <v>152</v>
      </c>
      <c r="M12" s="108" t="s">
        <v>260</v>
      </c>
      <c r="N12" s="109"/>
      <c r="O12" s="92" t="s">
        <v>56</v>
      </c>
      <c r="P12" s="93" t="s">
        <v>261</v>
      </c>
      <c r="Q12" s="93"/>
      <c r="R12" s="93"/>
      <c r="S12" s="94" t="s">
        <v>262</v>
      </c>
      <c r="T12" s="106"/>
      <c r="U12" s="98" t="s">
        <v>151</v>
      </c>
      <c r="V12" s="110" t="s">
        <v>152</v>
      </c>
    </row>
    <row r="13" customHeight="1" spans="1:22">
      <c r="A13" s="105"/>
      <c r="B13" s="111">
        <v>11266601.6823516</v>
      </c>
      <c r="C13" s="111"/>
      <c r="D13" s="92" t="s">
        <v>61</v>
      </c>
      <c r="E13" s="93" t="s">
        <v>62</v>
      </c>
      <c r="F13" s="93"/>
      <c r="G13" s="93"/>
      <c r="H13" s="94" t="s">
        <v>63</v>
      </c>
      <c r="I13" s="106"/>
      <c r="J13" s="112"/>
      <c r="K13" s="113"/>
      <c r="M13" s="114">
        <v>4549344.46789425</v>
      </c>
      <c r="N13" s="111"/>
      <c r="O13" s="92" t="s">
        <v>61</v>
      </c>
      <c r="P13" s="93" t="s">
        <v>263</v>
      </c>
      <c r="Q13" s="93"/>
      <c r="R13" s="93"/>
      <c r="S13" s="94" t="s">
        <v>24</v>
      </c>
      <c r="T13" s="106"/>
      <c r="U13" s="112"/>
      <c r="V13" s="113"/>
    </row>
    <row r="14" customHeight="1" spans="1:22">
      <c r="A14" s="105"/>
      <c r="B14" s="115"/>
      <c r="C14" s="115"/>
      <c r="D14" s="116" t="s">
        <v>64</v>
      </c>
      <c r="E14" s="117" t="s">
        <v>65</v>
      </c>
      <c r="F14" s="117"/>
      <c r="G14" s="117"/>
      <c r="H14" s="118" t="s">
        <v>47</v>
      </c>
      <c r="I14" s="119"/>
      <c r="J14" s="120"/>
      <c r="K14" s="121"/>
      <c r="M14" s="122"/>
      <c r="N14" s="115"/>
      <c r="O14" s="116" t="s">
        <v>64</v>
      </c>
      <c r="P14" s="117" t="s">
        <v>264</v>
      </c>
      <c r="Q14" s="117"/>
      <c r="R14" s="117"/>
      <c r="S14" s="118" t="s">
        <v>265</v>
      </c>
      <c r="T14" s="119"/>
      <c r="U14" s="120"/>
      <c r="V14" s="121"/>
    </row>
    <row r="15" ht="15" customHeight="1"/>
    <row r="16" ht="21.95" customHeight="1"/>
    <row r="17" ht="11.1" customHeight="1"/>
    <row r="18" customHeight="1" spans="2:22">
      <c r="B18" s="86" t="s">
        <v>266</v>
      </c>
      <c r="C18" s="87"/>
      <c r="D18" s="88" t="s">
        <v>124</v>
      </c>
      <c r="E18" s="89"/>
      <c r="F18" s="89"/>
      <c r="G18" s="89"/>
      <c r="H18" s="88" t="s">
        <v>125</v>
      </c>
      <c r="I18" s="89"/>
      <c r="J18" s="88" t="s">
        <v>126</v>
      </c>
      <c r="K18" s="89"/>
      <c r="M18" s="86" t="s">
        <v>267</v>
      </c>
      <c r="N18" s="87"/>
      <c r="O18" s="88" t="s">
        <v>124</v>
      </c>
      <c r="P18" s="89"/>
      <c r="Q18" s="89"/>
      <c r="R18" s="89"/>
      <c r="S18" s="88" t="s">
        <v>125</v>
      </c>
      <c r="T18" s="89"/>
      <c r="U18" s="88" t="s">
        <v>126</v>
      </c>
      <c r="V18" s="89"/>
    </row>
    <row r="19" customHeight="1" spans="2:22">
      <c r="B19" s="90" t="s">
        <v>109</v>
      </c>
      <c r="C19" s="91">
        <v>736349</v>
      </c>
      <c r="D19" s="92" t="s">
        <v>22</v>
      </c>
      <c r="E19" s="93" t="s">
        <v>268</v>
      </c>
      <c r="F19" s="93"/>
      <c r="G19" s="93"/>
      <c r="H19" s="94" t="s">
        <v>24</v>
      </c>
      <c r="I19" s="93" t="s">
        <v>25</v>
      </c>
      <c r="J19" s="95" t="s">
        <v>26</v>
      </c>
      <c r="K19" s="96"/>
      <c r="M19" s="90" t="s">
        <v>109</v>
      </c>
      <c r="N19" s="91">
        <v>780300</v>
      </c>
      <c r="O19" s="92" t="s">
        <v>22</v>
      </c>
      <c r="P19" s="93" t="s">
        <v>247</v>
      </c>
      <c r="Q19" s="93"/>
      <c r="R19" s="93"/>
      <c r="S19" s="94" t="s">
        <v>47</v>
      </c>
      <c r="T19" s="93" t="s">
        <v>25</v>
      </c>
      <c r="U19" s="95" t="s">
        <v>26</v>
      </c>
      <c r="V19" s="96"/>
    </row>
    <row r="20" customHeight="1" spans="2:22">
      <c r="B20" s="90" t="s">
        <v>91</v>
      </c>
      <c r="C20" s="97">
        <v>6583</v>
      </c>
      <c r="D20" s="92" t="s">
        <v>27</v>
      </c>
      <c r="E20" s="93" t="s">
        <v>269</v>
      </c>
      <c r="F20" s="93"/>
      <c r="G20" s="93"/>
      <c r="H20" s="94" t="s">
        <v>29</v>
      </c>
      <c r="I20" s="93" t="s">
        <v>30</v>
      </c>
      <c r="J20" s="98" t="s">
        <v>31</v>
      </c>
      <c r="K20" s="99" t="s">
        <v>98</v>
      </c>
      <c r="M20" s="90" t="s">
        <v>91</v>
      </c>
      <c r="N20" s="97">
        <v>7648</v>
      </c>
      <c r="O20" s="92" t="s">
        <v>27</v>
      </c>
      <c r="P20" s="93" t="s">
        <v>248</v>
      </c>
      <c r="Q20" s="93"/>
      <c r="R20" s="93"/>
      <c r="S20" s="94" t="s">
        <v>29</v>
      </c>
      <c r="T20" s="93" t="s">
        <v>30</v>
      </c>
      <c r="U20" s="98" t="s">
        <v>31</v>
      </c>
      <c r="V20" s="99" t="s">
        <v>47</v>
      </c>
    </row>
    <row r="21" customHeight="1" spans="2:22">
      <c r="B21" s="90" t="s">
        <v>95</v>
      </c>
      <c r="C21" s="97">
        <v>81906</v>
      </c>
      <c r="D21" s="92" t="s">
        <v>33</v>
      </c>
      <c r="E21" s="93" t="s">
        <v>270</v>
      </c>
      <c r="F21" s="93"/>
      <c r="G21" s="93"/>
      <c r="H21" s="94" t="s">
        <v>29</v>
      </c>
      <c r="I21" s="93" t="s">
        <v>35</v>
      </c>
      <c r="J21" s="98" t="s">
        <v>36</v>
      </c>
      <c r="K21" s="99" t="s">
        <v>32</v>
      </c>
      <c r="M21" s="90" t="s">
        <v>95</v>
      </c>
      <c r="N21" s="97">
        <v>90399</v>
      </c>
      <c r="O21" s="92" t="s">
        <v>33</v>
      </c>
      <c r="P21" s="93" t="s">
        <v>271</v>
      </c>
      <c r="Q21" s="93"/>
      <c r="R21" s="93"/>
      <c r="S21" s="94" t="s">
        <v>29</v>
      </c>
      <c r="T21" s="93" t="s">
        <v>35</v>
      </c>
      <c r="U21" s="98" t="s">
        <v>36</v>
      </c>
      <c r="V21" s="99" t="s">
        <v>37</v>
      </c>
    </row>
    <row r="22" customHeight="1" spans="2:22">
      <c r="B22" s="90" t="s">
        <v>98</v>
      </c>
      <c r="C22" s="100">
        <v>0.491190169092022</v>
      </c>
      <c r="D22" s="92" t="s">
        <v>38</v>
      </c>
      <c r="E22" s="93" t="s">
        <v>272</v>
      </c>
      <c r="F22" s="93"/>
      <c r="G22" s="93"/>
      <c r="H22" s="94" t="s">
        <v>37</v>
      </c>
      <c r="I22" s="93" t="s">
        <v>40</v>
      </c>
      <c r="J22" s="98" t="s">
        <v>41</v>
      </c>
      <c r="K22" s="99" t="s">
        <v>42</v>
      </c>
      <c r="M22" s="90" t="s">
        <v>98</v>
      </c>
      <c r="N22" s="100">
        <v>0.640906410120231</v>
      </c>
      <c r="O22" s="92" t="s">
        <v>38</v>
      </c>
      <c r="P22" s="93" t="s">
        <v>272</v>
      </c>
      <c r="Q22" s="93"/>
      <c r="R22" s="93"/>
      <c r="S22" s="94" t="s">
        <v>37</v>
      </c>
      <c r="T22" s="93" t="s">
        <v>40</v>
      </c>
      <c r="U22" s="98" t="s">
        <v>41</v>
      </c>
      <c r="V22" s="99" t="s">
        <v>42</v>
      </c>
    </row>
    <row r="23" customHeight="1" spans="2:22">
      <c r="B23" s="90" t="s">
        <v>102</v>
      </c>
      <c r="C23" s="100">
        <v>2.02206009538165</v>
      </c>
      <c r="D23" s="92" t="s">
        <v>43</v>
      </c>
      <c r="E23" s="93" t="s">
        <v>273</v>
      </c>
      <c r="F23" s="93"/>
      <c r="G23" s="93"/>
      <c r="H23" s="94" t="s">
        <v>98</v>
      </c>
      <c r="I23" s="101"/>
      <c r="J23" s="102"/>
      <c r="K23" s="103"/>
      <c r="M23" s="90" t="s">
        <v>102</v>
      </c>
      <c r="N23" s="100">
        <v>2.14213828966479</v>
      </c>
      <c r="O23" s="92" t="s">
        <v>43</v>
      </c>
      <c r="P23" s="93" t="s">
        <v>274</v>
      </c>
      <c r="Q23" s="93"/>
      <c r="R23" s="93"/>
      <c r="S23" s="94" t="s">
        <v>98</v>
      </c>
      <c r="T23" s="101"/>
      <c r="U23" s="102"/>
      <c r="V23" s="103"/>
    </row>
    <row r="24" customHeight="1" spans="2:22">
      <c r="B24" s="90" t="s">
        <v>24</v>
      </c>
      <c r="C24" s="97">
        <v>32783</v>
      </c>
      <c r="D24" s="92" t="s">
        <v>45</v>
      </c>
      <c r="E24" s="93" t="s">
        <v>275</v>
      </c>
      <c r="F24" s="93"/>
      <c r="G24" s="93"/>
      <c r="H24" s="94" t="s">
        <v>24</v>
      </c>
      <c r="I24" s="93" t="s">
        <v>48</v>
      </c>
      <c r="J24" s="95" t="s">
        <v>49</v>
      </c>
      <c r="K24" s="96"/>
      <c r="M24" s="90" t="s">
        <v>24</v>
      </c>
      <c r="N24" s="97">
        <v>30303</v>
      </c>
      <c r="O24" s="92" t="s">
        <v>45</v>
      </c>
      <c r="P24" s="93" t="s">
        <v>276</v>
      </c>
      <c r="Q24" s="93"/>
      <c r="R24" s="93"/>
      <c r="S24" s="94" t="s">
        <v>47</v>
      </c>
      <c r="T24" s="93" t="s">
        <v>48</v>
      </c>
      <c r="U24" s="95" t="s">
        <v>49</v>
      </c>
      <c r="V24" s="96"/>
    </row>
    <row r="25" customHeight="1" spans="2:22">
      <c r="B25" s="90" t="s">
        <v>32</v>
      </c>
      <c r="C25" s="100">
        <v>0.379048989721966</v>
      </c>
      <c r="D25" s="92" t="s">
        <v>50</v>
      </c>
      <c r="E25" s="93" t="s">
        <v>277</v>
      </c>
      <c r="F25" s="93"/>
      <c r="G25" s="93"/>
      <c r="H25" s="94" t="s">
        <v>278</v>
      </c>
      <c r="I25" s="101"/>
      <c r="J25" s="98" t="s">
        <v>53</v>
      </c>
      <c r="K25" s="104">
        <v>8</v>
      </c>
      <c r="M25" s="90" t="s">
        <v>32</v>
      </c>
      <c r="N25" s="100">
        <v>0.229171313556172</v>
      </c>
      <c r="O25" s="92" t="s">
        <v>50</v>
      </c>
      <c r="P25" s="93" t="s">
        <v>279</v>
      </c>
      <c r="Q25" s="93"/>
      <c r="R25" s="93"/>
      <c r="S25" s="94" t="s">
        <v>278</v>
      </c>
      <c r="T25" s="101"/>
      <c r="U25" s="98" t="s">
        <v>53</v>
      </c>
      <c r="V25" s="104">
        <v>8</v>
      </c>
    </row>
    <row r="26" customHeight="1" spans="2:22">
      <c r="B26" s="90" t="s">
        <v>37</v>
      </c>
      <c r="C26" s="100">
        <v>0.704063204063204</v>
      </c>
      <c r="D26" s="92" t="s">
        <v>54</v>
      </c>
      <c r="E26" s="93" t="s">
        <v>280</v>
      </c>
      <c r="F26" s="93"/>
      <c r="G26" s="93"/>
      <c r="H26" s="94" t="s">
        <v>93</v>
      </c>
      <c r="I26" s="106"/>
      <c r="J26" s="102"/>
      <c r="K26" s="103"/>
      <c r="M26" s="90" t="s">
        <v>37</v>
      </c>
      <c r="N26" s="100">
        <v>0.632588132588133</v>
      </c>
      <c r="O26" s="92" t="s">
        <v>54</v>
      </c>
      <c r="P26" s="93" t="s">
        <v>281</v>
      </c>
      <c r="Q26" s="93"/>
      <c r="R26" s="93"/>
      <c r="S26" s="94" t="s">
        <v>282</v>
      </c>
      <c r="T26" s="106"/>
      <c r="U26" s="102"/>
      <c r="V26" s="103"/>
    </row>
    <row r="27" customHeight="1" spans="2:22">
      <c r="B27" s="107" t="s">
        <v>110</v>
      </c>
      <c r="C27" s="97">
        <v>21603</v>
      </c>
      <c r="D27" s="92" t="s">
        <v>56</v>
      </c>
      <c r="E27" s="93" t="s">
        <v>283</v>
      </c>
      <c r="F27" s="93"/>
      <c r="G27" s="93"/>
      <c r="H27" s="94" t="s">
        <v>259</v>
      </c>
      <c r="I27" s="106"/>
      <c r="J27" s="95" t="s">
        <v>59</v>
      </c>
      <c r="K27" s="96"/>
      <c r="M27" s="107" t="s">
        <v>110</v>
      </c>
      <c r="N27" s="97">
        <v>18268</v>
      </c>
      <c r="O27" s="92" t="s">
        <v>56</v>
      </c>
      <c r="P27" s="93" t="s">
        <v>283</v>
      </c>
      <c r="Q27" s="93"/>
      <c r="R27" s="93"/>
      <c r="S27" s="94" t="s">
        <v>259</v>
      </c>
      <c r="T27" s="106"/>
      <c r="U27" s="95" t="s">
        <v>59</v>
      </c>
      <c r="V27" s="96"/>
    </row>
    <row r="28" customHeight="1" spans="2:22">
      <c r="B28" s="108" t="s">
        <v>260</v>
      </c>
      <c r="C28" s="109"/>
      <c r="D28" s="92" t="s">
        <v>56</v>
      </c>
      <c r="E28" s="93" t="s">
        <v>284</v>
      </c>
      <c r="F28" s="93"/>
      <c r="G28" s="93"/>
      <c r="H28" s="94" t="s">
        <v>259</v>
      </c>
      <c r="I28" s="106"/>
      <c r="J28" s="98" t="s">
        <v>151</v>
      </c>
      <c r="K28" s="110" t="s">
        <v>152</v>
      </c>
      <c r="M28" s="108" t="s">
        <v>260</v>
      </c>
      <c r="N28" s="109"/>
      <c r="O28" s="92" t="s">
        <v>56</v>
      </c>
      <c r="P28" s="93" t="s">
        <v>283</v>
      </c>
      <c r="Q28" s="93"/>
      <c r="R28" s="93"/>
      <c r="S28" s="94" t="s">
        <v>259</v>
      </c>
      <c r="T28" s="106"/>
      <c r="U28" s="98" t="s">
        <v>151</v>
      </c>
      <c r="V28" s="110" t="s">
        <v>152</v>
      </c>
    </row>
    <row r="29" customHeight="1" spans="2:22">
      <c r="B29" s="114">
        <v>5857125.88454728</v>
      </c>
      <c r="C29" s="111"/>
      <c r="D29" s="92" t="s">
        <v>61</v>
      </c>
      <c r="E29" s="93" t="s">
        <v>263</v>
      </c>
      <c r="F29" s="93"/>
      <c r="G29" s="93"/>
      <c r="H29" s="94" t="s">
        <v>24</v>
      </c>
      <c r="I29" s="106"/>
      <c r="J29" s="112"/>
      <c r="K29" s="113"/>
      <c r="M29" s="114">
        <v>6659870.07896162</v>
      </c>
      <c r="N29" s="111"/>
      <c r="O29" s="92" t="s">
        <v>61</v>
      </c>
      <c r="P29" s="93" t="s">
        <v>285</v>
      </c>
      <c r="Q29" s="93"/>
      <c r="R29" s="93"/>
      <c r="S29" s="94" t="s">
        <v>286</v>
      </c>
      <c r="T29" s="106"/>
      <c r="U29" s="112"/>
      <c r="V29" s="113"/>
    </row>
    <row r="30" customHeight="1" spans="2:22">
      <c r="B30" s="122"/>
      <c r="C30" s="115"/>
      <c r="D30" s="116" t="s">
        <v>64</v>
      </c>
      <c r="E30" s="117" t="s">
        <v>287</v>
      </c>
      <c r="F30" s="117"/>
      <c r="G30" s="117"/>
      <c r="H30" s="118" t="s">
        <v>47</v>
      </c>
      <c r="I30" s="119"/>
      <c r="J30" s="120"/>
      <c r="K30" s="121"/>
      <c r="M30" s="122"/>
      <c r="N30" s="115"/>
      <c r="O30" s="116" t="s">
        <v>64</v>
      </c>
      <c r="P30" s="117" t="s">
        <v>287</v>
      </c>
      <c r="Q30" s="117"/>
      <c r="R30" s="117"/>
      <c r="S30" s="118" t="s">
        <v>47</v>
      </c>
      <c r="T30" s="119"/>
      <c r="U30" s="120"/>
      <c r="V30" s="121"/>
    </row>
  </sheetData>
  <sheetProtection algorithmName="SHA-512" hashValue="qRF8h492ZhB1JuMYdM39h9mcDoYw7DG8Ka9pr+PW5sXDTU36Z4l8i/JI+jlVGq8K72JF+7EdX/N0c4L1enIuhA==" saltValue="8oB72SJyebrf+7aBBKzcIg==" spinCount="100000" sheet="1" objects="1" scenarios="1"/>
  <mergeCells count="84">
    <mergeCell ref="B2:C2"/>
    <mergeCell ref="D2:G2"/>
    <mergeCell ref="H2:I2"/>
    <mergeCell ref="J2:K2"/>
    <mergeCell ref="M2:N2"/>
    <mergeCell ref="O2:R2"/>
    <mergeCell ref="S2:T2"/>
    <mergeCell ref="U2:V2"/>
    <mergeCell ref="E3:G3"/>
    <mergeCell ref="J3:K3"/>
    <mergeCell ref="P3:R3"/>
    <mergeCell ref="U3:V3"/>
    <mergeCell ref="E4:G4"/>
    <mergeCell ref="P4:R4"/>
    <mergeCell ref="E5:G5"/>
    <mergeCell ref="P5:R5"/>
    <mergeCell ref="E6:G6"/>
    <mergeCell ref="P6:R6"/>
    <mergeCell ref="E7:G7"/>
    <mergeCell ref="P7:R7"/>
    <mergeCell ref="E8:G8"/>
    <mergeCell ref="J8:K8"/>
    <mergeCell ref="P8:R8"/>
    <mergeCell ref="U8:V8"/>
    <mergeCell ref="E9:G9"/>
    <mergeCell ref="P9:R9"/>
    <mergeCell ref="E10:G10"/>
    <mergeCell ref="P10:R10"/>
    <mergeCell ref="E11:G11"/>
    <mergeCell ref="J11:K11"/>
    <mergeCell ref="P11:R11"/>
    <mergeCell ref="U11:V11"/>
    <mergeCell ref="B12:C12"/>
    <mergeCell ref="E12:G12"/>
    <mergeCell ref="M12:N12"/>
    <mergeCell ref="P12:R12"/>
    <mergeCell ref="E13:G13"/>
    <mergeCell ref="P13:R13"/>
    <mergeCell ref="E14:G14"/>
    <mergeCell ref="P14:R14"/>
    <mergeCell ref="B18:C18"/>
    <mergeCell ref="D18:G18"/>
    <mergeCell ref="H18:I18"/>
    <mergeCell ref="J18:K18"/>
    <mergeCell ref="M18:N18"/>
    <mergeCell ref="O18:R18"/>
    <mergeCell ref="S18:T18"/>
    <mergeCell ref="U18:V18"/>
    <mergeCell ref="E19:G19"/>
    <mergeCell ref="J19:K19"/>
    <mergeCell ref="P19:R19"/>
    <mergeCell ref="U19:V19"/>
    <mergeCell ref="E20:G20"/>
    <mergeCell ref="P20:R20"/>
    <mergeCell ref="E21:G21"/>
    <mergeCell ref="P21:R21"/>
    <mergeCell ref="E22:G22"/>
    <mergeCell ref="P22:R22"/>
    <mergeCell ref="E23:G23"/>
    <mergeCell ref="P23:R23"/>
    <mergeCell ref="E24:G24"/>
    <mergeCell ref="J24:K24"/>
    <mergeCell ref="P24:R24"/>
    <mergeCell ref="U24:V24"/>
    <mergeCell ref="E25:G25"/>
    <mergeCell ref="P25:R25"/>
    <mergeCell ref="E26:G26"/>
    <mergeCell ref="P26:R26"/>
    <mergeCell ref="E27:G27"/>
    <mergeCell ref="J27:K27"/>
    <mergeCell ref="P27:R27"/>
    <mergeCell ref="U27:V27"/>
    <mergeCell ref="B28:C28"/>
    <mergeCell ref="E28:G28"/>
    <mergeCell ref="M28:N28"/>
    <mergeCell ref="P28:R28"/>
    <mergeCell ref="E29:G29"/>
    <mergeCell ref="P29:R29"/>
    <mergeCell ref="E30:G30"/>
    <mergeCell ref="P30:R30"/>
    <mergeCell ref="B13:C14"/>
    <mergeCell ref="B29:C30"/>
    <mergeCell ref="M13:N14"/>
    <mergeCell ref="M29:N30"/>
  </mergeCells>
  <conditionalFormatting sqref="V9">
    <cfRule type="cellIs" dxfId="10" priority="10" operator="notEqual">
      <formula>$K$9</formula>
    </cfRule>
  </conditionalFormatting>
  <conditionalFormatting sqref="K25">
    <cfRule type="cellIs" dxfId="10" priority="4" operator="notEqual">
      <formula>$K$9</formula>
    </cfRule>
  </conditionalFormatting>
  <conditionalFormatting sqref="V25">
    <cfRule type="cellIs" dxfId="10" priority="1" operator="notEqual">
      <formula>$K$9</formula>
    </cfRule>
  </conditionalFormatting>
  <conditionalFormatting sqref="H19:H30">
    <cfRule type="cellIs" dxfId="10" priority="7" operator="notEqual">
      <formula>$H3</formula>
    </cfRule>
  </conditionalFormatting>
  <conditionalFormatting sqref="K20:K22">
    <cfRule type="cellIs" dxfId="10" priority="5" operator="notEqual">
      <formula>$K4</formula>
    </cfRule>
  </conditionalFormatting>
  <conditionalFormatting sqref="S3:S14">
    <cfRule type="cellIs" dxfId="10" priority="12" operator="notEqual">
      <formula>$H3</formula>
    </cfRule>
  </conditionalFormatting>
  <conditionalFormatting sqref="S19:S30">
    <cfRule type="cellIs" dxfId="10" priority="3" operator="notEqual">
      <formula>$H3</formula>
    </cfRule>
  </conditionalFormatting>
  <conditionalFormatting sqref="V4:V6">
    <cfRule type="cellIs" dxfId="10" priority="11" operator="notEqual">
      <formula>$K4</formula>
    </cfRule>
  </conditionalFormatting>
  <conditionalFormatting sqref="V20:V22">
    <cfRule type="cellIs" dxfId="10" priority="2" operator="notEqual">
      <formula>$K4</formula>
    </cfRule>
  </conditionalFormatting>
  <conditionalFormatting sqref="P3 P4:R14">
    <cfRule type="cellIs" dxfId="10" priority="13" operator="notEqual">
      <formula>$E3</formula>
    </cfRule>
  </conditionalFormatting>
  <conditionalFormatting sqref="E19:G30">
    <cfRule type="cellIs" dxfId="10" priority="9" operator="notEqual">
      <formula>$E3</formula>
    </cfRule>
  </conditionalFormatting>
  <conditionalFormatting sqref="P19:R30">
    <cfRule type="cellIs" dxfId="10" priority="6" operator="notEqual">
      <formula>$E3</formula>
    </cfRule>
  </conditionalFormatting>
  <dataValidations count="12">
    <dataValidation type="list" allowBlank="1" showInputMessage="1" showErrorMessage="1" sqref="G3">
      <formula1>OFFSET(装备筛选!$A$2,0,0,装备筛选!#REF!,1)</formula1>
    </dataValidation>
    <dataValidation type="list" allowBlank="1" showInputMessage="1" showErrorMessage="1" sqref="G4">
      <formula1>OFFSET(装备筛选!$B$2,0,0,装备筛选!#REF!,1)</formula1>
    </dataValidation>
    <dataValidation type="list" allowBlank="1" showInputMessage="1" showErrorMessage="1" sqref="G5">
      <formula1>OFFSET(装备筛选!$C$2,0,0,装备筛选!#REF!,1)</formula1>
    </dataValidation>
    <dataValidation type="list" allowBlank="1" showInputMessage="1" showErrorMessage="1" sqref="G6">
      <formula1>OFFSET(装备筛选!$D$2,0,0,装备筛选!#REF!,1)</formula1>
    </dataValidation>
    <dataValidation type="list" allowBlank="1" showInputMessage="1" showErrorMessage="1" sqref="G7">
      <formula1>OFFSET(装备筛选!$E$2,0,0,装备筛选!#REF!,1)</formula1>
    </dataValidation>
    <dataValidation type="list" allowBlank="1" showInputMessage="1" showErrorMessage="1" sqref="G8">
      <formula1>OFFSET(装备筛选!$F$2,0,0,装备筛选!#REF!,1)</formula1>
    </dataValidation>
    <dataValidation type="list" allowBlank="1" showInputMessage="1" showErrorMessage="1" sqref="G9">
      <formula1>OFFSET(装备筛选!$G$2,0,0,装备筛选!#REF!,1)</formula1>
    </dataValidation>
    <dataValidation allowBlank="1" showInputMessage="1" showErrorMessage="1" sqref="K9 V9 K25 V25 E3:E14 H3:H14 K4:K6 K20:K22 V4:V6 V20:V22 E19:H30 P3:S14 P19:S30"/>
    <dataValidation type="list" allowBlank="1" showInputMessage="1" showErrorMessage="1" sqref="G10">
      <formula1>OFFSET(装备筛选!$H$2,0,0,装备筛选!#REF!,1)</formula1>
    </dataValidation>
    <dataValidation type="list" allowBlank="1" showInputMessage="1" showErrorMessage="1" sqref="F13:G13">
      <formula1>OFFSET(装备筛选!H2,0,0,装备筛选!#REF!,1)</formula1>
    </dataValidation>
    <dataValidation type="list" allowBlank="1" showInputMessage="1" showErrorMessage="1" sqref="G14">
      <formula1>OFFSET(装备筛选!$L$2,0,0,装备筛选!#REF!,1)</formula1>
    </dataValidation>
    <dataValidation type="list" allowBlank="1" showInputMessage="1" showErrorMessage="1" sqref="G11:G12">
      <formula1>OFFSET(装备筛选!$I$2,0,0,装备筛选!#REF!,1)</formula1>
    </dataValidation>
  </dataValidations>
  <pageMargins left="0.75" right="0.75" top="1" bottom="1" header="0.5" footer="0.5"/>
  <pageSetup paperSize="9" orientation="portrait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6"/>
  <dimension ref="A1:M31"/>
  <sheetViews>
    <sheetView workbookViewId="0">
      <selection activeCell="B8" sqref="B8"/>
    </sheetView>
  </sheetViews>
  <sheetFormatPr defaultColWidth="9" defaultRowHeight="13.5"/>
  <cols>
    <col min="2" max="2" width="16.25" customWidth="1"/>
    <col min="3" max="3" width="13.75"/>
    <col min="4" max="7" width="12.625"/>
    <col min="8" max="8" width="9.25"/>
    <col min="11" max="11" width="16" customWidth="1"/>
    <col min="12" max="12" width="12.625"/>
  </cols>
  <sheetData>
    <row r="1" ht="14.25" spans="1:13">
      <c r="B1" s="12"/>
      <c r="C1" s="12" t="s">
        <v>288</v>
      </c>
      <c r="D1" s="12" t="s">
        <v>289</v>
      </c>
      <c r="E1" s="12" t="s">
        <v>290</v>
      </c>
      <c r="F1" s="12" t="s">
        <v>291</v>
      </c>
      <c r="G1" s="12" t="s">
        <v>292</v>
      </c>
      <c r="H1" s="12" t="s">
        <v>293</v>
      </c>
      <c r="I1" s="12" t="s">
        <v>151</v>
      </c>
      <c r="J1" s="12" t="s">
        <v>294</v>
      </c>
      <c r="K1" s="12" t="s">
        <v>295</v>
      </c>
      <c r="L1" s="12" t="s">
        <v>296</v>
      </c>
      <c r="M1" s="12" t="s">
        <v>297</v>
      </c>
    </row>
    <row r="2" ht="14.25" spans="1:13">
      <c r="B2" s="12" t="s">
        <v>298</v>
      </c>
      <c r="C2" s="33"/>
      <c r="D2" s="33">
        <v>0</v>
      </c>
      <c r="E2" s="50">
        <v>1</v>
      </c>
      <c r="F2" s="12" t="s">
        <v>299</v>
      </c>
      <c r="G2" s="12" t="s">
        <v>299</v>
      </c>
      <c r="H2" s="12" t="s">
        <v>299</v>
      </c>
      <c r="I2" s="12">
        <v>132</v>
      </c>
      <c r="J2" s="12">
        <v>46901</v>
      </c>
      <c r="K2" s="12">
        <v>140708.04</v>
      </c>
      <c r="L2" s="39">
        <f>J2/(J2+K2)</f>
        <v>0.249993283905722</v>
      </c>
    </row>
    <row r="3" ht="14.25" spans="1:13">
      <c r="B3" s="12" t="s">
        <v>300</v>
      </c>
      <c r="C3" s="33"/>
      <c r="D3" s="33">
        <v>0</v>
      </c>
      <c r="E3" s="50"/>
      <c r="F3" s="12"/>
      <c r="G3" s="12"/>
      <c r="H3" s="12"/>
      <c r="I3" s="12">
        <v>133</v>
      </c>
      <c r="J3" s="12">
        <v>79721</v>
      </c>
      <c r="K3" s="12">
        <v>148058.46</v>
      </c>
      <c r="L3" s="39">
        <f>J3/(J3+K3)</f>
        <v>0.349992049327011</v>
      </c>
    </row>
    <row r="4" ht="14.25" spans="1:13">
      <c r="B4" s="12" t="s">
        <v>301</v>
      </c>
      <c r="C4" s="33"/>
      <c r="D4" s="33">
        <v>0</v>
      </c>
      <c r="E4" s="50"/>
      <c r="F4" s="12"/>
      <c r="G4" s="12"/>
      <c r="H4" s="12"/>
      <c r="I4" s="12">
        <v>134</v>
      </c>
      <c r="J4" s="12">
        <v>83679</v>
      </c>
      <c r="K4" s="12">
        <v>155408.88</v>
      </c>
      <c r="L4" s="39">
        <f>J4/(J4+K4)</f>
        <v>0.349992647055133</v>
      </c>
    </row>
    <row r="5" ht="14.25" spans="1:13">
      <c r="B5" s="12" t="s">
        <v>302</v>
      </c>
      <c r="C5" s="33"/>
      <c r="D5" s="33">
        <v>0</v>
      </c>
      <c r="E5" s="50"/>
      <c r="F5" s="12"/>
      <c r="G5" s="12"/>
      <c r="H5" s="12"/>
      <c r="I5" s="12">
        <v>134</v>
      </c>
      <c r="J5" s="12">
        <f>J4</f>
        <v>83679</v>
      </c>
      <c r="K5" s="12">
        <f>K4</f>
        <v>155408.88</v>
      </c>
      <c r="L5" s="39">
        <f>L4</f>
        <v>0.349992647055133</v>
      </c>
    </row>
    <row r="6" ht="14.25" spans="1:13">
      <c r="B6" s="12"/>
      <c r="C6" s="33"/>
      <c r="D6" s="33"/>
      <c r="E6" s="50"/>
      <c r="F6" s="12"/>
      <c r="G6" s="12"/>
      <c r="H6" s="12"/>
      <c r="I6" s="12"/>
      <c r="J6" s="12"/>
      <c r="K6" s="12"/>
      <c r="L6" s="39"/>
    </row>
    <row r="7" ht="14.25" spans="1:13">
      <c r="A7" t="s">
        <v>303</v>
      </c>
      <c r="B7" s="83" t="str" cm="1">
        <f t="array" ref="B7">_xlfn.IFS(计算主页!I6="木桩DPS","极境木桩",TRUE,"25英雄")</f>
        <v>25英雄</v>
      </c>
      <c r="I7" s="12">
        <f>_xlfn.XLOOKUP(B7,$B$2:$B$5,$I$2:$I$5)</f>
        <v>134</v>
      </c>
      <c r="J7" s="12">
        <f>_xlfn.XLOOKUP(B7,$B$2:$B$5,$J$2:$J$5)</f>
        <v>83679</v>
      </c>
      <c r="K7" s="12">
        <f>_xlfn.XLOOKUP(B7,$B$2:$B$5,$K$2:$K$5)</f>
        <v>155408.88</v>
      </c>
      <c r="M7" s="12">
        <f>(I7-常更新数据!AE2)*0.05</f>
        <v>0.2</v>
      </c>
    </row>
    <row r="10" spans="1:13">
      <c r="B10" t="s">
        <v>304</v>
      </c>
    </row>
    <row r="11" spans="1:13">
      <c r="B11">
        <v>-445644.8</v>
      </c>
    </row>
    <row r="12" spans="1:13">
      <c r="B12">
        <f>FLOOR(B11,1)</f>
        <v>-445645</v>
      </c>
      <c r="C12">
        <f>B12/1024+1024</f>
        <v>588.7998046875</v>
      </c>
      <c r="D12">
        <f>C12/1024</f>
        <v>0.574999809265137</v>
      </c>
      <c r="E12">
        <f>D12*7.421</f>
        <v>4.26707358455658</v>
      </c>
    </row>
    <row r="17" spans="2:7">
      <c r="B17" t="s">
        <v>305</v>
      </c>
      <c r="C17" t="s">
        <v>306</v>
      </c>
      <c r="D17" t="s">
        <v>307</v>
      </c>
      <c r="E17" t="s">
        <v>308</v>
      </c>
      <c r="F17" t="s">
        <v>309</v>
      </c>
      <c r="G17" t="s">
        <v>310</v>
      </c>
    </row>
    <row r="18" spans="2:7">
      <c r="B18">
        <v>2070000</v>
      </c>
      <c r="C18">
        <f>11*60</f>
        <v>660</v>
      </c>
      <c r="D18">
        <f>D21+D24</f>
        <v>0.422727272727273</v>
      </c>
      <c r="E18">
        <f>B18/C18/(1+D18)</f>
        <v>2204.47284345048</v>
      </c>
      <c r="F18">
        <f>E18/(1-D18)</f>
        <v>3818.77185479611</v>
      </c>
      <c r="G18">
        <f>F18/(25-4-5)</f>
        <v>238.673240924757</v>
      </c>
    </row>
    <row r="20" spans="2:7">
      <c r="D20" t="s">
        <v>311</v>
      </c>
    </row>
    <row r="21" spans="2:7">
      <c r="D21">
        <f>60*3/C18</f>
        <v>0.272727272727273</v>
      </c>
    </row>
    <row r="23" spans="2:7">
      <c r="D23" t="s">
        <v>312</v>
      </c>
    </row>
    <row r="24" spans="2:7">
      <c r="D24">
        <v>0.15</v>
      </c>
    </row>
    <row r="26" spans="2:7">
      <c r="B26">
        <f>1620000+2400*16</f>
        <v>1658400</v>
      </c>
      <c r="C26">
        <f>7*60+30</f>
        <v>450</v>
      </c>
      <c r="D26">
        <f>D29</f>
        <v>0.177777777777778</v>
      </c>
      <c r="E26">
        <f>B26/C26/(1+D26)</f>
        <v>3129.05660377358</v>
      </c>
      <c r="F26">
        <f>E26/(1-D26)</f>
        <v>3805.60938296787</v>
      </c>
      <c r="G26">
        <f>F26/(25-4-5)</f>
        <v>237.850586435492</v>
      </c>
    </row>
    <row r="28" spans="2:7">
      <c r="D28" t="s">
        <v>313</v>
      </c>
    </row>
    <row r="29" spans="2:7">
      <c r="D29">
        <f>40*2/C26</f>
        <v>0.177777777777778</v>
      </c>
    </row>
    <row r="31" spans="2:7">
      <c r="D31" t="s">
        <v>314</v>
      </c>
    </row>
  </sheetData>
  <dataValidations count="1">
    <dataValidation allowBlank="1" showInputMessage="1" showErrorMessage="1" sqref="B7"/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6"/>
  <dimension ref="B2:M32"/>
  <sheetViews>
    <sheetView showGridLines="0" workbookViewId="0">
      <selection activeCell="L27" sqref="L27"/>
    </sheetView>
  </sheetViews>
  <sheetFormatPr defaultColWidth="9" defaultRowHeight="13.5"/>
  <cols>
    <col min="1" max="1" width="9" style="78"/>
    <col min="2" max="2" width="7" style="78" customWidth="1"/>
    <col min="3" max="3" width="5.625" style="78" customWidth="1"/>
    <col min="4" max="8" width="8.875" style="78" customWidth="1"/>
    <col min="9" max="9" width="7.875" style="78" customWidth="1"/>
    <col min="10" max="10" width="9" style="78"/>
    <col min="11" max="11" width="7.875" style="78" customWidth="1"/>
    <col min="12" max="12" width="8.625" style="78" customWidth="1"/>
    <col min="13" max="13" width="7.875" style="78" customWidth="1"/>
    <col min="14" max="16384" width="9" style="78"/>
  </cols>
  <sheetData>
    <row r="2" ht="16.5" spans="2:13">
      <c r="B2" s="79" t="str">
        <f>加速计算!K1</f>
        <v>公共CD</v>
      </c>
      <c r="C2" s="79" t="str">
        <f>加速计算!L1</f>
        <v>0舞玳</v>
      </c>
      <c r="D2" s="79" t="str">
        <f>加速计算!M1</f>
        <v>1舞霜降玳</v>
      </c>
      <c r="E2" s="79" t="str">
        <f>加速计算!N1</f>
        <v>2舞霜降玳</v>
      </c>
      <c r="F2" s="79" t="str">
        <f>加速计算!O1</f>
        <v>3舞霜降玳</v>
      </c>
      <c r="G2" s="79" t="str">
        <f>加速计算!P1</f>
        <v>4舞霜降玳</v>
      </c>
      <c r="H2" s="79" t="str">
        <f>加速计算!Q1</f>
        <v>5舞霜降玳</v>
      </c>
      <c r="I2" s="79" t="str">
        <f>加速计算!R1</f>
        <v>加速阈值</v>
      </c>
      <c r="K2" s="79" t="str">
        <f>加速计算!T1</f>
        <v>无界玳弦</v>
      </c>
      <c r="L2" s="79" t="str">
        <f>加速计算!U1</f>
        <v>无界共CD</v>
      </c>
      <c r="M2" s="79" t="str">
        <f>加速计算!V1</f>
        <v>无界阈值</v>
      </c>
    </row>
    <row r="3" ht="14.25" spans="2:13">
      <c r="B3" s="80">
        <f>加速计算!K2</f>
        <v>1.375</v>
      </c>
      <c r="C3" s="80">
        <f>加速计算!L2</f>
        <v>2.125</v>
      </c>
      <c r="D3" s="80">
        <f>加速计算!M2</f>
        <v>1.625</v>
      </c>
      <c r="E3" s="80">
        <f>加速计算!N2</f>
        <v>2.0625</v>
      </c>
      <c r="F3" s="80">
        <f>加速计算!O2</f>
        <v>2.5</v>
      </c>
      <c r="G3" s="80">
        <f>加速计算!P2</f>
        <v>2.875</v>
      </c>
      <c r="H3" s="80">
        <f>加速计算!Q2</f>
        <v>3.3125</v>
      </c>
      <c r="I3" s="81">
        <f>加速计算!R2</f>
        <v>0</v>
      </c>
      <c r="K3" s="80">
        <f>加速计算!T2</f>
        <v>2.875</v>
      </c>
      <c r="L3" s="80">
        <f>加速计算!U2</f>
        <v>0.9375</v>
      </c>
      <c r="M3" s="82">
        <f>加速计算!V2</f>
        <v>0</v>
      </c>
    </row>
    <row r="4" ht="14.25" spans="2:13">
      <c r="B4" s="80">
        <f>加速计算!K3</f>
        <v>1.375</v>
      </c>
      <c r="C4" s="80">
        <f>加速计算!L3</f>
        <v>2.125</v>
      </c>
      <c r="D4" s="80">
        <f>加速计算!M3</f>
        <v>1.625</v>
      </c>
      <c r="E4" s="80">
        <f>加速计算!N3</f>
        <v>2.0625</v>
      </c>
      <c r="F4" s="80">
        <f>加速计算!O3</f>
        <v>2.4375</v>
      </c>
      <c r="G4" s="80">
        <f>加速计算!P3</f>
        <v>2.875</v>
      </c>
      <c r="H4" s="80">
        <f>加速计算!Q3</f>
        <v>3.3125</v>
      </c>
      <c r="I4" s="81">
        <f>加速计算!R3</f>
        <v>411</v>
      </c>
      <c r="K4" s="80">
        <f>加速计算!T3</f>
        <v>2.8125</v>
      </c>
      <c r="L4" s="80">
        <f>加速计算!U3</f>
        <v>0.9375</v>
      </c>
      <c r="M4" s="82">
        <f>加速计算!V3</f>
        <v>2462</v>
      </c>
    </row>
    <row r="5" ht="14.25" spans="2:13">
      <c r="B5" s="80">
        <f>加速计算!K4</f>
        <v>1.375</v>
      </c>
      <c r="C5" s="80">
        <f>加速计算!L4</f>
        <v>2.125</v>
      </c>
      <c r="D5" s="80">
        <f>加速计算!M4</f>
        <v>1.625</v>
      </c>
      <c r="E5" s="80">
        <f>加速计算!N4</f>
        <v>2.0625</v>
      </c>
      <c r="F5" s="80">
        <f>加速计算!O4</f>
        <v>2.4375</v>
      </c>
      <c r="G5" s="80">
        <f>加速计算!P4</f>
        <v>2.875</v>
      </c>
      <c r="H5" s="80">
        <f>加速计算!Q4</f>
        <v>3.25</v>
      </c>
      <c r="I5" s="81">
        <f>加速计算!R4</f>
        <v>1642</v>
      </c>
      <c r="K5" s="80">
        <f>加速计算!T4</f>
        <v>2.75</v>
      </c>
      <c r="L5" s="80">
        <f>加速计算!U4</f>
        <v>0.875</v>
      </c>
      <c r="M5" s="82">
        <f>加速计算!V4</f>
        <v>7386</v>
      </c>
    </row>
    <row r="6" ht="14.25" spans="2:13">
      <c r="B6" s="80">
        <f>加速计算!K5</f>
        <v>1.375</v>
      </c>
      <c r="C6" s="80">
        <f>加速计算!L5</f>
        <v>2.0625</v>
      </c>
      <c r="D6" s="80">
        <f>加速计算!M5</f>
        <v>1.625</v>
      </c>
      <c r="E6" s="80">
        <f>加速计算!N5</f>
        <v>2.0625</v>
      </c>
      <c r="F6" s="80">
        <f>加速计算!O5</f>
        <v>2.4375</v>
      </c>
      <c r="G6" s="80">
        <f>加速计算!P5</f>
        <v>2.875</v>
      </c>
      <c r="H6" s="80">
        <f>加速计算!Q5</f>
        <v>3.25</v>
      </c>
      <c r="I6" s="81">
        <f>加速计算!R5</f>
        <v>2257</v>
      </c>
      <c r="K6" s="80">
        <f>加速计算!T5</f>
        <v>2.6875</v>
      </c>
      <c r="L6" s="80">
        <f>加速计算!U5</f>
        <v>0.875</v>
      </c>
      <c r="M6" s="82">
        <f>加速计算!V5</f>
        <v>12515</v>
      </c>
    </row>
    <row r="7" ht="14.25" spans="2:13">
      <c r="B7" s="80">
        <f>加速计算!K6</f>
        <v>1.375</v>
      </c>
      <c r="C7" s="80">
        <f>加速计算!L6</f>
        <v>2.0625</v>
      </c>
      <c r="D7" s="80">
        <f>加速计算!M6</f>
        <v>1.625</v>
      </c>
      <c r="E7" s="80">
        <f>加速计算!N6</f>
        <v>2</v>
      </c>
      <c r="F7" s="80">
        <f>加速计算!O6</f>
        <v>2.4375</v>
      </c>
      <c r="G7" s="80">
        <f>加速计算!P6</f>
        <v>2.875</v>
      </c>
      <c r="H7" s="80">
        <f>加速计算!Q6</f>
        <v>3.25</v>
      </c>
      <c r="I7" s="81">
        <f>加速计算!R6</f>
        <v>2668</v>
      </c>
      <c r="K7" s="80">
        <f>加速计算!T6</f>
        <v>2.625</v>
      </c>
      <c r="L7" s="80">
        <f>加速计算!U6</f>
        <v>0.875</v>
      </c>
      <c r="M7" s="82">
        <f>加速计算!V6</f>
        <v>17849</v>
      </c>
    </row>
    <row r="8" ht="14.25" spans="2:13">
      <c r="B8" s="80">
        <f>加速计算!K7</f>
        <v>1.375</v>
      </c>
      <c r="C8" s="80">
        <f>加速计算!L7</f>
        <v>2.0625</v>
      </c>
      <c r="D8" s="80">
        <f>加速计算!M7</f>
        <v>1.625</v>
      </c>
      <c r="E8" s="80">
        <f>加速计算!N7</f>
        <v>2</v>
      </c>
      <c r="F8" s="80">
        <f>加速计算!O7</f>
        <v>2.4375</v>
      </c>
      <c r="G8" s="80">
        <f>加速计算!P7</f>
        <v>2.8125</v>
      </c>
      <c r="H8" s="80">
        <f>加速计算!Q7</f>
        <v>3.25</v>
      </c>
      <c r="I8" s="81">
        <f>加速计算!R7</f>
        <v>3488</v>
      </c>
      <c r="K8" s="80">
        <f>加速计算!T7</f>
        <v>2.5625</v>
      </c>
      <c r="L8" s="80">
        <f>加速计算!U7</f>
        <v>0.8125</v>
      </c>
      <c r="M8" s="82">
        <f>加速计算!V7</f>
        <v>23388</v>
      </c>
    </row>
    <row r="9" ht="14.25" spans="2:13">
      <c r="B9" s="80">
        <f>加速计算!K8</f>
        <v>1.375</v>
      </c>
      <c r="C9" s="80">
        <f>加速计算!L8</f>
        <v>2.0625</v>
      </c>
      <c r="D9" s="80">
        <f>加速计算!M8</f>
        <v>1.5625</v>
      </c>
      <c r="E9" s="80">
        <f>加速计算!N8</f>
        <v>2</v>
      </c>
      <c r="F9" s="80">
        <f>加速计算!O8</f>
        <v>2.375</v>
      </c>
      <c r="G9" s="80">
        <f>加速计算!P8</f>
        <v>2.8125</v>
      </c>
      <c r="H9" s="80">
        <f>加速计算!Q8</f>
        <v>3.1875</v>
      </c>
      <c r="I9" s="81">
        <f>加速计算!R8</f>
        <v>5950</v>
      </c>
      <c r="K9" s="80">
        <f>加速计算!T8</f>
        <v>2.5</v>
      </c>
      <c r="L9" s="80">
        <f>加速计算!U8</f>
        <v>0.8125</v>
      </c>
      <c r="M9" s="82">
        <f>加速计算!V8</f>
        <v>29132</v>
      </c>
    </row>
    <row r="10" ht="14.25" spans="2:13">
      <c r="B10" s="80">
        <f>加速计算!K9</f>
        <v>1.375</v>
      </c>
      <c r="C10" s="80">
        <f>加速计算!L9</f>
        <v>2.0625</v>
      </c>
      <c r="D10" s="80">
        <f>加速计算!M9</f>
        <v>1.5625</v>
      </c>
      <c r="E10" s="80">
        <f>加速计算!N9</f>
        <v>2</v>
      </c>
      <c r="F10" s="80">
        <f>加速计算!O9</f>
        <v>2.375</v>
      </c>
      <c r="G10" s="80">
        <f>加速计算!P9</f>
        <v>2.75</v>
      </c>
      <c r="H10" s="80">
        <f>加速计算!Q9</f>
        <v>3.1875</v>
      </c>
      <c r="I10" s="81">
        <f>加速计算!R9</f>
        <v>8617</v>
      </c>
      <c r="K10" s="80">
        <f>加速计算!T9</f>
        <v>2.4375</v>
      </c>
      <c r="L10" s="80">
        <f>加速计算!U9</f>
        <v>0.8125</v>
      </c>
      <c r="M10" s="82">
        <f>加速计算!V9</f>
        <v>35287</v>
      </c>
    </row>
    <row r="11" ht="14.25" spans="2:13">
      <c r="B11" s="80">
        <f>加速计算!K10</f>
        <v>1.3125</v>
      </c>
      <c r="C11" s="80">
        <f>加速计算!L10</f>
        <v>2</v>
      </c>
      <c r="D11" s="80">
        <f>加速计算!M10</f>
        <v>1.5625</v>
      </c>
      <c r="E11" s="80">
        <f>加速计算!N10</f>
        <v>2</v>
      </c>
      <c r="F11" s="80">
        <f>加速计算!O10</f>
        <v>2.375</v>
      </c>
      <c r="G11" s="80">
        <f>加速计算!P10</f>
        <v>2.75</v>
      </c>
      <c r="H11" s="80">
        <f>加速计算!Q10</f>
        <v>3.1875</v>
      </c>
      <c r="I11" s="81">
        <f>加速计算!R10</f>
        <v>9027</v>
      </c>
      <c r="K11" s="80">
        <f>加速计算!T10</f>
        <v>2.375</v>
      </c>
      <c r="L11" s="80">
        <f>加速计算!U10</f>
        <v>0.75</v>
      </c>
      <c r="M11" s="82">
        <f>加速计算!V10</f>
        <v>41852</v>
      </c>
    </row>
    <row r="12" ht="14.25" spans="2:13">
      <c r="B12" s="80">
        <f>加速计算!K11</f>
        <v>1.3125</v>
      </c>
      <c r="C12" s="80">
        <f>加速计算!L11</f>
        <v>2</v>
      </c>
      <c r="D12" s="80">
        <f>加速计算!M11</f>
        <v>1.5625</v>
      </c>
      <c r="E12" s="80">
        <f>加速计算!N11</f>
        <v>1.9375</v>
      </c>
      <c r="F12" s="80">
        <f>加速计算!O11</f>
        <v>2.375</v>
      </c>
      <c r="G12" s="80">
        <f>加速计算!P11</f>
        <v>2.75</v>
      </c>
      <c r="H12" s="80">
        <f>加速计算!Q11</f>
        <v>3.1875</v>
      </c>
      <c r="I12" s="81">
        <f>加速计算!R11</f>
        <v>9643</v>
      </c>
    </row>
    <row r="13" ht="14.25" spans="2:13">
      <c r="B13" s="80">
        <f>加速计算!K12</f>
        <v>1.3125</v>
      </c>
      <c r="C13" s="80">
        <f>加速计算!L12</f>
        <v>2</v>
      </c>
      <c r="D13" s="80">
        <f>加速计算!M12</f>
        <v>1.5625</v>
      </c>
      <c r="E13" s="80">
        <f>加速计算!N12</f>
        <v>1.9375</v>
      </c>
      <c r="F13" s="80">
        <f>加速计算!O12</f>
        <v>2.375</v>
      </c>
      <c r="G13" s="80">
        <f>加速计算!P12</f>
        <v>2.75</v>
      </c>
      <c r="H13" s="80">
        <f>加速计算!Q12</f>
        <v>3.125</v>
      </c>
      <c r="I13" s="81">
        <f>加速计算!R12</f>
        <v>10463</v>
      </c>
    </row>
    <row r="14" ht="14.25" spans="2:13">
      <c r="B14" s="80">
        <f>加速计算!K13</f>
        <v>1.3125</v>
      </c>
      <c r="C14" s="80">
        <f>加速计算!L13</f>
        <v>2</v>
      </c>
      <c r="D14" s="80">
        <f>加速计算!M13</f>
        <v>1.5625</v>
      </c>
      <c r="E14" s="80">
        <f>加速计算!N13</f>
        <v>1.9375</v>
      </c>
      <c r="F14" s="80">
        <f>加速计算!O13</f>
        <v>2.3125</v>
      </c>
      <c r="G14" s="80">
        <f>加速计算!P13</f>
        <v>2.75</v>
      </c>
      <c r="H14" s="80">
        <f>加速计算!Q13</f>
        <v>3.125</v>
      </c>
      <c r="I14" s="81">
        <f>加速计算!R13</f>
        <v>11899</v>
      </c>
    </row>
    <row r="15" ht="14.25" spans="2:13">
      <c r="B15" s="80">
        <f>加速计算!K14</f>
        <v>1.3125</v>
      </c>
      <c r="C15" s="80">
        <f>加速计算!L14</f>
        <v>2</v>
      </c>
      <c r="D15" s="80">
        <f>加速计算!M14</f>
        <v>1.5625</v>
      </c>
      <c r="E15" s="80">
        <f>加速计算!N14</f>
        <v>1.9375</v>
      </c>
      <c r="F15" s="80">
        <f>加速计算!O14</f>
        <v>2.3125</v>
      </c>
      <c r="G15" s="80">
        <f>加速计算!P14</f>
        <v>2.6875</v>
      </c>
      <c r="H15" s="80">
        <f>加速计算!Q14</f>
        <v>3.125</v>
      </c>
      <c r="I15" s="81">
        <f>加速计算!R14</f>
        <v>13746</v>
      </c>
    </row>
    <row r="16" ht="14.25" spans="2:13">
      <c r="B16" s="80">
        <f>加速计算!K15</f>
        <v>1.3125</v>
      </c>
      <c r="C16" s="80">
        <f>加速计算!L15</f>
        <v>2</v>
      </c>
      <c r="D16" s="80">
        <f>加速计算!M15</f>
        <v>1.5</v>
      </c>
      <c r="E16" s="80">
        <f>加速计算!N15</f>
        <v>1.9375</v>
      </c>
      <c r="F16" s="80">
        <f>加速计算!O15</f>
        <v>2.3125</v>
      </c>
      <c r="G16" s="80">
        <f>加速计算!P15</f>
        <v>2.6875</v>
      </c>
      <c r="H16" s="80">
        <f>加速计算!Q15</f>
        <v>3.0625</v>
      </c>
      <c r="I16" s="81">
        <f>加速计算!R15</f>
        <v>14977</v>
      </c>
    </row>
    <row r="17" ht="14.25" spans="2:9">
      <c r="B17" s="80">
        <f>加速计算!K16</f>
        <v>1.3125</v>
      </c>
      <c r="C17" s="80">
        <f>加速计算!L16</f>
        <v>1.9375</v>
      </c>
      <c r="D17" s="80">
        <f>加速计算!M16</f>
        <v>1.5</v>
      </c>
      <c r="E17" s="80">
        <f>加速计算!N16</f>
        <v>1.9375</v>
      </c>
      <c r="F17" s="80">
        <f>加速计算!O16</f>
        <v>2.3125</v>
      </c>
      <c r="G17" s="80">
        <f>加速计算!P16</f>
        <v>2.6875</v>
      </c>
      <c r="H17" s="80">
        <f>加速计算!Q16</f>
        <v>3.0625</v>
      </c>
      <c r="I17" s="81">
        <f>加速计算!R16</f>
        <v>16208</v>
      </c>
    </row>
    <row r="18" ht="14.25" spans="2:9">
      <c r="B18" s="80">
        <f>加速计算!K17</f>
        <v>1.3125</v>
      </c>
      <c r="C18" s="80">
        <f>加速计算!L17</f>
        <v>1.9375</v>
      </c>
      <c r="D18" s="80">
        <f>加速计算!M17</f>
        <v>1.5</v>
      </c>
      <c r="E18" s="80">
        <f>加速计算!N17</f>
        <v>1.875</v>
      </c>
      <c r="F18" s="80">
        <f>加速计算!O17</f>
        <v>2.3125</v>
      </c>
      <c r="G18" s="80">
        <f>加速计算!P17</f>
        <v>2.6875</v>
      </c>
      <c r="H18" s="80">
        <f>加速计算!Q17</f>
        <v>3.0625</v>
      </c>
      <c r="I18" s="81">
        <f>加速计算!R17</f>
        <v>17028</v>
      </c>
    </row>
    <row r="19" ht="14.25" spans="2:9">
      <c r="B19" s="80">
        <f>加速计算!K18</f>
        <v>1.3125</v>
      </c>
      <c r="C19" s="80">
        <f>加速计算!L18</f>
        <v>1.9375</v>
      </c>
      <c r="D19" s="80">
        <f>加速计算!M18</f>
        <v>1.5</v>
      </c>
      <c r="E19" s="80">
        <f>加速计算!N18</f>
        <v>1.875</v>
      </c>
      <c r="F19" s="80">
        <f>加速计算!O18</f>
        <v>2.25</v>
      </c>
      <c r="G19" s="80">
        <f>加速计算!P18</f>
        <v>2.6875</v>
      </c>
      <c r="H19" s="80">
        <f>加速计算!Q18</f>
        <v>3.0625</v>
      </c>
      <c r="I19" s="81">
        <f>加速计算!R18</f>
        <v>18259</v>
      </c>
    </row>
    <row r="20" ht="14.25" spans="2:9">
      <c r="B20" s="80">
        <f>加速计算!K19</f>
        <v>1.3125</v>
      </c>
      <c r="C20" s="80">
        <f>加速计算!L19</f>
        <v>1.9375</v>
      </c>
      <c r="D20" s="80">
        <f>加速计算!M19</f>
        <v>1.5</v>
      </c>
      <c r="E20" s="80">
        <f>加速计算!N19</f>
        <v>1.875</v>
      </c>
      <c r="F20" s="80">
        <f>加速计算!O19</f>
        <v>2.25</v>
      </c>
      <c r="G20" s="80">
        <f>加速计算!P19</f>
        <v>2.625</v>
      </c>
      <c r="H20" s="80">
        <f>加速计算!Q19</f>
        <v>3.0625</v>
      </c>
      <c r="I20" s="81">
        <f>加速计算!R19</f>
        <v>19080</v>
      </c>
    </row>
    <row r="21" ht="14.25" spans="2:9">
      <c r="B21" s="80">
        <f>加速计算!K20</f>
        <v>1.25</v>
      </c>
      <c r="C21" s="80">
        <f>加速计算!L20</f>
        <v>1.9375</v>
      </c>
      <c r="D21" s="80">
        <f>加速计算!M20</f>
        <v>1.5</v>
      </c>
      <c r="E21" s="80">
        <f>加速计算!N20</f>
        <v>1.875</v>
      </c>
      <c r="F21" s="80">
        <f>加速计算!O20</f>
        <v>2.25</v>
      </c>
      <c r="G21" s="80">
        <f>加速计算!P20</f>
        <v>2.625</v>
      </c>
      <c r="H21" s="80">
        <f>加速计算!Q20</f>
        <v>3</v>
      </c>
      <c r="I21" s="81">
        <f>加速计算!R20</f>
        <v>19900</v>
      </c>
    </row>
    <row r="22" ht="14.25" spans="2:9">
      <c r="B22" s="80">
        <f>加速计算!K21</f>
        <v>1.25</v>
      </c>
      <c r="C22" s="80">
        <f>加速计算!L21</f>
        <v>1.875</v>
      </c>
      <c r="D22" s="80">
        <f>加速计算!M21</f>
        <v>1.5</v>
      </c>
      <c r="E22" s="80">
        <f>加速计算!N21</f>
        <v>1.875</v>
      </c>
      <c r="F22" s="80">
        <f>加速计算!O21</f>
        <v>2.25</v>
      </c>
      <c r="G22" s="80">
        <f>加速计算!P21</f>
        <v>2.625</v>
      </c>
      <c r="H22" s="80">
        <f>加速计算!Q21</f>
        <v>3</v>
      </c>
      <c r="I22" s="81">
        <f>加速计算!R21</f>
        <v>23798</v>
      </c>
    </row>
    <row r="23" ht="14.25" spans="2:9">
      <c r="B23" s="80">
        <f>加速计算!K22</f>
        <v>1.25</v>
      </c>
      <c r="C23" s="80">
        <f>加速计算!L22</f>
        <v>1.875</v>
      </c>
      <c r="D23" s="80">
        <f>加速计算!M22</f>
        <v>1.4375</v>
      </c>
      <c r="E23" s="80">
        <f>加速计算!N22</f>
        <v>1.8125</v>
      </c>
      <c r="F23" s="80">
        <f>加速计算!O22</f>
        <v>2.1875</v>
      </c>
      <c r="G23" s="80">
        <f>加速计算!P22</f>
        <v>2.5625</v>
      </c>
      <c r="H23" s="80">
        <f>加速计算!Q22</f>
        <v>2.9375</v>
      </c>
      <c r="I23" s="81">
        <f>加速计算!R22</f>
        <v>24824</v>
      </c>
    </row>
    <row r="24" ht="14.25" spans="2:9">
      <c r="B24" s="80">
        <f>加速计算!K23</f>
        <v>1.25</v>
      </c>
      <c r="C24" s="80">
        <f>加速计算!L23</f>
        <v>1.875</v>
      </c>
      <c r="D24" s="80">
        <f>加速计算!M23</f>
        <v>1.4375</v>
      </c>
      <c r="E24" s="80">
        <f>加速计算!N23</f>
        <v>1.8125</v>
      </c>
      <c r="F24" s="80">
        <f>加速计算!O23</f>
        <v>2.1875</v>
      </c>
      <c r="G24" s="80">
        <f>加速计算!P23</f>
        <v>2.5625</v>
      </c>
      <c r="H24" s="80">
        <f>加速计算!Q23</f>
        <v>2.875</v>
      </c>
      <c r="I24" s="81">
        <f>加速计算!R23</f>
        <v>30158</v>
      </c>
    </row>
    <row r="25" ht="14.25" spans="2:9">
      <c r="B25" s="80">
        <f>加速计算!K24</f>
        <v>1.25</v>
      </c>
      <c r="C25" s="80">
        <f>加速计算!L24</f>
        <v>1.875</v>
      </c>
      <c r="D25" s="80">
        <f>加速计算!M24</f>
        <v>1.4375</v>
      </c>
      <c r="E25" s="80">
        <f>加速计算!N24</f>
        <v>1.8125</v>
      </c>
      <c r="F25" s="80">
        <f>加速计算!O24</f>
        <v>2.1875</v>
      </c>
      <c r="G25" s="80">
        <f>加速计算!P24</f>
        <v>2.5</v>
      </c>
      <c r="H25" s="80">
        <f>加速计算!Q24</f>
        <v>2.875</v>
      </c>
      <c r="I25" s="81">
        <f>加速计算!R24</f>
        <v>30774</v>
      </c>
    </row>
    <row r="26" ht="14.25" spans="2:9">
      <c r="B26" s="80">
        <f>加速计算!K25</f>
        <v>1.1875</v>
      </c>
      <c r="C26" s="80">
        <f>加速计算!L25</f>
        <v>1.8125</v>
      </c>
      <c r="D26" s="80">
        <f>加速计算!M25</f>
        <v>1.4375</v>
      </c>
      <c r="E26" s="80">
        <f>加速计算!N25</f>
        <v>1.8125</v>
      </c>
      <c r="F26" s="80">
        <f>加速计算!O25</f>
        <v>2.125</v>
      </c>
      <c r="G26" s="80">
        <f>加速计算!P25</f>
        <v>2.5</v>
      </c>
      <c r="H26" s="80">
        <f>加速计算!Q25</f>
        <v>2.875</v>
      </c>
      <c r="I26" s="81">
        <f>加速计算!R25</f>
        <v>31799</v>
      </c>
    </row>
    <row r="27" ht="14.25" spans="2:9">
      <c r="B27" s="80">
        <f>加速计算!K26</f>
        <v>1.1875</v>
      </c>
      <c r="C27" s="80">
        <f>加速计算!L26</f>
        <v>1.8125</v>
      </c>
      <c r="D27" s="80">
        <f>加速计算!M26</f>
        <v>1.4375</v>
      </c>
      <c r="E27" s="80">
        <f>加速计算!N26</f>
        <v>1.75</v>
      </c>
      <c r="F27" s="80">
        <f>加速计算!O26</f>
        <v>2.125</v>
      </c>
      <c r="G27" s="80">
        <f>加速计算!P26</f>
        <v>2.5</v>
      </c>
      <c r="H27" s="80">
        <f>加速计算!Q26</f>
        <v>2.875</v>
      </c>
      <c r="I27" s="81">
        <f>加速计算!R26</f>
        <v>33235</v>
      </c>
    </row>
    <row r="28" ht="14.25" spans="2:9">
      <c r="B28" s="80">
        <f>加速计算!K27</f>
        <v>1.1875</v>
      </c>
      <c r="C28" s="80">
        <f>加速计算!L27</f>
        <v>1.8125</v>
      </c>
      <c r="D28" s="80">
        <f>加速计算!M27</f>
        <v>1.375</v>
      </c>
      <c r="E28" s="80">
        <f>加速计算!N27</f>
        <v>1.75</v>
      </c>
      <c r="F28" s="80">
        <f>加速计算!O27</f>
        <v>2.125</v>
      </c>
      <c r="G28" s="80">
        <f>加速计算!P27</f>
        <v>2.5</v>
      </c>
      <c r="H28" s="80">
        <f>加速计算!Q27</f>
        <v>2.8125</v>
      </c>
      <c r="I28" s="81">
        <f>加速计算!R27</f>
        <v>35492</v>
      </c>
    </row>
    <row r="29" ht="14.25" spans="2:9">
      <c r="B29" s="80">
        <f>加速计算!K28</f>
        <v>1.1875</v>
      </c>
      <c r="C29" s="80">
        <f>加速计算!L28</f>
        <v>1.8125</v>
      </c>
      <c r="D29" s="80">
        <f>加速计算!M28</f>
        <v>1.375</v>
      </c>
      <c r="E29" s="80">
        <f>加速计算!N28</f>
        <v>1.75</v>
      </c>
      <c r="F29" s="80">
        <f>加速计算!O28</f>
        <v>2.125</v>
      </c>
      <c r="G29" s="80">
        <f>加速计算!P28</f>
        <v>2.4375</v>
      </c>
      <c r="H29" s="80">
        <f>加速计算!Q28</f>
        <v>2.8125</v>
      </c>
      <c r="I29" s="81">
        <f>加速计算!R28</f>
        <v>37133</v>
      </c>
    </row>
    <row r="30" ht="14.25" spans="2:9">
      <c r="B30" s="80">
        <f>加速计算!K29</f>
        <v>1.1875</v>
      </c>
      <c r="C30" s="80">
        <f>加速计算!L29</f>
        <v>1.8125</v>
      </c>
      <c r="D30" s="80">
        <f>加速计算!M29</f>
        <v>1.375</v>
      </c>
      <c r="E30" s="80">
        <f>加速计算!N29</f>
        <v>1.75</v>
      </c>
      <c r="F30" s="80">
        <f>加速计算!O29</f>
        <v>2.0625</v>
      </c>
      <c r="G30" s="80">
        <f>加速计算!P29</f>
        <v>2.4375</v>
      </c>
      <c r="H30" s="80">
        <f>加速计算!Q29</f>
        <v>2.8125</v>
      </c>
      <c r="I30" s="81">
        <f>加速计算!R29</f>
        <v>39185</v>
      </c>
    </row>
    <row r="31" ht="14.25" spans="2:9">
      <c r="B31" s="80">
        <f>加速计算!K30</f>
        <v>1.1875</v>
      </c>
      <c r="C31" s="80">
        <f>加速计算!L30</f>
        <v>1.75</v>
      </c>
      <c r="D31" s="80">
        <f>加速计算!M30</f>
        <v>1.375</v>
      </c>
      <c r="E31" s="80">
        <f>加速计算!N30</f>
        <v>1.75</v>
      </c>
      <c r="F31" s="80">
        <f>加速计算!O30</f>
        <v>2.0625</v>
      </c>
      <c r="G31" s="80">
        <f>加速计算!P30</f>
        <v>2.4375</v>
      </c>
      <c r="H31" s="80">
        <f>加速计算!Q30</f>
        <v>2.8125</v>
      </c>
      <c r="I31" s="81">
        <f>加速计算!R30</f>
        <v>40621</v>
      </c>
    </row>
    <row r="32" ht="14.25" spans="2:9">
      <c r="B32" s="80">
        <f>加速计算!K31</f>
        <v>1.1875</v>
      </c>
      <c r="C32" s="80">
        <f>加速计算!L31</f>
        <v>1.75</v>
      </c>
      <c r="D32" s="80">
        <f>加速计算!M31</f>
        <v>1.375</v>
      </c>
      <c r="E32" s="80">
        <f>加速计算!N31</f>
        <v>1.75</v>
      </c>
      <c r="F32" s="80">
        <f>加速计算!O31</f>
        <v>2.0625</v>
      </c>
      <c r="G32" s="80">
        <f>加速计算!P31</f>
        <v>2.4375</v>
      </c>
      <c r="H32" s="80">
        <f>加速计算!Q31</f>
        <v>2.75</v>
      </c>
      <c r="I32" s="81">
        <f>加速计算!R31</f>
        <v>41237</v>
      </c>
    </row>
  </sheetData>
  <sheetProtection algorithmName="SHA-512" hashValue="NSXt34l8lRUTt7S3KkFAN+2RQBlZvfblgWRzR57+m+ayx9YYhZU66j++hIbPBb4ADQJRAVfjQJsQ9Dvc36x5/A==" saltValue="SF1kbh8AoUbyNgmqij318A==" spinCount="100000" sheet="1" objects="1"/>
  <conditionalFormatting sqref="C3">
    <cfRule type="colorScale" priority="11">
      <colorScale>
        <cfvo type="min"/>
        <cfvo type="max"/>
        <color rgb="FFFCFCFF"/>
        <color rgb="FFF8696B"/>
      </colorScale>
    </cfRule>
  </conditionalFormatting>
  <conditionalFormatting sqref="B3:B32">
    <cfRule type="colorScale" priority="12">
      <colorScale>
        <cfvo type="min"/>
        <cfvo type="max"/>
        <color rgb="FFFCFCFF"/>
        <color rgb="FFF8696B"/>
      </colorScale>
    </cfRule>
  </conditionalFormatting>
  <conditionalFormatting sqref="C3:C32">
    <cfRule type="colorScale" priority="10">
      <colorScale>
        <cfvo type="min"/>
        <cfvo type="max"/>
        <color rgb="FFFCFCFF"/>
        <color rgb="FFF8696B"/>
      </colorScale>
    </cfRule>
  </conditionalFormatting>
  <conditionalFormatting sqref="D3:D32">
    <cfRule type="colorScale" priority="9">
      <colorScale>
        <cfvo type="min"/>
        <cfvo type="max"/>
        <color rgb="FFFCFCFF"/>
        <color rgb="FFF8696B"/>
      </colorScale>
    </cfRule>
  </conditionalFormatting>
  <conditionalFormatting sqref="E3:E32">
    <cfRule type="colorScale" priority="8">
      <colorScale>
        <cfvo type="min"/>
        <cfvo type="max"/>
        <color rgb="FFFCFCFF"/>
        <color rgb="FFF8696B"/>
      </colorScale>
    </cfRule>
  </conditionalFormatting>
  <conditionalFormatting sqref="F3:F32">
    <cfRule type="colorScale" priority="7">
      <colorScale>
        <cfvo type="min"/>
        <cfvo type="max"/>
        <color rgb="FFFCFCFF"/>
        <color rgb="FFF8696B"/>
      </colorScale>
    </cfRule>
  </conditionalFormatting>
  <conditionalFormatting sqref="G3:G32">
    <cfRule type="colorScale" priority="6">
      <colorScale>
        <cfvo type="min"/>
        <cfvo type="max"/>
        <color rgb="FFFCFCFF"/>
        <color rgb="FFF8696B"/>
      </colorScale>
    </cfRule>
  </conditionalFormatting>
  <conditionalFormatting sqref="H3:H32">
    <cfRule type="colorScale" priority="5">
      <colorScale>
        <cfvo type="min"/>
        <cfvo type="max"/>
        <color rgb="FFFCFCFF"/>
        <color rgb="FFF8696B"/>
      </colorScale>
    </cfRule>
  </conditionalFormatting>
  <conditionalFormatting sqref="I3:I32">
    <cfRule type="colorScale" priority="4">
      <colorScale>
        <cfvo type="min"/>
        <cfvo type="max"/>
        <color rgb="FFF8696B"/>
        <color rgb="FFFCFCFF"/>
      </colorScale>
    </cfRule>
  </conditionalFormatting>
  <conditionalFormatting sqref="K3:K11">
    <cfRule type="colorScale" priority="3">
      <colorScale>
        <cfvo type="min"/>
        <cfvo type="max"/>
        <color rgb="FFFCFCFF"/>
        <color rgb="FFF8696B"/>
      </colorScale>
    </cfRule>
  </conditionalFormatting>
  <conditionalFormatting sqref="L3:L11">
    <cfRule type="colorScale" priority="2">
      <colorScale>
        <cfvo type="min"/>
        <cfvo type="max"/>
        <color rgb="FFFCFCFF"/>
        <color rgb="FFF8696B"/>
      </colorScale>
    </cfRule>
  </conditionalFormatting>
  <conditionalFormatting sqref="M3:M11">
    <cfRule type="colorScale" priority="1">
      <colorScale>
        <cfvo type="min"/>
        <cfvo type="max"/>
        <color rgb="FFF8696B"/>
        <color rgb="FFFCFCFF"/>
      </colorScale>
    </cfRule>
  </conditionalFormatting>
  <conditionalFormatting sqref="B3:I32">
    <cfRule type="colorScale" priority="13">
      <colorScale>
        <cfvo type="min"/>
        <cfvo type="max"/>
        <color rgb="FFFCFCFF"/>
        <color rgb="FFF8696B"/>
      </colorScale>
    </cfRule>
    <cfRule type="colorScale" priority="14">
      <colorScale>
        <cfvo type="min"/>
        <cfvo type="max"/>
        <color rgb="FFFCFCFF"/>
        <color rgb="FFF8696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S45"/>
  <sheetViews>
    <sheetView topLeftCell="H1" workbookViewId="0">
      <selection activeCell="G30" sqref="G30"/>
    </sheetView>
  </sheetViews>
  <sheetFormatPr defaultColWidth="9" defaultRowHeight="14.25"/>
  <cols>
    <col min="1" max="1" width="27.125" style="1" customWidth="1"/>
    <col min="2" max="2" width="22.5" style="1" customWidth="1"/>
    <col min="3" max="4" width="28.75" style="1" customWidth="1"/>
    <col min="5" max="6" width="27.125" style="1" customWidth="1"/>
    <col min="7" max="8" width="28.75" style="1" customWidth="1"/>
    <col min="9" max="11" width="27.125" style="1" customWidth="1"/>
    <col min="12" max="12" width="24.75" style="1" customWidth="1"/>
    <col min="13" max="13" width="7.125" style="1" customWidth="1"/>
    <col min="14" max="14" width="7.375" style="1" customWidth="1"/>
    <col min="15" max="15" width="5.25" style="1" customWidth="1"/>
    <col min="16" max="16" width="4.375" style="1" customWidth="1"/>
    <col min="17" max="17" width="9" style="1"/>
    <col min="18" max="18" width="22.5" style="1" customWidth="1"/>
    <col min="19" max="16384" width="9" style="1"/>
  </cols>
  <sheetData>
    <row r="1" spans="1:19">
      <c r="A1" s="1" t="s">
        <v>22</v>
      </c>
      <c r="B1" s="1" t="s">
        <v>27</v>
      </c>
      <c r="C1" s="1" t="s">
        <v>33</v>
      </c>
      <c r="D1" s="1" t="s">
        <v>38</v>
      </c>
      <c r="E1" s="1" t="s">
        <v>43</v>
      </c>
      <c r="F1" s="1" t="s">
        <v>45</v>
      </c>
      <c r="G1" s="1" t="s">
        <v>50</v>
      </c>
      <c r="H1" s="1" t="s">
        <v>54</v>
      </c>
      <c r="I1" s="1" t="s">
        <v>56</v>
      </c>
      <c r="J1" s="1" t="s">
        <v>56</v>
      </c>
      <c r="K1" s="1" t="s">
        <v>61</v>
      </c>
      <c r="L1" s="1" t="s">
        <v>64</v>
      </c>
      <c r="N1" s="1" t="s">
        <v>315</v>
      </c>
      <c r="O1" s="1" t="s">
        <v>316</v>
      </c>
    </row>
    <row r="2" spans="1:19">
      <c r="A2" s="12" t="str" cm="1">
        <f ca="1" t="array" ref="A2:A24">装备列表(A1)</f>
        <v>大切帽(破招 无双 42100)</v>
      </c>
      <c r="B2" s="12" t="str" cm="1">
        <f ca="1" t="array" ref="B2:B15">装备列表(B1)</f>
        <v>大切衣服(破防 无双 42100)</v>
      </c>
      <c r="C2" s="12" t="str" cm="1">
        <f ca="1" t="array" ref="C2:C43">装备列表(C1)</f>
        <v>大切腰带(会心 无双 42100)</v>
      </c>
      <c r="D2" s="12" t="str" cm="1">
        <f ca="1" t="array" ref="D2:D45">装备列表(D1)</f>
        <v>大切手(破防 无双 42100)</v>
      </c>
      <c r="E2" s="12" t="str" cm="1">
        <f ca="1" t="array" ref="E2:E45">装备列表(E1)</f>
        <v>大切裤(会心 无双 42100)</v>
      </c>
      <c r="F2" s="12" t="str" cm="1">
        <f ca="1" t="array" ref="F2:F22">装备列表(F1)</f>
        <v>大切鞋(破招 无双 42100)</v>
      </c>
      <c r="G2" s="12" t="str" cm="1">
        <f ca="1" t="array" ref="G2:G20">装备列表(G1)</f>
        <v>声望项链(破招 无双 42100)</v>
      </c>
      <c r="H2" s="12" t="str" cm="1">
        <f ca="1" t="array" ref="H2:H32">装备列表(H1)</f>
        <v>声望腰坠(会心 无双 42100)</v>
      </c>
      <c r="I2" s="12" t="str" cm="1">
        <f ca="1" t="array" ref="I2:I43">装备列表(I1)</f>
        <v>浪客戒(破防 无双 41400)</v>
      </c>
      <c r="J2" s="12" t="str" cm="1">
        <f ca="1" t="array" ref="J2:J43">装备列表(J1)</f>
        <v>浪客戒(破防 无双 41400)</v>
      </c>
      <c r="K2" s="12" t="str" cm="1">
        <f ca="1" t="array" ref="K2:K21">装备列表(K1)</f>
        <v>无修囊•特效(破防 无双 41400)</v>
      </c>
      <c r="L2" s="12" t="str" cm="1">
        <f ca="1" t="array" ref="L2:L23">装备列表(L1)</f>
        <v>龙鲤(会心 破防 加速 42500)</v>
      </c>
      <c r="M2" s="12"/>
      <c r="N2" s="1" t="str">
        <f>LEFT(装备推荐!C2,2)</f>
        <v>裤子</v>
      </c>
      <c r="O2" s="1">
        <f ca="1">COUNTA(装备列表(LEFT(N2,2)))</f>
        <v>44</v>
      </c>
      <c r="R2" s="1" t="s">
        <v>44</v>
      </c>
      <c r="S2" s="77">
        <v>0</v>
      </c>
    </row>
    <row r="3" spans="1:19">
      <c r="A3" s="1" t="str">
        <v>无修头•特效(会心 会效 破招 41400)</v>
      </c>
      <c r="B3" s="1" t="str">
        <v>神藏衫(加速 无双 41400)</v>
      </c>
      <c r="C3" s="1" t="str">
        <v>神藏带(破防 无双 41400)</v>
      </c>
      <c r="D3" s="1" t="str">
        <v>浪客手(会心 无双 41400)</v>
      </c>
      <c r="E3" s="1" t="str">
        <v>浪客裤(破防 无双 41400)</v>
      </c>
      <c r="F3" s="1" t="str">
        <v>无修鞋•特效(破防 无双 41400)</v>
      </c>
      <c r="G3" s="1" t="str">
        <v>无修项链•特效(破防 无双 41400)</v>
      </c>
      <c r="H3" s="1" t="str">
        <v>无修腰坠•特效(会心 无双 41400)</v>
      </c>
      <c r="I3" s="1" t="str">
        <v>玄脉戒(会心 无双 41400)</v>
      </c>
      <c r="J3" s="1" t="str">
        <v>玄脉戒(会心 无双 41400)</v>
      </c>
      <c r="K3" s="1" t="str">
        <v>无修囊•特效(会心 会效 无双 41400)</v>
      </c>
      <c r="L3" s="1" t="str">
        <v>大切武器(会心 无双 42100)</v>
      </c>
      <c r="R3" s="1" t="s">
        <v>317</v>
      </c>
      <c r="S3" s="77">
        <v>-0.00274726736350517</v>
      </c>
    </row>
    <row r="4" spans="1:19">
      <c r="A4" s="1" t="str">
        <v>无修头•特效(会心 无双 41400)</v>
      </c>
      <c r="B4" s="1" t="str">
        <v>世界首领衣(会心 无双 41400)</v>
      </c>
      <c r="C4" s="1" t="str">
        <v>玄脉腰带(加速 无双 41400)</v>
      </c>
      <c r="D4" s="1" t="str">
        <v>神藏护手(加速 无双 41400)</v>
      </c>
      <c r="E4" s="1" t="str">
        <v>神藏下裳(加速 无双 41400)</v>
      </c>
      <c r="F4" s="1" t="str">
        <v>无修鞋•特效(会心 破招 破防 无双 41400)</v>
      </c>
      <c r="G4" s="1" t="str">
        <v>无修项链•特效(会心 无双 41400)</v>
      </c>
      <c r="H4" s="1" t="str">
        <v>无修腰坠•特效(破防 无双 41400)</v>
      </c>
      <c r="I4" s="1" t="str">
        <v>世界首领戒(会心 无双 41400)</v>
      </c>
      <c r="J4" s="1" t="str">
        <v>世界首领戒(会心 无双 41400)</v>
      </c>
      <c r="K4" s="1" t="str">
        <v>无修囊•特效(会心 会效 破招 41400)</v>
      </c>
      <c r="L4" s="1" t="str">
        <v>世界首领武器(破招 无双 41400)</v>
      </c>
      <c r="N4" s="1" t="s">
        <v>318</v>
      </c>
      <c r="O4" s="1">
        <f>_xlfn.XLOOKUP(装备推荐!C2,N5:N16,O5:O16)</f>
        <v>5</v>
      </c>
      <c r="R4" s="1" t="s">
        <v>319</v>
      </c>
      <c r="S4" s="77">
        <v>-0.00301729292663522</v>
      </c>
    </row>
    <row r="5" spans="1:19">
      <c r="A5" s="1" t="str">
        <v>无修头•特效(会心 破招 破防 无双 41400)</v>
      </c>
      <c r="B5" s="1" t="str">
        <v>玄脉衣(破招 无双 41400)</v>
      </c>
      <c r="C5" s="1" t="str">
        <v>世界首领腰(破防 无双 41400)</v>
      </c>
      <c r="D5" s="1" t="str">
        <v>世界首领手(会心 无双 41400)</v>
      </c>
      <c r="E5" s="1" t="str">
        <v>鹊角裤(破招 无双 41400)</v>
      </c>
      <c r="F5" s="1" t="str">
        <v>无修鞋•特效(会心 会效 无双 41400)</v>
      </c>
      <c r="G5" s="1" t="str">
        <v>无修项链•特效(破招 无双 41400)</v>
      </c>
      <c r="H5" s="1" t="str">
        <v>无修腰坠•特效(破招 无双 41400)</v>
      </c>
      <c r="I5" s="1" t="str">
        <v>神藏戒指(破招 无双 41400)</v>
      </c>
      <c r="J5" s="1" t="str">
        <v>神藏戒指(破招 无双 41400)</v>
      </c>
      <c r="K5" s="1" t="str">
        <v>世界首领囊(会心 无双 41400)</v>
      </c>
      <c r="L5" s="1" t="str">
        <v>踏月来•特效(破防 无双 41400)</v>
      </c>
      <c r="N5" s="1" t="s">
        <v>22</v>
      </c>
      <c r="O5" s="1">
        <v>1</v>
      </c>
      <c r="R5" s="1" t="s">
        <v>320</v>
      </c>
      <c r="S5" s="77">
        <v>-0.00929945135543953</v>
      </c>
    </row>
    <row r="6" spans="1:19">
      <c r="A6" s="1" t="str">
        <v>神藏冠(会心 无双 41400)</v>
      </c>
      <c r="B6" s="1" t="str">
        <v>玄阙衣·校服(加速 无双 41400)</v>
      </c>
      <c r="C6" s="1" t="str">
        <v>玄阙腰·校服(会心 无双 41400)</v>
      </c>
      <c r="D6" s="1" t="str">
        <v>玄脉护手(破防 无双 41400)</v>
      </c>
      <c r="E6" s="1" t="str">
        <v>世界首领裤(破招 无双 41400)</v>
      </c>
      <c r="F6" s="1" t="str">
        <v>神藏靴(加速 无双 41400)</v>
      </c>
      <c r="G6" s="1" t="str">
        <v>神藏链(破防 无双 41400)</v>
      </c>
      <c r="H6" s="1" t="str">
        <v>雨夜禅•特效(破防 无双 41400)</v>
      </c>
      <c r="I6" s="1" t="str">
        <v>鹊角戒(加速 无双 41400)</v>
      </c>
      <c r="J6" s="1" t="str">
        <v>鹊角戒(加速 无双 41400)</v>
      </c>
      <c r="K6" s="1" t="str">
        <v>装绑暗器(破招 无双 41400)</v>
      </c>
      <c r="L6" s="1" t="str">
        <v>柔荑双剑(破招 无双 41400)</v>
      </c>
      <c r="N6" s="1" t="s">
        <v>27</v>
      </c>
      <c r="O6" s="1">
        <v>2</v>
      </c>
      <c r="R6" s="1" t="s">
        <v>321</v>
      </c>
      <c r="S6" s="77">
        <v>-0.0131208043733019</v>
      </c>
    </row>
    <row r="7" spans="1:19">
      <c r="A7" s="1" t="str">
        <v>玄脉帽(加速 无双 41400)</v>
      </c>
      <c r="B7" s="1" t="str">
        <v>小切衣(破防 无双 35900)</v>
      </c>
      <c r="C7" s="1" t="str">
        <v>清岳护腰·尊•精简(无双 41400)</v>
      </c>
      <c r="D7" s="1" t="str">
        <v>玄阙手·校服(破招 无双 41400)</v>
      </c>
      <c r="E7" s="1" t="str">
        <v>玄脉裤(会心 无双 41400)</v>
      </c>
      <c r="F7" s="1" t="str">
        <v>玄脉靴(会心 无双 41400)</v>
      </c>
      <c r="G7" s="1" t="str">
        <v>玄脉项饰(会心 无双 41400)</v>
      </c>
      <c r="H7" s="1" t="str">
        <v>玄脉坠(破招 无双 41400)</v>
      </c>
      <c r="I7" s="1" t="str">
        <v>玄溟戒·尊•精简(无双 41400)</v>
      </c>
      <c r="J7" s="1" t="str">
        <v>玄溟戒·尊•精简(无双 41400)</v>
      </c>
      <c r="K7" s="1" t="str">
        <v>玄脉囊(会心 无双 41400)</v>
      </c>
      <c r="L7" s="1" t="str">
        <v>惊荷双剑(会心 无双 41400)</v>
      </c>
      <c r="N7" s="1" t="s">
        <v>33</v>
      </c>
      <c r="O7" s="1">
        <v>3</v>
      </c>
      <c r="R7" s="1" t="s">
        <v>322</v>
      </c>
      <c r="S7" s="77">
        <v>-0.0131683373361031</v>
      </c>
    </row>
    <row r="8" spans="1:19">
      <c r="A8" s="1" t="str">
        <v>世界首领帽(破招 无双 41400)</v>
      </c>
      <c r="B8" s="1" t="str">
        <v>吃鸡衣(破招 无双 35300)</v>
      </c>
      <c r="C8" s="1" t="str">
        <v>鹤芝护腰·悟•精简(会心 无双 41400)</v>
      </c>
      <c r="D8" s="1" t="str">
        <v>烬燃护腕·尊•精简(无双 41400)</v>
      </c>
      <c r="E8" s="1" t="str">
        <v>蕴元裤·尊•精简(无双 41400)</v>
      </c>
      <c r="F8" s="1" t="str">
        <v>世界首领鞋(会心 无双 41400)</v>
      </c>
      <c r="G8" s="1" t="str">
        <v>世界首领链(会心 无双 41400)</v>
      </c>
      <c r="H8" s="1" t="str">
        <v>神藏坠(加速 无双 41400)</v>
      </c>
      <c r="I8" s="1" t="str">
        <v>灵寂戒·悟•精简(会心 无双 41400)</v>
      </c>
      <c r="J8" s="1" t="str">
        <v>灵寂戒·悟•精简(会心 无双 41400)</v>
      </c>
      <c r="K8" s="1" t="str">
        <v>神藏囊(加速 无双 41400)</v>
      </c>
      <c r="L8" s="1" t="str">
        <v>照梦枝(会心 破防 加速 39750)</v>
      </c>
      <c r="N8" s="1" t="s">
        <v>38</v>
      </c>
      <c r="O8" s="1">
        <v>4</v>
      </c>
      <c r="R8" s="1" t="s">
        <v>323</v>
      </c>
      <c r="S8" s="77">
        <v>-0.0157706511178377</v>
      </c>
    </row>
    <row r="9" spans="1:19">
      <c r="A9" s="1" t="str">
        <v>浪客冠(破招 无双 41400)</v>
      </c>
      <c r="B9" s="1" t="str">
        <v>香丹衫(加速 无双 35300)</v>
      </c>
      <c r="C9" s="1" t="str">
        <v>蛊雕护腰·破•精简(破防 无双 41400)</v>
      </c>
      <c r="D9" s="1" t="str">
        <v>寒蚀护腕·悟•精简(会心 无双 41400)</v>
      </c>
      <c r="E9" s="1" t="str">
        <v>皎然裤·悟•精简(会心 无双 41400)</v>
      </c>
      <c r="F9" s="1" t="str">
        <v>玄阙鞋·校服(破防 无双 41400)</v>
      </c>
      <c r="G9" s="1" t="str">
        <v>鹊角项饰(加速 无双 41400)</v>
      </c>
      <c r="H9" s="1" t="str">
        <v>声望腰坠·橙(会心 无双 38500)</v>
      </c>
      <c r="I9" s="1" t="str">
        <v>毋垢戒·破•精简(破防 无双 41400)</v>
      </c>
      <c r="J9" s="1" t="str">
        <v>毋垢戒·破•精简(破防 无双 41400)</v>
      </c>
      <c r="K9" s="1" t="str">
        <v>无修囊•特效(破招 无双 38100)</v>
      </c>
      <c r="L9" s="1" t="str">
        <v>侠义武器(会心 无双 38100)</v>
      </c>
      <c r="N9" s="1" t="s">
        <v>43</v>
      </c>
      <c r="O9" s="1">
        <v>5</v>
      </c>
      <c r="R9" s="1" t="s">
        <v>324</v>
      </c>
      <c r="S9" s="77">
        <v>-0.015866967297937</v>
      </c>
    </row>
    <row r="10" spans="1:19">
      <c r="A10" s="1" t="str">
        <v>玄阙帽·校服(破防 无双 41400)</v>
      </c>
      <c r="B10" s="1" t="str">
        <v>椒丘衣(破招 无双 35300)</v>
      </c>
      <c r="C10" s="1" t="str">
        <v>寂歌护腰·引•精简(破招 无双 41400)</v>
      </c>
      <c r="D10" s="1" t="str">
        <v>冷骨护腕·破•精简(破防 无双 41400)</v>
      </c>
      <c r="E10" s="1" t="str">
        <v>无愁裤·破•精简(破防 无双 41400)</v>
      </c>
      <c r="F10" s="1" t="str">
        <v>无修鞋•特效(会心 无双 38100)</v>
      </c>
      <c r="G10" s="1" t="str">
        <v>无修项链•特效(会心 破招 破防 无双 38100)</v>
      </c>
      <c r="H10" s="1" t="str">
        <v>无修腰坠•特效(会心 会效 破招 38100)</v>
      </c>
      <c r="I10" s="1" t="str">
        <v>真寰戒·引•精简(破招 无双 41400)</v>
      </c>
      <c r="J10" s="1" t="str">
        <v>真寰戒·引•精简(破招 无双 41400)</v>
      </c>
      <c r="K10" s="1" t="str">
        <v>无修囊•特效(破防 无双 38100)</v>
      </c>
      <c r="L10" s="1" t="str">
        <v>龙鲤(会心 破防 加速 37125)</v>
      </c>
      <c r="N10" s="1" t="s">
        <v>45</v>
      </c>
      <c r="O10" s="1">
        <v>6</v>
      </c>
      <c r="R10" s="1" t="s">
        <v>274</v>
      </c>
      <c r="S10" s="77">
        <v>-0.0198953087343706</v>
      </c>
    </row>
    <row r="11" spans="1:19">
      <c r="A11" s="1" t="str">
        <v>无修头•特效(破防 无双 38100)</v>
      </c>
      <c r="B11" s="1" t="str">
        <v>世界首领衣(会心 无双 35300)</v>
      </c>
      <c r="C11" s="1" t="str">
        <v>长右护腰·觉•精简(会心 破防 无双 41400)</v>
      </c>
      <c r="D11" s="1" t="str">
        <v>夜冤护腕·引•精简(破招 无双 41400)</v>
      </c>
      <c r="E11" s="1" t="str">
        <v>渡月裤·引•精简(破招 无双 41400)</v>
      </c>
      <c r="F11" s="1" t="str">
        <v>无修鞋•特效(会心 会效 破招 38100)</v>
      </c>
      <c r="G11" s="1" t="str">
        <v>无修项链•特效(破招 38100)</v>
      </c>
      <c r="H11" s="1" t="str">
        <v>无修腰坠•特效(会心 会效 无双 38100)</v>
      </c>
      <c r="I11" s="1" t="str">
        <v>荟茫戒·觉•精简(会心 破防 无双 41400)</v>
      </c>
      <c r="J11" s="1" t="str">
        <v>荟茫戒·觉•精简(会心 破防 无双 41400)</v>
      </c>
      <c r="K11" s="1" t="str">
        <v>无修囊•特效(会心 无双 38100)</v>
      </c>
      <c r="L11" s="1" t="str">
        <v>小切武器(会心 无双 35900)</v>
      </c>
      <c r="N11" s="1" t="s">
        <v>50</v>
      </c>
      <c r="O11" s="1">
        <v>7</v>
      </c>
      <c r="R11" s="1" t="s">
        <v>325</v>
      </c>
      <c r="S11" s="77">
        <v>-0.0202998520848352</v>
      </c>
    </row>
    <row r="12" spans="1:19">
      <c r="A12" s="1" t="str">
        <v>无修头•特效(会心 会效 无双 38100)</v>
      </c>
      <c r="B12" s="1" t="str">
        <v>牧川衣·校服(加速 无双 35300)</v>
      </c>
      <c r="C12" s="1" t="str">
        <v>应钟护腰·明•精简(会心 破招 无双 41400)</v>
      </c>
      <c r="D12" s="1" t="str">
        <v>尘霜护腕·觉•精简(会心 破防 无双 41400)</v>
      </c>
      <c r="E12" s="1" t="str">
        <v>芳生裤·觉•精简(会心 破防 无双 41400)</v>
      </c>
      <c r="F12" s="1" t="str">
        <v>无修鞋•特效(破防 无双 38100)</v>
      </c>
      <c r="G12" s="1" t="str">
        <v>无修项链•特效(会心 会效 破招 38100)</v>
      </c>
      <c r="H12" s="1" t="str">
        <v>无修腰坠•特效(会心 破招 破防 无双 38100)</v>
      </c>
      <c r="I12" s="1" t="str">
        <v>真寰戒·明•精简(会心 破招 无双 41400)</v>
      </c>
      <c r="J12" s="1" t="str">
        <v>真寰戒·明•精简(会心 破招 无双 41400)</v>
      </c>
      <c r="K12" s="1" t="str">
        <v>侠义暗器(破招 无双 38100)</v>
      </c>
      <c r="L12" s="1" t="str">
        <v>吃鸡武器(破防 无双 35300)</v>
      </c>
      <c r="N12" s="1" t="s">
        <v>54</v>
      </c>
      <c r="O12" s="1">
        <v>8</v>
      </c>
      <c r="R12" s="1" t="s">
        <v>326</v>
      </c>
      <c r="S12" s="77">
        <v>-0.0219963646709125</v>
      </c>
    </row>
    <row r="13" spans="1:19">
      <c r="A13" s="1" t="str">
        <v>无修头•特效(破招 无双 38100)</v>
      </c>
      <c r="B13" s="1" t="str">
        <v>挖宝衣(加速 无双 35300)</v>
      </c>
      <c r="C13" s="1" t="str">
        <v>姑洗护腰·绝•精简(破防 破招 无双 41400)</v>
      </c>
      <c r="D13" s="1" t="str">
        <v>哭雾护腕·明•精简(会心 破招 无双 41400)</v>
      </c>
      <c r="E13" s="1" t="str">
        <v>日易裤·明•精简(会心 破招 无双 41400)</v>
      </c>
      <c r="F13" s="1" t="str">
        <v>小切鞋(破招 无双 35900)</v>
      </c>
      <c r="G13" s="1" t="str">
        <v>声望项链(破招 无双 35900)</v>
      </c>
      <c r="H13" s="1" t="str">
        <v>神藏佩·橙(加速 无双 37900)</v>
      </c>
      <c r="I13" s="1" t="str">
        <v>寂光戒·绝•精简(破防 破招 无双 41400)</v>
      </c>
      <c r="J13" s="1" t="str">
        <v>寂光戒·绝•精简(破防 破招 无双 41400)</v>
      </c>
      <c r="K13" s="1" t="str">
        <v>椒丘囊(会心 无双 35300)</v>
      </c>
      <c r="L13" s="1" t="str">
        <v>挖宝武器(破招 无双 35300)</v>
      </c>
      <c r="N13" s="1" t="s">
        <v>327</v>
      </c>
      <c r="O13" s="1">
        <v>9</v>
      </c>
      <c r="R13" s="1" t="s">
        <v>328</v>
      </c>
      <c r="S13" s="77">
        <v>-0.0222971205374555</v>
      </c>
    </row>
    <row r="14" spans="1:19">
      <c r="A14" s="1" t="str">
        <v>小切帽(破招 无双 35900)</v>
      </c>
      <c r="B14" s="1" t="str">
        <v>挖宝衣(加速 无双 35300)</v>
      </c>
      <c r="C14" s="1" t="str">
        <v>钦原护腰·迅•精简(加速 无双 41400)</v>
      </c>
      <c r="D14" s="1" t="str">
        <v>暗涌护腕·绝•精简(破防 破招 无双 41400)</v>
      </c>
      <c r="E14" s="1" t="str">
        <v>故春裤·绝•精简(破防 破招 无双 41400)</v>
      </c>
      <c r="F14" s="1" t="str">
        <v>香丹靴(加速 无双 35300)</v>
      </c>
      <c r="G14" s="1" t="str">
        <v>椒丘项链(会心 无双 35300)</v>
      </c>
      <c r="H14" s="1" t="str">
        <v>玄脉佩·橙(破招 无双 37900)</v>
      </c>
      <c r="I14" s="1" t="str">
        <v>愁予戒·迅•精简(加速 41400)</v>
      </c>
      <c r="J14" s="1" t="str">
        <v>愁予戒·迅•精简(加速 41400)</v>
      </c>
      <c r="K14" s="1" t="str">
        <v>装绑暗器(破招 无双 35300)</v>
      </c>
      <c r="L14" s="1" t="str">
        <v>罗帷双剑(会心 无双 35300)</v>
      </c>
      <c r="N14" s="1" t="s">
        <v>329</v>
      </c>
      <c r="O14" s="1">
        <v>10</v>
      </c>
      <c r="R14" s="1" t="s">
        <v>330</v>
      </c>
      <c r="S14" s="77">
        <v>-0.023143041976871</v>
      </c>
    </row>
    <row r="15" spans="1:19">
      <c r="A15" s="1" t="str">
        <v>香丹冠(会心 无双 35300)</v>
      </c>
      <c r="B15" s="1" t="str">
        <v>冬至衣服(破防 无双 29800)</v>
      </c>
      <c r="C15" s="1" t="str">
        <v>霜锋引•特效(会心 破招 破防 无双 41400)</v>
      </c>
      <c r="D15" s="1" t="str">
        <v>谷息护腕·迅•精简(加速 无双 41400)</v>
      </c>
      <c r="E15" s="1" t="str">
        <v>话情裤·迅•精简(加速 41400)</v>
      </c>
      <c r="F15" s="1" t="str">
        <v>世界首领鞋(会心 无双 35300)</v>
      </c>
      <c r="G15" s="1" t="str">
        <v>世界首领链(会心 无双 35300)</v>
      </c>
      <c r="H15" s="1" t="str">
        <v>雨夜禅·橙•特效(破防 无双 37900)</v>
      </c>
      <c r="I15" s="1" t="str">
        <v>残霞卷•特效(会心 会效 破招 41400)</v>
      </c>
      <c r="J15" s="1" t="str">
        <v>残霞卷•特效(会心 会效 破招 41400)</v>
      </c>
      <c r="K15" s="1" t="str">
        <v>世界首领囊(会心 无双 35300)</v>
      </c>
      <c r="L15" s="1" t="str">
        <v>世界首领武器(破招 无双 35300)</v>
      </c>
      <c r="N15" s="1" t="s">
        <v>61</v>
      </c>
      <c r="O15" s="1">
        <v>11</v>
      </c>
      <c r="R15" s="1" t="s">
        <v>331</v>
      </c>
      <c r="S15" s="77">
        <v>-0.0268026724098307</v>
      </c>
    </row>
    <row r="16" spans="1:19">
      <c r="A16" s="1" t="str">
        <v>世界首领帽(破招 无双 35300)</v>
      </c>
      <c r="C16" s="1" t="str">
        <v>素影寒•特效(破招 41400)</v>
      </c>
      <c r="D16" s="1" t="str">
        <v>暗渡无声•特效(会心 会效 破招 41400)</v>
      </c>
      <c r="E16" s="1" t="str">
        <v>秋映月•特效(会心 破招 破防 无双 41400)</v>
      </c>
      <c r="F16" s="1" t="str">
        <v>椒丘靴(会心 无双 35300)</v>
      </c>
      <c r="G16" s="1" t="str">
        <v>香丹链(破防 无双 35300)</v>
      </c>
      <c r="H16" s="1" t="str">
        <v>无修腰坠·橙•特效(会心 无双 37900)</v>
      </c>
      <c r="I16" s="1" t="str">
        <v>梦冷星•特效(会心 会效 无双 41400)</v>
      </c>
      <c r="J16" s="1" t="str">
        <v>梦冷星•特效(会心 会效 无双 41400)</v>
      </c>
      <c r="K16" s="1" t="str">
        <v>香丹箭囊(加速 无双 35300)</v>
      </c>
      <c r="L16" s="1" t="str">
        <v>红珠翠箔•特效(破防 无双 35300)</v>
      </c>
      <c r="N16" s="1" t="s">
        <v>64</v>
      </c>
      <c r="O16" s="1">
        <v>12</v>
      </c>
      <c r="R16" s="1" t="s">
        <v>253</v>
      </c>
      <c r="S16" s="77">
        <v>-0.0318443955161862</v>
      </c>
    </row>
    <row r="17" spans="1:19">
      <c r="A17" s="1" t="str">
        <v>浪客帽(破招 无双 35300)</v>
      </c>
      <c r="C17" s="1" t="str">
        <v>苍茫渡•特效(会心 无双 41400)</v>
      </c>
      <c r="D17" s="1" t="str">
        <v>寒鸦啼血•特效(会心 会效 无双 41400)</v>
      </c>
      <c r="E17" s="1" t="str">
        <v>山色秋分•特效(会心 无双 41400)</v>
      </c>
      <c r="F17" s="1" t="str">
        <v>牧川鞋·校服(破防 无双 35300)</v>
      </c>
      <c r="G17" s="1" t="str">
        <v>噙香链(加速 无双 35300)</v>
      </c>
      <c r="H17" s="1" t="str">
        <v>无修腰坠·橙•特效(破防 无双 37900)</v>
      </c>
      <c r="I17" s="1" t="str">
        <v>松影静•特效(会心 破招 破防 无双 41400)</v>
      </c>
      <c r="J17" s="1" t="str">
        <v>松影静•特效(会心 破招 破防 无双 41400)</v>
      </c>
      <c r="K17" s="1" t="str">
        <v>无修囊•特效(会心 破防 无双 35300)</v>
      </c>
      <c r="L17" s="1" t="str">
        <v>瑶台双剑(破招 无双 35300)</v>
      </c>
      <c r="R17" s="1" t="s">
        <v>332</v>
      </c>
      <c r="S17" s="77">
        <v>-0.0327477891717671</v>
      </c>
    </row>
    <row r="18" spans="1:19">
      <c r="A18" s="1" t="str">
        <v>椒丘冠(加速 无双 35300)</v>
      </c>
      <c r="C18" s="1" t="str">
        <v>连九霄•特效(破防 无双 41400)</v>
      </c>
      <c r="D18" s="1" t="str">
        <v>毒雾藏针•特效(会心 无双 41400)</v>
      </c>
      <c r="E18" s="1" t="str">
        <v>一醉天涯•特效(破招 无双 41400)</v>
      </c>
      <c r="F18" s="1" t="str">
        <v>无修鞋•特效(会心 会效 无双 35300)</v>
      </c>
      <c r="G18" s="1" t="str">
        <v>无修项链•特效(无双 35300)</v>
      </c>
      <c r="H18" s="1" t="str">
        <v>无修腰坠·橙•特效(破招 无双 37900)</v>
      </c>
      <c r="I18" s="1" t="str">
        <v>浪歌行•特效(会心 无双 41400)</v>
      </c>
      <c r="J18" s="1" t="str">
        <v>浪歌行•特效(会心 无双 41400)</v>
      </c>
      <c r="K18" s="1" t="str">
        <v>无修囊•特效(破防 破招 无双 35300)</v>
      </c>
      <c r="L18" s="1" t="str">
        <v>照梦枝(会心 破防 加速 35000)</v>
      </c>
      <c r="N18"/>
      <c r="R18" s="1" t="s">
        <v>333</v>
      </c>
      <c r="S18" s="77">
        <v>-0.0332774967904191</v>
      </c>
    </row>
    <row r="19" spans="1:19">
      <c r="A19" s="1" t="str">
        <v>牧川帽·校服(破防 无双 35300)</v>
      </c>
      <c r="C19" s="1" t="str">
        <v>烟霞客•特效(会心 41400)</v>
      </c>
      <c r="D19" s="1" t="str">
        <v>缚风锁云•特效(破防 无双 41400)</v>
      </c>
      <c r="E19" s="1" t="str">
        <v>空林鸟•特效(破防 无双 41400)</v>
      </c>
      <c r="F19" s="1" t="str">
        <v>无修鞋•特效(破招 无双 35300)</v>
      </c>
      <c r="G19" s="1" t="str">
        <v>无修项链•特效(会心 破招 无双 35300)</v>
      </c>
      <c r="H19" s="1" t="str">
        <v>声望腰坠(会心 无双 35900)</v>
      </c>
      <c r="I19" s="1" t="str">
        <v>墨锋隐•特效(破防 无双 41400)</v>
      </c>
      <c r="J19" s="1" t="str">
        <v>墨锋隐•特效(破防 无双 41400)</v>
      </c>
      <c r="K19" s="1" t="str">
        <v>无修囊•特效(会心 无双 35300)</v>
      </c>
      <c r="L19" s="1" t="str">
        <v>飞剑•特效(破招 无双 33400)</v>
      </c>
      <c r="R19" s="1" t="s">
        <v>334</v>
      </c>
      <c r="S19" s="77">
        <v>-0.0392738933825436</v>
      </c>
    </row>
    <row r="20" spans="1:19">
      <c r="A20" s="1" t="str">
        <v>无修头•特效(会心 无双 35300)</v>
      </c>
      <c r="C20" s="1" t="str">
        <v>覆乾坤•特效(破防 41400)</v>
      </c>
      <c r="D20" s="1" t="str">
        <v>夜分刀气•特效(破招 无双 41400)</v>
      </c>
      <c r="E20" s="1" t="str">
        <v>醉醒间•特效(会心 41400)</v>
      </c>
      <c r="F20" s="1" t="str">
        <v>无修鞋•特效(破防 无双 35300)</v>
      </c>
      <c r="G20" s="1" t="str">
        <v>无修项链•特效(破防 无双 35300)</v>
      </c>
      <c r="H20" s="1" t="str">
        <v>椒丘坠(破招 无双 35300)</v>
      </c>
      <c r="I20" s="1" t="str">
        <v>赤阳踏•特效(破招 无双 41400)</v>
      </c>
      <c r="J20" s="1" t="str">
        <v>赤阳踏•特效(破招 无双 41400)</v>
      </c>
      <c r="K20" s="1" t="str">
        <v>吃鸡暗器(会心 无双 35300)</v>
      </c>
      <c r="L20" s="1" t="str">
        <v>照梦枝(会心 破防 加速 32000)</v>
      </c>
      <c r="N20"/>
      <c r="R20" s="1" t="s">
        <v>335</v>
      </c>
      <c r="S20" s="77">
        <v>-0.0406981884150525</v>
      </c>
    </row>
    <row r="21" spans="1:19">
      <c r="A21" s="1" t="str">
        <v>无修头•特效(会心 破招 无双 35300)</v>
      </c>
      <c r="C21" s="1" t="str">
        <v>凌顶观•特效(加速 无双 41400)</v>
      </c>
      <c r="D21" s="1" t="str">
        <v>幽壑藏身•特效(破招 41400)</v>
      </c>
      <c r="E21" s="1" t="str">
        <v>辞红尘•特效(破防 41400)</v>
      </c>
      <c r="F21" s="1" t="str">
        <v>吃鸡鞋(会心 无双 35300)</v>
      </c>
      <c r="H21" s="1" t="str">
        <v>香丹坠(加速 无双 35300)</v>
      </c>
      <c r="I21" s="1" t="str">
        <v>龙影起•特效(加速 41400)</v>
      </c>
      <c r="J21" s="1" t="str">
        <v>龙影起•特效(加速 41400)</v>
      </c>
      <c r="K21" s="1" t="str">
        <v>任务暗器(破防 无双 34100)</v>
      </c>
      <c r="L21" s="1" t="str">
        <v>血影天宇舞姬(会心 无双 30700)</v>
      </c>
      <c r="R21" s="1" t="s">
        <v>336</v>
      </c>
      <c r="S21" s="77">
        <v>-0.042117909445559</v>
      </c>
    </row>
    <row r="22" spans="1:19">
      <c r="A22" s="1" t="str">
        <v>无修头•特效(会心 破防 无双 35300)</v>
      </c>
      <c r="C22" s="1" t="str">
        <v>小切腰(会心 无双 35900)</v>
      </c>
      <c r="D22" s="1" t="str">
        <v>一息归尘•特效(加速 无双 41400)</v>
      </c>
      <c r="E22" s="1" t="str">
        <v>凭危楼•特效(加速 41400)</v>
      </c>
      <c r="F22" s="1" t="str">
        <v>挖宝鞋(会心 无双 35300)</v>
      </c>
      <c r="H22" s="1" t="str">
        <v>冷韵幽怀•特效(破防 无双 35300)</v>
      </c>
      <c r="I22" s="1" t="str">
        <v>侠义戒指(破防 无双 38100)</v>
      </c>
      <c r="J22" s="1" t="str">
        <v>侠义戒指(破防 无双 38100)</v>
      </c>
      <c r="L22" s="1" t="str">
        <v>照梦枝(会心 破防 加速 29500)</v>
      </c>
      <c r="R22" s="1" t="s">
        <v>337</v>
      </c>
      <c r="S22" s="77">
        <v>-0.0426118987081225</v>
      </c>
    </row>
    <row r="23" spans="1:19">
      <c r="A23" s="1" t="str">
        <v>吃鸡帽(会心 无双 35300)</v>
      </c>
      <c r="C23" s="1" t="str">
        <v>香丹带(破防 无双 35300)</v>
      </c>
      <c r="D23" s="1" t="str">
        <v>小切手(破防 无双 35900)</v>
      </c>
      <c r="E23" s="1" t="str">
        <v>侠义裤(会心 无双 38100)</v>
      </c>
      <c r="H23" s="1" t="str">
        <v>无修腰坠•特效(会心 破防 无双 35300)</v>
      </c>
      <c r="I23" s="1" t="str">
        <v>椒丘戒(会心 无双 35300)</v>
      </c>
      <c r="J23" s="1" t="str">
        <v>椒丘戒(会心 无双 35300)</v>
      </c>
      <c r="L23" s="1" t="str">
        <v>龙鲤(会心 破防 加速 27500)</v>
      </c>
      <c r="R23" s="1" t="s">
        <v>338</v>
      </c>
      <c r="S23" s="77">
        <v>-0.0435648038082047</v>
      </c>
    </row>
    <row r="24" spans="1:19">
      <c r="A24" s="1" t="str">
        <v>挖宝帽(会心 无双 35300)</v>
      </c>
      <c r="C24" s="1" t="str">
        <v>椒丘腰带(加速 无双 35300)</v>
      </c>
      <c r="D24" s="1" t="str">
        <v>世界首领手(会心 无双 35300)</v>
      </c>
      <c r="E24" s="1" t="str">
        <v>小切裤(会心 无双 35900)</v>
      </c>
      <c r="H24" s="1" t="str">
        <v>无修腰坠•特效(会心 无双 35300)</v>
      </c>
      <c r="I24" s="1" t="str">
        <v>浪客戒(破防 无双 35300)</v>
      </c>
      <c r="J24" s="1" t="str">
        <v>浪客戒(破防 无双 35300)</v>
      </c>
      <c r="R24" s="1" t="s">
        <v>339</v>
      </c>
      <c r="S24" s="77">
        <v>-0.045881740685857</v>
      </c>
    </row>
    <row r="25" spans="1:19">
      <c r="C25" s="1" t="str">
        <v>世界首领腰(破防 无双 35300)</v>
      </c>
      <c r="D25" s="1" t="str">
        <v>浪客手(会心 无双 35300)</v>
      </c>
      <c r="E25" s="1" t="str">
        <v>椒丘裤(会心 无双 35300)</v>
      </c>
      <c r="H25" s="1" t="str">
        <v>无修腰坠•特效(会心 会效 无双 35300)</v>
      </c>
      <c r="I25" s="1" t="str">
        <v>世界首领戒(会心 无双 35300)</v>
      </c>
      <c r="J25" s="1" t="str">
        <v>世界首领戒(会心 无双 35300)</v>
      </c>
      <c r="R25" s="1" t="s">
        <v>340</v>
      </c>
      <c r="S25" s="77">
        <v>-0.0467042850278647</v>
      </c>
    </row>
    <row r="26" spans="1:19">
      <c r="C26" s="1" t="str">
        <v>白露腰带·尊•精简(无双 35300)</v>
      </c>
      <c r="D26" s="1" t="str">
        <v>椒丘护手(破防 无双 35300)</v>
      </c>
      <c r="E26" s="1" t="str">
        <v>世界首领裤(破招 无双 35300)</v>
      </c>
      <c r="H26" s="1" t="str">
        <v>宛虹坠·橙(会心 无双 32800)</v>
      </c>
      <c r="I26" s="1" t="str">
        <v>香丹指环(破招 无双 35300)</v>
      </c>
      <c r="J26" s="1" t="str">
        <v>香丹指环(破招 无双 35300)</v>
      </c>
      <c r="R26" s="1" t="s">
        <v>273</v>
      </c>
      <c r="S26" s="77">
        <v>-0.0481310048485498</v>
      </c>
    </row>
    <row r="27" spans="1:19">
      <c r="C27" s="1" t="str">
        <v>长佩腰带·绝•精简(破防 破招 无双 35300)</v>
      </c>
      <c r="D27" s="1" t="str">
        <v>渚清袖·破•精简(破防 无双 35300)</v>
      </c>
      <c r="E27" s="1" t="str">
        <v>浪客裤(破防 无双 35300)</v>
      </c>
      <c r="H27" s="1" t="str">
        <v>香丹佩·橙(加速 无双 32300)</v>
      </c>
      <c r="I27" s="1" t="str">
        <v>琼楼戒·破•精简(破防 无双 35300)</v>
      </c>
      <c r="J27" s="1" t="str">
        <v>琼楼戒·破•精简(破防 无双 35300)</v>
      </c>
      <c r="R27" s="1" t="s">
        <v>341</v>
      </c>
      <c r="S27" s="77">
        <v>-0.0487579172953564</v>
      </c>
    </row>
    <row r="28" spans="1:19">
      <c r="C28" s="1" t="str">
        <v>迟暮腰带·悟•精简(会心 无双 35300)</v>
      </c>
      <c r="D28" s="1" t="str">
        <v>玉鸾袖·悟•精简(会心 无双 35300)</v>
      </c>
      <c r="E28" s="1" t="str">
        <v>香丹下裳(加速 无双 35300)</v>
      </c>
      <c r="H28" s="1" t="str">
        <v>椒丘佩·橙(破招 无双 32300)</v>
      </c>
      <c r="I28" s="1" t="str">
        <v>红药戒·迅•精简(加速 35300)</v>
      </c>
      <c r="J28" s="1" t="str">
        <v>红药戒·迅•精简(加速 35300)</v>
      </c>
      <c r="R28" s="1" t="s">
        <v>342</v>
      </c>
      <c r="S28" s="77">
        <v>-0.0501313876654887</v>
      </c>
    </row>
    <row r="29" spans="1:19">
      <c r="C29" s="1" t="str">
        <v>幽昧腰带·破•精简(破防 无双 35300)</v>
      </c>
      <c r="D29" s="1" t="str">
        <v>池鱼袖·迅•精简(加速 无双 35300)</v>
      </c>
      <c r="E29" s="1" t="str">
        <v>寒枝裤·绝•精简(破防 破招 无双 35300)</v>
      </c>
      <c r="H29" s="1" t="str">
        <v>冷韵幽怀·橙•特效(破防 无双 32300)</v>
      </c>
      <c r="I29" s="1" t="str">
        <v>轩窗戒·尊•精简(无双 35300)</v>
      </c>
      <c r="J29" s="1" t="str">
        <v>轩窗戒·尊•精简(无双 35300)</v>
      </c>
      <c r="R29" s="1" t="s">
        <v>343</v>
      </c>
      <c r="S29" s="77">
        <v>-0.0511493700713602</v>
      </c>
    </row>
    <row r="30" spans="1:19">
      <c r="C30" s="1" t="str">
        <v>灵修腰带·引•精简(破招 无双 35300)</v>
      </c>
      <c r="D30" s="1" t="str">
        <v>月湖袖·引•精简(破招 无双 35300)</v>
      </c>
      <c r="E30" s="1" t="str">
        <v>惊鹊裤·迅•精简(加速 35300)</v>
      </c>
      <c r="H30" s="1" t="str">
        <v>无修腰坠·橙•特效(会心 会效 无双 32300)</v>
      </c>
      <c r="I30" s="1" t="str">
        <v>断雁戒·绝•精简(破防 破招 无双 35300)</v>
      </c>
      <c r="J30" s="1" t="str">
        <v>断雁戒·绝•精简(破防 破招 无双 35300)</v>
      </c>
      <c r="R30" s="1" t="s">
        <v>344</v>
      </c>
      <c r="S30" s="77">
        <v>-0.0519258870551859</v>
      </c>
    </row>
    <row r="31" spans="1:19">
      <c r="C31" s="1" t="str">
        <v>不群腰带.觉•精简(会心 破防 无双 35300)</v>
      </c>
      <c r="D31" s="1" t="str">
        <v>晓镜袖·绝•精简(破防 破招 无双 35300)</v>
      </c>
      <c r="E31" s="1" t="str">
        <v>凤箫裤·破•精简(破防 无双 35300)</v>
      </c>
      <c r="H31" s="1" t="str">
        <v>无修腰坠·橙•特效(会心 破防 无双 32300)</v>
      </c>
      <c r="I31" s="1" t="str">
        <v>萧瑟戒·悟•精简(会心 无双 35300)</v>
      </c>
      <c r="J31" s="1" t="str">
        <v>萧瑟戒·悟•精简(会心 无双 35300)</v>
      </c>
      <c r="R31" s="1" t="s">
        <v>345</v>
      </c>
      <c r="S31" s="77">
        <v>-0.0525757641443825</v>
      </c>
    </row>
    <row r="32" spans="1:19">
      <c r="C32" s="1" t="str">
        <v>兰皋腰带·明•精简(会心 破招 无双 35300)</v>
      </c>
      <c r="D32" s="1" t="str">
        <v>烟玉袖·明•精简(会心 破招 无双 35300)</v>
      </c>
      <c r="E32" s="1" t="str">
        <v>纤云裤·悟•精简(会心 无双 35300)</v>
      </c>
      <c r="H32" s="1" t="str">
        <v>无修腰坠·橙•特效(会心 无双 32300)</v>
      </c>
      <c r="I32" s="1" t="str">
        <v>朱阁戒·引•精简(破招 无双 35300)</v>
      </c>
      <c r="J32" s="1" t="str">
        <v>朱阁戒·引•精简(破招 无双 35300)</v>
      </c>
      <c r="R32" s="1" t="s">
        <v>346</v>
      </c>
      <c r="S32" s="77">
        <v>-0.0525757641443825</v>
      </c>
    </row>
    <row r="33" spans="3:19">
      <c r="C33" s="1" t="str">
        <v>潜渊腰带·迅•精简(加速 无双 35300)</v>
      </c>
      <c r="D33" s="1" t="str">
        <v>新雨袖·觉•精简(会心 破防 无双 35300)</v>
      </c>
      <c r="E33" s="1" t="str">
        <v>兰舟裤·引•精简(破招 无双 35300)</v>
      </c>
      <c r="I33" s="1" t="str">
        <v>汀洲戒·觉•精简(会心 破防 无双 35300)</v>
      </c>
      <c r="J33" s="1" t="str">
        <v>汀洲戒·觉•精简(会心 破防 无双 35300)</v>
      </c>
      <c r="R33" s="1" t="s">
        <v>347</v>
      </c>
      <c r="S33" s="77">
        <v>-0.053754696137418</v>
      </c>
    </row>
    <row r="34" spans="3:19">
      <c r="C34" s="1" t="str">
        <v>独对青山•特效(会心 破招 破防 无双 35300)</v>
      </c>
      <c r="D34" s="1" t="str">
        <v>琼枝袖·尊•精简(无双 35300)</v>
      </c>
      <c r="E34" s="1" t="str">
        <v>罗幕裤·尊•精简(无双 35300)</v>
      </c>
      <c r="I34" s="1" t="str">
        <v>雨客戒·明•精简(会心 破招 无双 35300)</v>
      </c>
      <c r="J34" s="1" t="str">
        <v>雨客戒·明•精简(会心 破招 无双 35300)</v>
      </c>
      <c r="R34" s="1" t="s">
        <v>348</v>
      </c>
      <c r="S34" s="77">
        <v>-0.0569424581237069</v>
      </c>
    </row>
    <row r="35" spans="3:19">
      <c r="C35" s="1" t="str">
        <v>千峰翠•特效(破招 35300)</v>
      </c>
      <c r="D35" s="1" t="str">
        <v>云收雾敛•特效(会心 会效 破招 35300)</v>
      </c>
      <c r="E35" s="1" t="str">
        <v>雁回裤·觉•精简(会心 破防 无双 35300)</v>
      </c>
      <c r="I35" s="1" t="str">
        <v>出昆仑•特效(会心 会效 破招 35300)</v>
      </c>
      <c r="J35" s="1" t="str">
        <v>出昆仑•特效(会心 会效 破招 35300)</v>
      </c>
      <c r="R35" s="1" t="s">
        <v>349</v>
      </c>
      <c r="S35" s="77">
        <v>-0.0657745314055528</v>
      </c>
    </row>
    <row r="36" spans="3:19">
      <c r="C36" s="1" t="str">
        <v>秦关易水•特效(会心 无双 35300)</v>
      </c>
      <c r="D36" s="1" t="str">
        <v>九重霄汉•特效(会心 会效 无双 35300)</v>
      </c>
      <c r="E36" s="1" t="str">
        <v>清宵裤·明•精简(会心 破招 无双 35300)</v>
      </c>
      <c r="I36" s="1" t="str">
        <v>云连海国•特效(会心 会效 无双 35300)</v>
      </c>
      <c r="J36" s="1" t="str">
        <v>云连海国•特效(会心 会效 无双 35300)</v>
      </c>
      <c r="R36" s="1" t="s">
        <v>350</v>
      </c>
      <c r="S36" s="1">
        <v>-0.0681877224000346</v>
      </c>
    </row>
    <row r="37" spans="3:19">
      <c r="C37" s="1" t="str">
        <v>天风断•特效(破防 无双 35300)</v>
      </c>
      <c r="D37" s="1" t="str">
        <v>露香尘•特效(会心 无双 35300)</v>
      </c>
      <c r="E37" s="1" t="str">
        <v>枯梢瘦骨•特效(会心 破招 破防 无双 35300)</v>
      </c>
      <c r="I37" s="1" t="str">
        <v>烟柳萧疏•特效(会心 破招 破防 无双 35300)</v>
      </c>
      <c r="J37" s="1" t="str">
        <v>烟柳萧疏•特效(会心 破招 破防 无双 35300)</v>
      </c>
      <c r="R37" s="1" t="s">
        <v>351</v>
      </c>
      <c r="S37" s="1">
        <v>-0.0701850166196046</v>
      </c>
    </row>
    <row r="38" spans="3:19">
      <c r="C38" s="1" t="str">
        <v>明月高楼•特效(会心 35300)</v>
      </c>
      <c r="D38" s="1" t="str">
        <v>紫凤衔花•特效(破防 无双 35300)</v>
      </c>
      <c r="E38" s="1" t="str">
        <v>闲来步屧•特效(会心 无双 35300)</v>
      </c>
      <c r="I38" s="1" t="str">
        <v>戎马略•特效(会心 无双 35300)</v>
      </c>
      <c r="J38" s="1" t="str">
        <v>戎马略•特效(会心 无双 35300)</v>
      </c>
      <c r="R38" s="1" t="s">
        <v>352</v>
      </c>
      <c r="S38" s="1">
        <v>-0.0701850166196046</v>
      </c>
    </row>
    <row r="39" spans="3:19">
      <c r="C39" s="1" t="str">
        <v>云外孤飞•特效(破防 35300)</v>
      </c>
      <c r="D39" s="1" t="str">
        <v>西风吹雨•特效(破招 无双 35300)</v>
      </c>
      <c r="E39" s="1" t="str">
        <v>千尺青空•特效(破招 无双 35300)</v>
      </c>
      <c r="I39" s="1" t="str">
        <v>频怅望•特效(破防 无双 35300)</v>
      </c>
      <c r="J39" s="1" t="str">
        <v>频怅望•特效(破防 无双 35300)</v>
      </c>
      <c r="R39" s="1" t="s">
        <v>353</v>
      </c>
      <c r="S39" s="1">
        <v>-0.0755310204817211</v>
      </c>
    </row>
    <row r="40" spans="3:19">
      <c r="C40" s="1" t="str">
        <v>风吹柳絮•特效(加速 无双 35300)</v>
      </c>
      <c r="D40" s="1" t="str">
        <v>轻舟兰楫•特效(破招 35300)</v>
      </c>
      <c r="E40" s="1" t="str">
        <v>吊湘累•特效(破防 无双 35300)</v>
      </c>
      <c r="I40" s="1" t="str">
        <v>一枕梦魂•特效(破招 无双 35300)</v>
      </c>
      <c r="J40" s="1" t="str">
        <v>一枕梦魂•特效(破招 无双 35300)</v>
      </c>
      <c r="R40" s="1" t="s">
        <v>354</v>
      </c>
      <c r="S40" s="1">
        <v>-0.0755310204817211</v>
      </c>
    </row>
    <row r="41" spans="3:19">
      <c r="C41" s="1" t="str">
        <v>牧川腰·校服(会心 无双 35300)</v>
      </c>
      <c r="D41" s="1" t="str">
        <v>一枕清宵•特效(加速 无双 35300)</v>
      </c>
      <c r="E41" s="1" t="str">
        <v>故垒颓垣•特效(会心 35300)</v>
      </c>
      <c r="I41" s="1" t="str">
        <v>风啸群崖•特效(加速 35300)</v>
      </c>
      <c r="J41" s="1" t="str">
        <v>风啸群崖•特效(加速 35300)</v>
      </c>
      <c r="R41" s="1" t="s">
        <v>355</v>
      </c>
      <c r="S41" s="1">
        <v>-0.0816063514497888</v>
      </c>
    </row>
    <row r="42" spans="3:19">
      <c r="C42" s="1" t="str">
        <v>吃鸡腰(破防 无双 35300)</v>
      </c>
      <c r="D42" s="1" t="str">
        <v>牧川手·校服(破招 无双 35300)</v>
      </c>
      <c r="E42" s="1" t="str">
        <v>风前柳色•特效(破防 35300)</v>
      </c>
      <c r="I42" s="1" t="str">
        <v>噙香戒(加速 无双 35300)</v>
      </c>
      <c r="J42" s="1" t="str">
        <v>噙香戒(加速 无双 35300)</v>
      </c>
      <c r="R42" s="1" t="s">
        <v>356</v>
      </c>
      <c r="S42" s="1">
        <v>-0.0845247514044904</v>
      </c>
    </row>
    <row r="43" spans="3:19">
      <c r="C43" s="1" t="str">
        <v>挖宝腰(加速 无双 35300)</v>
      </c>
      <c r="D43" s="1" t="str">
        <v>香丹护手(加速 无双 35300)</v>
      </c>
      <c r="E43" s="1" t="str">
        <v>长亭回首•特效(加速 35300)</v>
      </c>
      <c r="I43" s="1" t="str">
        <v>清明戒子(会心 无双 34100)</v>
      </c>
      <c r="J43" s="1" t="str">
        <v>清明戒子(会心 无双 34100)</v>
      </c>
      <c r="R43" s="1" t="s">
        <v>357</v>
      </c>
      <c r="S43" s="1">
        <v>-0.0982891255545669</v>
      </c>
    </row>
    <row r="44" spans="3:19">
      <c r="D44" s="1" t="str">
        <v>挖宝手(破招 无双 35300)</v>
      </c>
      <c r="E44" s="1" t="str">
        <v>噙香裤(破招 无双 35300)</v>
      </c>
      <c r="R44" s="1" t="s">
        <v>358</v>
      </c>
      <c r="S44" s="1">
        <v>-0.0992680937056224</v>
      </c>
    </row>
    <row r="45" spans="3:19">
      <c r="D45" s="1" t="str">
        <v>吃鸡手(破招 无双 35300)</v>
      </c>
      <c r="E45" s="1" t="str">
        <v>吃鸡裤(破防 无双 35300)</v>
      </c>
      <c r="R45" s="1" t="s">
        <v>359</v>
      </c>
      <c r="S45" s="1">
        <v>-0.108994868628282</v>
      </c>
    </row>
  </sheetData>
  <sortState ref="R2:S17">
    <sortCondition ref="S2" descending="1"/>
  </sortState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3"/>
  <dimension ref="A1:AK179"/>
  <sheetViews>
    <sheetView workbookViewId="0">
      <selection activeCell="B3" sqref="B3"/>
    </sheetView>
  </sheetViews>
  <sheetFormatPr defaultColWidth="9" defaultRowHeight="14.25"/>
  <cols>
    <col min="1" max="1" width="13.25" style="1" customWidth="1"/>
    <col min="2" max="3" width="11.125" style="1"/>
    <col min="4" max="4" width="9" style="1"/>
    <col min="5" max="5" width="13.75" style="1" customWidth="1"/>
    <col min="6" max="7" width="11.125" style="1"/>
    <col min="8" max="9" width="12.625" style="1"/>
    <col min="10" max="10" width="15.75" style="1" customWidth="1"/>
    <col min="11" max="12" width="12.625" style="1"/>
    <col min="13" max="13" width="11.125" style="1"/>
    <col min="14" max="14" width="12" style="1"/>
    <col min="15" max="15" width="12.375" style="1" customWidth="1"/>
    <col min="16" max="16" width="14.875" style="1" customWidth="1"/>
    <col min="17" max="17" width="12.75" style="1" customWidth="1"/>
    <col min="18" max="18" width="12.375" style="1" customWidth="1"/>
    <col min="19" max="19" width="24.625" style="1" customWidth="1"/>
    <col min="20" max="22" width="11.125" style="1"/>
    <col min="23" max="23" width="12.625" style="1"/>
    <col min="24" max="24" width="11.125" style="1"/>
    <col min="25" max="25" width="10.375" style="1" customWidth="1"/>
    <col min="26" max="26" width="11.125" style="1"/>
    <col min="27" max="29" width="12.625" style="1"/>
    <col min="30" max="32" width="11.125" style="1"/>
    <col min="33" max="36" width="9" style="1"/>
    <col min="37" max="37" width="10.25" style="1" customWidth="1"/>
    <col min="38" max="40" width="9" style="1"/>
    <col min="41" max="42" width="11.125" style="1"/>
    <col min="43" max="16384" width="9" style="1"/>
  </cols>
  <sheetData>
    <row r="1" spans="1:37">
      <c r="A1" s="1" t="s">
        <v>360</v>
      </c>
      <c r="F1" s="1" t="s">
        <v>361</v>
      </c>
      <c r="J1" s="1" t="s">
        <v>362</v>
      </c>
      <c r="N1" s="1" t="s">
        <v>363</v>
      </c>
      <c r="Q1" s="12"/>
      <c r="X1" s="1" t="s">
        <v>364</v>
      </c>
      <c r="Y1" s="1" t="s">
        <v>365</v>
      </c>
      <c r="Z1" s="1" t="s">
        <v>366</v>
      </c>
      <c r="AA1" s="1" t="s">
        <v>367</v>
      </c>
      <c r="AB1" s="1" t="s">
        <v>368</v>
      </c>
      <c r="AC1" s="1" t="s">
        <v>369</v>
      </c>
      <c r="AD1" s="1" t="s">
        <v>370</v>
      </c>
      <c r="AE1" s="1" t="s">
        <v>371</v>
      </c>
      <c r="AF1" s="1" t="s">
        <v>372</v>
      </c>
      <c r="AG1" s="1" t="s">
        <v>373</v>
      </c>
      <c r="AH1" s="1" t="s">
        <v>374</v>
      </c>
      <c r="AI1" s="1" t="s">
        <v>306</v>
      </c>
      <c r="AJ1" s="12"/>
      <c r="AK1" s="12"/>
    </row>
    <row r="2" spans="1:37">
      <c r="A2" s="1" t="s">
        <v>75</v>
      </c>
      <c r="B2" s="1" t="b">
        <f>角色属性!AK2</f>
        <v>1</v>
      </c>
      <c r="F2" s="1" t="s">
        <v>365</v>
      </c>
      <c r="G2" s="1" t="s">
        <v>375</v>
      </c>
      <c r="H2" s="1" t="s">
        <v>376</v>
      </c>
      <c r="J2" s="1" t="s">
        <v>365</v>
      </c>
      <c r="K2" s="1" t="s">
        <v>375</v>
      </c>
      <c r="L2" s="12" t="s">
        <v>377</v>
      </c>
      <c r="M2" s="12"/>
      <c r="N2" s="1" t="s">
        <v>365</v>
      </c>
      <c r="O2" s="1" t="s">
        <v>375</v>
      </c>
      <c r="P2" s="12" t="s">
        <v>377</v>
      </c>
      <c r="Q2" s="12"/>
      <c r="R2" s="12"/>
      <c r="X2" s="1">
        <v>10</v>
      </c>
      <c r="Y2" s="1">
        <v>10</v>
      </c>
      <c r="Z2" s="1">
        <v>16</v>
      </c>
      <c r="AA2" s="1">
        <v>17</v>
      </c>
      <c r="AB2" s="1">
        <v>9</v>
      </c>
      <c r="AC2" s="1">
        <v>40</v>
      </c>
      <c r="AD2" s="1">
        <v>0</v>
      </c>
      <c r="AE2" s="1">
        <v>7</v>
      </c>
      <c r="AF2" s="1">
        <v>7</v>
      </c>
      <c r="AG2" s="12">
        <v>9</v>
      </c>
      <c r="AH2" s="12">
        <v>24</v>
      </c>
      <c r="AI2" s="1">
        <v>302.33</v>
      </c>
      <c r="AJ2" s="12"/>
      <c r="AK2" s="12"/>
    </row>
    <row r="3" spans="1:37">
      <c r="A3" s="1" t="s">
        <v>181</v>
      </c>
      <c r="B3" s="1" t="str" cm="1">
        <f t="array" ref="B3">_xlfn.IFS(计算主页!K3=全局设置!J3,全局设置!J3,计算主页!K3=全局设置!J4,全局设置!J4,计算主页!K3=全局设置!J5,LEFT(全局设置!J5,3),TRUE(),全局设置!J3)</f>
        <v>纯手打</v>
      </c>
      <c r="E3" s="1" t="s">
        <v>378</v>
      </c>
      <c r="F3" s="1" t="s">
        <v>379</v>
      </c>
      <c r="G3" s="1" t="s">
        <v>379</v>
      </c>
      <c r="H3" s="1" t="s">
        <v>363</v>
      </c>
      <c r="J3" s="1" t="s">
        <v>363</v>
      </c>
      <c r="K3" s="1" t="s">
        <v>380</v>
      </c>
      <c r="L3" s="1" t="s">
        <v>363</v>
      </c>
      <c r="N3" s="1" t="s">
        <v>363</v>
      </c>
      <c r="O3" s="1" t="s">
        <v>363</v>
      </c>
      <c r="P3" s="1" t="s">
        <v>363</v>
      </c>
      <c r="Q3" s="12"/>
      <c r="R3" s="12"/>
      <c r="X3" s="1">
        <v>11</v>
      </c>
      <c r="Y3" s="1">
        <v>10</v>
      </c>
      <c r="Z3" s="1">
        <v>14</v>
      </c>
      <c r="AA3" s="1">
        <v>14</v>
      </c>
      <c r="AB3" s="1">
        <v>10</v>
      </c>
      <c r="AC3" s="1">
        <v>43</v>
      </c>
      <c r="AD3" s="1">
        <v>0</v>
      </c>
      <c r="AE3" s="1">
        <v>9</v>
      </c>
      <c r="AF3" s="1">
        <v>10</v>
      </c>
      <c r="AG3" s="12">
        <v>7</v>
      </c>
      <c r="AH3" s="12">
        <v>24</v>
      </c>
      <c r="AI3" s="1">
        <v>302.34</v>
      </c>
      <c r="AJ3" s="12"/>
      <c r="AK3" s="12"/>
    </row>
    <row r="4" spans="1:37">
      <c r="A4" s="1" t="s">
        <v>381</v>
      </c>
      <c r="B4" s="12">
        <f ca="1">IF(B26,B39*5,_xlfn.LET(_xlpm.芳姿次数,技能数!H3/技能数据!J25,IF(AND(B3="武学助手",NOT(角色属性!AA38)),0,20+IF(B29,20,0))+INT(_xlpm.芳姿次数)*5+MIN(MOD(_xlpm.芳姿次数,1)*技能数据!J25,5)))</f>
        <v>70</v>
      </c>
      <c r="E4" s="1" t="s">
        <v>369</v>
      </c>
      <c r="F4" s="1">
        <v>1</v>
      </c>
      <c r="G4" s="1">
        <v>1</v>
      </c>
      <c r="H4" s="1">
        <f ca="1" t="shared" ref="H4:H9" si="0">$H$18/$F$18*F4</f>
        <v>14.6750524109015</v>
      </c>
      <c r="J4" s="1">
        <v>1</v>
      </c>
      <c r="K4" s="12">
        <v>1</v>
      </c>
      <c r="L4" s="1">
        <f ca="1">$L$18/$J$18*J4</f>
        <v>12.6811594202899</v>
      </c>
      <c r="N4" s="1">
        <v>1</v>
      </c>
      <c r="O4" s="1">
        <v>1</v>
      </c>
      <c r="P4" s="1">
        <f ca="1">$P$18/$N$18*N4</f>
        <v>12.6811594202899</v>
      </c>
      <c r="Q4" s="12"/>
      <c r="X4" s="1">
        <v>11</v>
      </c>
      <c r="Y4" s="1">
        <v>10</v>
      </c>
      <c r="Z4" s="1">
        <v>14</v>
      </c>
      <c r="AA4" s="1">
        <v>14</v>
      </c>
      <c r="AB4" s="1">
        <v>10</v>
      </c>
      <c r="AC4" s="1">
        <v>44</v>
      </c>
      <c r="AD4" s="1">
        <v>0</v>
      </c>
      <c r="AE4" s="1">
        <v>9</v>
      </c>
      <c r="AF4" s="1">
        <v>10</v>
      </c>
      <c r="AG4" s="12">
        <v>7</v>
      </c>
      <c r="AH4" s="12">
        <v>24</v>
      </c>
      <c r="AI4" s="1">
        <v>301.1975</v>
      </c>
      <c r="AJ4" s="12"/>
      <c r="AK4" s="12"/>
    </row>
    <row r="5" spans="1:37">
      <c r="A5" s="1" t="s">
        <v>382</v>
      </c>
      <c r="B5" s="1">
        <f>技能数!$G$3</f>
        <v>120</v>
      </c>
      <c r="E5" s="1" t="s">
        <v>383</v>
      </c>
      <c r="F5" s="1">
        <v>1</v>
      </c>
      <c r="G5" s="1">
        <v>1</v>
      </c>
      <c r="H5" s="1">
        <f ca="1" t="shared" si="0"/>
        <v>14.6750524109015</v>
      </c>
      <c r="J5" s="1">
        <v>0</v>
      </c>
      <c r="K5" s="12">
        <v>1</v>
      </c>
      <c r="L5" s="1">
        <f ca="1">$L$18/$J$18*J5</f>
        <v>0</v>
      </c>
      <c r="N5" s="1">
        <v>0</v>
      </c>
      <c r="O5" s="1">
        <v>0</v>
      </c>
      <c r="P5" s="1">
        <f ca="1">$P$18/$N$18*N5</f>
        <v>0</v>
      </c>
      <c r="Q5" s="12"/>
      <c r="X5" s="1">
        <v>9</v>
      </c>
      <c r="Y5" s="1">
        <v>10</v>
      </c>
      <c r="Z5" s="1">
        <v>14</v>
      </c>
      <c r="AA5" s="1">
        <v>14</v>
      </c>
      <c r="AB5" s="1">
        <v>12</v>
      </c>
      <c r="AC5" s="1">
        <v>47</v>
      </c>
      <c r="AD5" s="1">
        <v>2</v>
      </c>
      <c r="AE5" s="1">
        <v>9</v>
      </c>
      <c r="AF5" s="1">
        <v>10</v>
      </c>
      <c r="AG5" s="12">
        <v>6</v>
      </c>
      <c r="AH5" s="12">
        <v>22</v>
      </c>
      <c r="AI5" s="1">
        <v>301.0375</v>
      </c>
      <c r="AJ5" s="12"/>
      <c r="AK5" s="12">
        <v>2.88</v>
      </c>
    </row>
    <row r="6" spans="1:37">
      <c r="A6" s="1" t="s">
        <v>384</v>
      </c>
      <c r="B6" s="1">
        <f>技能数!$F$3</f>
        <v>180</v>
      </c>
      <c r="E6" s="1" t="s">
        <v>368</v>
      </c>
      <c r="F6" s="1">
        <v>1</v>
      </c>
      <c r="G6" s="1">
        <v>1</v>
      </c>
      <c r="H6" s="1">
        <f ca="1" t="shared" si="0"/>
        <v>14.6750524109015</v>
      </c>
      <c r="J6" s="1">
        <v>1</v>
      </c>
      <c r="K6" s="12">
        <v>2</v>
      </c>
      <c r="L6" s="1">
        <f ca="1">$L$18/$J$18*J6</f>
        <v>12.6811594202899</v>
      </c>
      <c r="N6" s="1">
        <v>1</v>
      </c>
      <c r="O6" s="1">
        <v>1</v>
      </c>
      <c r="P6" s="1">
        <f ca="1">$P$18/$N$18*N6</f>
        <v>12.6811594202899</v>
      </c>
      <c r="Q6" s="12"/>
      <c r="X6" s="1">
        <v>7</v>
      </c>
      <c r="Y6" s="1">
        <v>10</v>
      </c>
      <c r="Z6" s="1">
        <v>15</v>
      </c>
      <c r="AA6" s="1">
        <v>16</v>
      </c>
      <c r="AB6" s="1">
        <v>10</v>
      </c>
      <c r="AC6" s="1">
        <v>50</v>
      </c>
      <c r="AD6" s="1">
        <v>4</v>
      </c>
      <c r="AE6" s="1">
        <v>7</v>
      </c>
      <c r="AF6" s="1">
        <v>10</v>
      </c>
      <c r="AG6" s="12">
        <v>8</v>
      </c>
      <c r="AH6" s="12">
        <v>22</v>
      </c>
      <c r="AI6" s="1">
        <v>301.155</v>
      </c>
      <c r="AJ6" s="12"/>
      <c r="AK6" s="12"/>
    </row>
    <row r="7" spans="1:37">
      <c r="A7" s="1" t="s">
        <v>385</v>
      </c>
      <c r="B7" s="1">
        <f ca="1">加速计算!B20</f>
        <v>2.215</v>
      </c>
      <c r="E7" s="1" t="s">
        <v>367</v>
      </c>
      <c r="F7" s="1">
        <v>0</v>
      </c>
      <c r="G7" s="1">
        <v>0</v>
      </c>
      <c r="H7" s="1">
        <f ca="1" t="shared" si="0"/>
        <v>0</v>
      </c>
      <c r="J7" s="1">
        <v>1</v>
      </c>
      <c r="K7" s="12">
        <v>1</v>
      </c>
      <c r="L7" s="1">
        <f ca="1">$L$18/$J$18*J7</f>
        <v>12.6811594202899</v>
      </c>
      <c r="N7" s="1">
        <v>1</v>
      </c>
      <c r="O7" s="1">
        <v>1</v>
      </c>
      <c r="P7" s="1">
        <f ca="1">$P$18/$N$18*N7</f>
        <v>12.6811594202899</v>
      </c>
      <c r="Q7" s="12"/>
      <c r="X7" s="1">
        <v>8</v>
      </c>
      <c r="Y7" s="1">
        <v>10</v>
      </c>
      <c r="Z7" s="1">
        <v>14</v>
      </c>
      <c r="AA7" s="1">
        <v>15</v>
      </c>
      <c r="AB7" s="1">
        <v>11</v>
      </c>
      <c r="AC7" s="1">
        <v>47</v>
      </c>
      <c r="AD7" s="1">
        <v>3</v>
      </c>
      <c r="AE7" s="1">
        <v>8</v>
      </c>
      <c r="AF7" s="1">
        <v>10</v>
      </c>
      <c r="AG7" s="12">
        <v>7</v>
      </c>
      <c r="AH7" s="12">
        <v>27</v>
      </c>
      <c r="AI7" s="1">
        <v>301.325</v>
      </c>
      <c r="AJ7" s="12"/>
      <c r="AK7" s="12"/>
    </row>
    <row r="8" spans="1:37">
      <c r="A8" s="1" t="s">
        <v>386</v>
      </c>
      <c r="B8" s="1">
        <f ca="1">加速计算!B19</f>
        <v>1.2775</v>
      </c>
      <c r="E8" s="1" t="s">
        <v>387</v>
      </c>
      <c r="F8" s="1">
        <v>3</v>
      </c>
      <c r="G8" s="1">
        <v>2</v>
      </c>
      <c r="H8" s="1">
        <f ca="1" t="shared" si="0"/>
        <v>44.0251572327044</v>
      </c>
      <c r="J8" s="1">
        <v>5</v>
      </c>
      <c r="K8" s="12">
        <v>5</v>
      </c>
      <c r="L8" s="1">
        <v>5</v>
      </c>
      <c r="N8" s="1">
        <v>5</v>
      </c>
      <c r="O8" s="1">
        <v>2</v>
      </c>
      <c r="P8" s="1">
        <v>5</v>
      </c>
      <c r="Q8" s="12"/>
      <c r="X8" s="1">
        <v>8</v>
      </c>
      <c r="Y8" s="1">
        <v>10</v>
      </c>
      <c r="Z8" s="1">
        <v>15</v>
      </c>
      <c r="AA8" s="1">
        <v>15</v>
      </c>
      <c r="AB8" s="1">
        <v>12</v>
      </c>
      <c r="AC8" s="1">
        <v>48</v>
      </c>
      <c r="AD8" s="1">
        <v>3</v>
      </c>
      <c r="AE8" s="1">
        <v>8</v>
      </c>
      <c r="AF8" s="1">
        <v>10</v>
      </c>
      <c r="AG8" s="12">
        <v>6</v>
      </c>
      <c r="AH8" s="12">
        <v>27</v>
      </c>
      <c r="AI8" s="1">
        <v>300.54</v>
      </c>
      <c r="AJ8" s="12"/>
      <c r="AK8" s="12"/>
    </row>
    <row r="9" spans="1:37">
      <c r="A9" s="1" t="s">
        <v>388</v>
      </c>
      <c r="B9" s="1">
        <f>技能数据!J16</f>
        <v>15</v>
      </c>
      <c r="E9" s="1" t="s">
        <v>82</v>
      </c>
      <c r="F9" s="1">
        <f>F4</f>
        <v>1</v>
      </c>
      <c r="G9" s="1">
        <f>G4</f>
        <v>1</v>
      </c>
      <c r="H9" s="1">
        <f ca="1" t="shared" si="0"/>
        <v>14.6750524109015</v>
      </c>
      <c r="J9" s="1">
        <f>J4</f>
        <v>1</v>
      </c>
      <c r="K9" s="12">
        <v>1</v>
      </c>
      <c r="L9" s="1">
        <f ca="1">$L$18/$J$18*J9</f>
        <v>12.6811594202899</v>
      </c>
      <c r="N9" s="1">
        <f>N4</f>
        <v>1</v>
      </c>
      <c r="O9" s="1">
        <f>O4</f>
        <v>1</v>
      </c>
      <c r="P9" s="1">
        <f ca="1">$P$18/$N$18*N9</f>
        <v>12.6811594202899</v>
      </c>
      <c r="Q9" s="12"/>
      <c r="X9" s="1">
        <v>7</v>
      </c>
      <c r="Y9" s="1">
        <v>10</v>
      </c>
      <c r="Z9" s="1">
        <v>16</v>
      </c>
      <c r="AA9" s="1">
        <v>17</v>
      </c>
      <c r="AB9" s="1">
        <v>9</v>
      </c>
      <c r="AC9" s="1">
        <v>51</v>
      </c>
      <c r="AD9" s="1">
        <v>4</v>
      </c>
      <c r="AE9" s="1">
        <v>8</v>
      </c>
      <c r="AF9" s="1">
        <v>9</v>
      </c>
      <c r="AG9" s="12">
        <v>8</v>
      </c>
      <c r="AH9" s="12">
        <v>28</v>
      </c>
      <c r="AI9" s="1">
        <v>302.3275</v>
      </c>
      <c r="AJ9" s="12"/>
      <c r="AK9" s="12">
        <v>11.345</v>
      </c>
    </row>
    <row r="10" spans="1:37">
      <c r="A10" s="1" t="s">
        <v>389</v>
      </c>
      <c r="B10" s="1">
        <f>技能数据!K14</f>
        <v>6</v>
      </c>
      <c r="E10" s="1" t="s">
        <v>390</v>
      </c>
      <c r="F10" s="1" cm="1">
        <f ca="1" t="array" ref="F10">计算玳弦读条时间($B$24,F8)</f>
        <v>2.215</v>
      </c>
      <c r="G10" s="1" cm="1">
        <f ca="1" t="array" ref="G10">计算玳弦读条时间($B$24,G8)</f>
        <v>1.9025</v>
      </c>
      <c r="J10" s="1" cm="1">
        <f ca="1" t="array" ref="J10">计算玳弦读条时间($B$24,J8)</f>
        <v>2.965</v>
      </c>
      <c r="K10" s="1" cm="1">
        <f ca="1" t="array" ref="K10">计算玳弦读条时间($B$24,K8)</f>
        <v>2.965</v>
      </c>
      <c r="N10" s="1" cm="1">
        <f ca="1" t="array" ref="N10">计算玳弦读条时间($B$24,N8)</f>
        <v>2.965</v>
      </c>
      <c r="O10" s="1" cm="1">
        <f ca="1" t="array" ref="O10">计算玳弦读条时间($B$24,O8)</f>
        <v>1.9025</v>
      </c>
      <c r="Q10" s="12"/>
      <c r="X10" s="1">
        <v>9</v>
      </c>
      <c r="Y10" s="1">
        <v>10</v>
      </c>
      <c r="Z10" s="1">
        <v>15</v>
      </c>
      <c r="AA10" s="1">
        <v>16</v>
      </c>
      <c r="AB10" s="1">
        <v>12</v>
      </c>
      <c r="AC10" s="1">
        <v>51</v>
      </c>
      <c r="AD10" s="1">
        <v>2</v>
      </c>
      <c r="AE10" s="1">
        <v>7</v>
      </c>
      <c r="AF10" s="1">
        <v>9</v>
      </c>
      <c r="AG10" s="1">
        <v>6</v>
      </c>
      <c r="AH10" s="1">
        <v>30</v>
      </c>
      <c r="AI10" s="1">
        <v>300.765</v>
      </c>
      <c r="AJ10" s="12"/>
      <c r="AK10" s="12">
        <v>12.555</v>
      </c>
    </row>
    <row r="11" spans="1:37">
      <c r="A11" s="1" t="s">
        <v>391</v>
      </c>
      <c r="B11" s="1">
        <f>技能数据!I3</f>
        <v>3</v>
      </c>
      <c r="E11" s="1" t="s">
        <v>83</v>
      </c>
      <c r="F11" s="1">
        <f ca="1">(F4*$B$32*$B$25+F5+F6*$B$34+F7*$B$33+F12*$B$35)/3</f>
        <v>1.559</v>
      </c>
      <c r="G11" s="1">
        <f ca="1">(G4*$C$32+G5+G6*$C$34+G7*$C$33+G12*$C$35)/3</f>
        <v>1.37703431372549</v>
      </c>
      <c r="H11" s="1">
        <f ca="1">$H$18/$F$18*F11</f>
        <v>22.8784067085954</v>
      </c>
      <c r="J11" s="1">
        <f ca="1">(J4*2*$B$38+J5+J6*2+J7*2+J12*1)/3</f>
        <v>2.01733333333333</v>
      </c>
      <c r="K11" s="1">
        <f ca="1">(K4+K5+K6*2+K7+K12)/3</f>
        <v>2.4125</v>
      </c>
      <c r="L11" s="1">
        <f ca="1">L18/J18*J11</f>
        <v>25.5821256038647</v>
      </c>
      <c r="N11" s="1">
        <f ca="1">(N4*$B$32*$B$25+N5+N6*$B$34+N7*$B$33+N12*$B$35)/3</f>
        <v>1.584</v>
      </c>
      <c r="O11" s="1">
        <f ca="1">(O4*$C$32+O5+O6*$C$34+O7*$C$33+O12*$C$35)/3</f>
        <v>1.37703431372549</v>
      </c>
      <c r="P11" s="1">
        <f ca="1">$P$18/$N$18*N11</f>
        <v>20.0869565217391</v>
      </c>
      <c r="Q11" s="12"/>
      <c r="X11" s="1">
        <v>8</v>
      </c>
      <c r="Y11" s="1">
        <v>10</v>
      </c>
      <c r="Z11" s="1">
        <v>14</v>
      </c>
      <c r="AA11" s="1">
        <v>15</v>
      </c>
      <c r="AB11" s="1">
        <v>12</v>
      </c>
      <c r="AC11" s="1">
        <v>53</v>
      </c>
      <c r="AD11" s="1">
        <v>3</v>
      </c>
      <c r="AE11" s="1">
        <v>8</v>
      </c>
      <c r="AF11" s="1">
        <v>10</v>
      </c>
      <c r="AG11" s="1">
        <v>6</v>
      </c>
      <c r="AH11" s="1">
        <v>30</v>
      </c>
      <c r="AI11" s="1">
        <v>300.9175</v>
      </c>
      <c r="AJ11" s="12"/>
      <c r="AK11" s="12">
        <v>15.465</v>
      </c>
    </row>
    <row r="12" spans="1:37">
      <c r="A12" s="1" t="s">
        <v>392</v>
      </c>
      <c r="B12" s="1">
        <f>IF(角色属性!AK9,2,1)</f>
        <v>2</v>
      </c>
      <c r="E12" s="1" t="s">
        <v>393</v>
      </c>
      <c r="F12" s="1">
        <f ca="1">F18/$B$27*2</f>
        <v>0.477</v>
      </c>
      <c r="G12" s="1">
        <f ca="1">G18/(B28-B27)*B41</f>
        <v>0.131102941176471</v>
      </c>
      <c r="J12" s="1">
        <f ca="1">J18/B27*2</f>
        <v>0.552</v>
      </c>
      <c r="K12" s="1">
        <f ca="1">K18/(B28-B27)*B41</f>
        <v>0.2375</v>
      </c>
      <c r="N12" s="1">
        <f ca="1">N18/$B$27*2</f>
        <v>0.552</v>
      </c>
      <c r="O12" s="1">
        <f ca="1">O18/(B28-B27)*B41</f>
        <v>0.131102941176471</v>
      </c>
      <c r="Q12" s="12"/>
      <c r="X12" s="1">
        <v>8</v>
      </c>
      <c r="Y12" s="1">
        <v>10</v>
      </c>
      <c r="Z12" s="1">
        <v>15</v>
      </c>
      <c r="AA12" s="1">
        <v>17</v>
      </c>
      <c r="AB12" s="1">
        <v>12</v>
      </c>
      <c r="AC12" s="1">
        <v>55</v>
      </c>
      <c r="AD12" s="1">
        <v>3</v>
      </c>
      <c r="AE12" s="1">
        <v>9</v>
      </c>
      <c r="AF12" s="1">
        <v>9</v>
      </c>
      <c r="AG12" s="1">
        <v>6</v>
      </c>
      <c r="AH12" s="1">
        <v>31</v>
      </c>
      <c r="AI12" s="1">
        <v>300.75</v>
      </c>
      <c r="AJ12" s="12"/>
      <c r="AK12" s="12">
        <v>16.6</v>
      </c>
    </row>
    <row r="13" spans="1:37">
      <c r="A13" s="1" t="s">
        <v>394</v>
      </c>
      <c r="B13" s="1">
        <f>技能数据!L14</f>
        <v>0.3</v>
      </c>
      <c r="E13" s="1" t="s">
        <v>395</v>
      </c>
      <c r="F13" s="8">
        <f ca="1">(0.11*10+(F15-10)*0.2)/F15*$B$13</f>
        <v>0.0492675</v>
      </c>
      <c r="G13" s="8">
        <f ca="1">(0.11*10+(G15-10)*0.2)/G15*$B$13</f>
        <v>0.0482007352941176</v>
      </c>
      <c r="J13" s="8">
        <f ca="1">(0.11*10+(J15-10)*0.2)/J15*$B$13</f>
        <v>0.0504461538461538</v>
      </c>
      <c r="K13" s="8">
        <f ca="1">(0.11*10+(K15-10)*0.2)/K15*$B$13</f>
        <v>0.0470223214285714</v>
      </c>
      <c r="N13" s="8">
        <f ca="1">(0.11*10+(N15-10)*0.2)/N15*$B$13</f>
        <v>0.0504461538461538</v>
      </c>
      <c r="O13" s="8">
        <f ca="1">(0.11*10+(O15-10)*0.2)/O15*$B$13</f>
        <v>0.0482007352941176</v>
      </c>
      <c r="Q13" s="12"/>
      <c r="X13" s="1">
        <v>8</v>
      </c>
      <c r="Y13" s="1">
        <v>10</v>
      </c>
      <c r="Z13" s="1">
        <v>15</v>
      </c>
      <c r="AA13" s="1">
        <v>17</v>
      </c>
      <c r="AB13" s="1">
        <v>11</v>
      </c>
      <c r="AC13" s="1">
        <v>41</v>
      </c>
      <c r="AD13" s="1">
        <v>3</v>
      </c>
      <c r="AE13" s="1">
        <v>8</v>
      </c>
      <c r="AF13" s="12">
        <v>10</v>
      </c>
      <c r="AG13" s="12">
        <v>7</v>
      </c>
      <c r="AH13" s="1">
        <v>20</v>
      </c>
      <c r="AI13" s="1">
        <v>301.999999999999</v>
      </c>
      <c r="AJ13" s="12"/>
      <c r="AK13" s="12">
        <v>19.435</v>
      </c>
    </row>
    <row r="14" spans="1:37">
      <c r="A14" s="1" t="s">
        <v>396</v>
      </c>
      <c r="B14" s="1" cm="1">
        <f ca="1" t="array" ref="B14">_xlfn.XLOOKUP(技能数据!A3,_xlfn.ANCHORARRAY(伤害计算!A11),_xlfn.ANCHORARRAY(伤害计算!L11),角色属性!$Z$20)</f>
        <v>0.560717035148683</v>
      </c>
      <c r="E14" s="1" t="s">
        <v>397</v>
      </c>
      <c r="F14" s="8">
        <f ca="1">AVERAGE(F13:G13)</f>
        <v>0.0487341176470588</v>
      </c>
      <c r="G14" s="8"/>
      <c r="J14" s="8">
        <f ca="1">AVERAGE(J13:K13)</f>
        <v>0.0487342376373626</v>
      </c>
      <c r="K14" s="8"/>
      <c r="N14" s="8">
        <f ca="1">AVERAGE(N13:O13)</f>
        <v>0.0493234445701357</v>
      </c>
      <c r="O14" s="8"/>
      <c r="Q14" s="12"/>
      <c r="X14" s="1">
        <v>10</v>
      </c>
      <c r="Y14" s="1">
        <v>10</v>
      </c>
      <c r="Z14" s="1">
        <v>15</v>
      </c>
      <c r="AA14" s="1">
        <v>16</v>
      </c>
      <c r="AB14" s="1">
        <v>11</v>
      </c>
      <c r="AC14" s="1">
        <v>41</v>
      </c>
      <c r="AD14" s="1">
        <v>0</v>
      </c>
      <c r="AE14" s="1">
        <v>7</v>
      </c>
      <c r="AF14" s="12">
        <v>7</v>
      </c>
      <c r="AG14" s="12">
        <v>7</v>
      </c>
      <c r="AH14" s="1">
        <v>25</v>
      </c>
      <c r="AI14" s="1">
        <v>301.487499999999</v>
      </c>
      <c r="AJ14" s="12"/>
      <c r="AK14" s="12"/>
    </row>
    <row r="15" spans="1:37">
      <c r="A15" s="1" t="s">
        <v>398</v>
      </c>
      <c r="B15" s="1" cm="1">
        <f ca="1" t="array" ref="B15">_xlfn.XLOOKUP(技能数据!A2,_xlfn.ANCHORARRAY(伤害计算!A11),_xlfn.ANCHORARRAY(伤害计算!L11),角色属性!$Z$20)</f>
        <v>0.848535429406737</v>
      </c>
      <c r="E15" s="1" t="s">
        <v>399</v>
      </c>
      <c r="F15" s="8">
        <f ca="1">$B$10/F18*(F4*($B$11+F8)*$B$12+F5+F6+F7+F9*($B$11+F8))</f>
        <v>25.1572327044025</v>
      </c>
      <c r="G15" s="8">
        <f ca="1">$B$10/G18*(G4*($B$11+G8)*$B$12+G5+G6+G7+G9*($B$11+G8))</f>
        <v>22.8827818283791</v>
      </c>
      <c r="J15" s="8">
        <f ca="1">$B$10/J18*(J4*($B$11+J8)*$B$12+J5+J6+J7+J9*($B$11+J8))</f>
        <v>28.2608695652174</v>
      </c>
      <c r="K15" s="8">
        <f ca="1">$B$10/K18*(K4*($B$11+K8)*$B$12+K5+K6+K7+K9*($B$11+K8))</f>
        <v>20.8049535603715</v>
      </c>
      <c r="N15" s="8">
        <f ca="1">$B$10/N18*(N4*($B$11+N8)*$B$12+N5+N6+N7+N9*($B$11+N8))</f>
        <v>28.2608695652174</v>
      </c>
      <c r="O15" s="8">
        <f ca="1">$B$10/O18*(O4*($B$11+O8)*$B$12+O5+O6+O7+O9*($B$11+O8))</f>
        <v>22.8827818283791</v>
      </c>
      <c r="Q15" s="12"/>
      <c r="X15" s="1">
        <v>11</v>
      </c>
      <c r="Y15" s="1">
        <v>10</v>
      </c>
      <c r="Z15" s="1">
        <v>14</v>
      </c>
      <c r="AA15" s="1">
        <v>14</v>
      </c>
      <c r="AB15" s="1">
        <v>10</v>
      </c>
      <c r="AC15" s="1">
        <v>43</v>
      </c>
      <c r="AD15" s="1">
        <v>0</v>
      </c>
      <c r="AE15" s="1">
        <v>9</v>
      </c>
      <c r="AF15" s="12">
        <v>10</v>
      </c>
      <c r="AG15" s="12">
        <v>7</v>
      </c>
      <c r="AH15" s="1">
        <v>24</v>
      </c>
      <c r="AI15" s="1">
        <v>302.712499999999</v>
      </c>
      <c r="AJ15" s="12"/>
      <c r="AK15" s="12">
        <v>20.605</v>
      </c>
    </row>
    <row r="16" spans="1:37">
      <c r="A16" s="1" t="s">
        <v>400</v>
      </c>
      <c r="B16" s="1" cm="1">
        <f ca="1" t="array" ref="B16">_xlfn.XLOOKUP(技能数据!A11,_xlfn.ANCHORARRAY(伤害计算!A11),_xlfn.ANCHORARRAY(伤害计算!L11),角色属性!$Z$20)</f>
        <v>0.898535429406736</v>
      </c>
      <c r="E16" s="1" t="s">
        <v>401</v>
      </c>
      <c r="F16" s="1">
        <f ca="1">IF(F7&gt;0,F18/F7,0)</f>
        <v>0</v>
      </c>
      <c r="G16" s="1">
        <f ca="1">IF(G7&gt;0,G18/G7,0)</f>
        <v>0</v>
      </c>
      <c r="J16" s="1">
        <f ca="1">IF(J7&gt;0,J18/J7,0)</f>
        <v>5.52</v>
      </c>
      <c r="K16" s="1">
        <f ca="1">IF(K7&gt;0,K18/K7,0)</f>
        <v>8.075</v>
      </c>
      <c r="N16" s="1">
        <f ca="1">IF(N7&gt;0,N18/N7,0)</f>
        <v>5.52</v>
      </c>
      <c r="O16" s="1">
        <f ca="1">IF(O7&gt;0,O18/O7,0)</f>
        <v>4.4575</v>
      </c>
      <c r="Q16" s="12"/>
      <c r="X16" s="75">
        <v>11</v>
      </c>
      <c r="Y16" s="75">
        <v>10</v>
      </c>
      <c r="Z16" s="75">
        <v>14</v>
      </c>
      <c r="AA16" s="75">
        <v>14</v>
      </c>
      <c r="AB16" s="75">
        <v>10</v>
      </c>
      <c r="AC16" s="75">
        <v>44</v>
      </c>
      <c r="AD16" s="75">
        <v>0</v>
      </c>
      <c r="AE16" s="75">
        <v>9</v>
      </c>
      <c r="AF16" s="76">
        <v>10</v>
      </c>
      <c r="AG16" s="76">
        <v>7</v>
      </c>
      <c r="AH16" s="75">
        <v>24</v>
      </c>
      <c r="AI16" s="75">
        <v>301.537499999999</v>
      </c>
      <c r="AJ16" s="12"/>
      <c r="AK16" s="12">
        <v>22.77</v>
      </c>
    </row>
    <row r="17" spans="1:37">
      <c r="A17" s="1" t="s">
        <v>402</v>
      </c>
      <c r="B17" s="1" cm="1">
        <f ca="1" t="array" ref="B17">_xlfn.XLOOKUP(技能数据!A36,_xlfn.ANCHORARRAY(伤害计算!A11),_xlfn.ANCHORARRAY(伤害计算!L11),角色属性!$Z$20)</f>
        <v>0.798535429406736</v>
      </c>
      <c r="E17" s="1" t="s">
        <v>403</v>
      </c>
      <c r="F17" s="1">
        <f ca="1">AVERAGE(F16:G16)</f>
        <v>0</v>
      </c>
      <c r="J17" s="1">
        <f ca="1">AVERAGE(J16:K16)</f>
        <v>6.7975</v>
      </c>
      <c r="N17" s="1">
        <f ca="1">AVERAGE(N16:O16)</f>
        <v>4.98875</v>
      </c>
      <c r="Q17" s="12"/>
      <c r="X17" s="1">
        <v>7</v>
      </c>
      <c r="Y17" s="1">
        <v>10</v>
      </c>
      <c r="Z17" s="1">
        <v>14</v>
      </c>
      <c r="AA17" s="1">
        <v>14</v>
      </c>
      <c r="AB17" s="1">
        <v>13</v>
      </c>
      <c r="AC17" s="1">
        <v>50</v>
      </c>
      <c r="AD17" s="1">
        <v>4</v>
      </c>
      <c r="AE17" s="1">
        <v>10</v>
      </c>
      <c r="AF17" s="1">
        <v>10</v>
      </c>
      <c r="AG17" s="1">
        <v>6</v>
      </c>
      <c r="AH17" s="1">
        <v>20</v>
      </c>
      <c r="AI17" s="1">
        <v>301.099999999999</v>
      </c>
    </row>
    <row r="18" spans="1:37">
      <c r="A18" s="1" t="s">
        <v>404</v>
      </c>
      <c r="B18" s="1" cm="1">
        <f ca="1" t="array" ref="B18">_xlfn.XLOOKUP(技能数据!A37,_xlfn.ANCHORARRAY(伤害计算!A11),_xlfn.ANCHORARRAY(伤害计算!L11),角色属性!$Z$20)</f>
        <v>0.798535429406736</v>
      </c>
      <c r="E18" s="1" t="s">
        <v>405</v>
      </c>
      <c r="F18" s="1">
        <f ca="1">F4*F10+(F5+F6+F7)*$B$8</f>
        <v>4.77</v>
      </c>
      <c r="G18" s="1">
        <f ca="1">G4*G10+(G5+G6+G7)*$B$8</f>
        <v>4.4575</v>
      </c>
      <c r="H18" s="1">
        <f ca="1">B4</f>
        <v>70</v>
      </c>
      <c r="J18" s="1">
        <f ca="1">J4*J10+(J5+J6+J7)*$B$8</f>
        <v>5.52</v>
      </c>
      <c r="K18" s="1">
        <f ca="1">K4*K10+(K5+K6+K7)*$B$8</f>
        <v>8.075</v>
      </c>
      <c r="L18" s="1">
        <f ca="1">B4</f>
        <v>70</v>
      </c>
      <c r="N18" s="1">
        <f ca="1">N4*N10+(N5+N6+N7)*$B$8</f>
        <v>5.52</v>
      </c>
      <c r="O18" s="1">
        <f ca="1">O4*O10+(O5+O6+O7)*$B$8</f>
        <v>4.4575</v>
      </c>
      <c r="P18" s="1">
        <f ca="1">B4</f>
        <v>70</v>
      </c>
      <c r="Q18" s="12"/>
      <c r="X18" s="1">
        <v>7</v>
      </c>
      <c r="Y18" s="1">
        <v>10</v>
      </c>
      <c r="Z18" s="1">
        <v>15</v>
      </c>
      <c r="AA18" s="1">
        <v>16</v>
      </c>
      <c r="AB18" s="1">
        <v>10</v>
      </c>
      <c r="AC18" s="1">
        <v>50</v>
      </c>
      <c r="AD18" s="1">
        <v>4</v>
      </c>
      <c r="AE18" s="1">
        <v>7</v>
      </c>
      <c r="AF18" s="12">
        <v>10</v>
      </c>
      <c r="AG18" s="12">
        <v>8</v>
      </c>
      <c r="AH18" s="1">
        <v>22</v>
      </c>
      <c r="AI18" s="1">
        <v>301.424999999999</v>
      </c>
      <c r="AK18" s="1">
        <v>28.66</v>
      </c>
    </row>
    <row r="19" spans="1:37">
      <c r="A19" s="1" t="s">
        <v>406</v>
      </c>
      <c r="B19" s="1" cm="1">
        <f ca="1" t="array" ref="B19">_xlfn.XLOOKUP(技能数据!A39,_xlfn.ANCHORARRAY(伤害计算!A11),_xlfn.ANCHORARRAY(伤害计算!L11),角色属性!$Z$20)</f>
        <v>0.798535429406736</v>
      </c>
      <c r="X19" s="1">
        <v>8</v>
      </c>
      <c r="Y19" s="1">
        <v>10</v>
      </c>
      <c r="Z19" s="1">
        <v>14</v>
      </c>
      <c r="AA19" s="1">
        <v>15</v>
      </c>
      <c r="AB19" s="1">
        <v>11</v>
      </c>
      <c r="AC19" s="1">
        <v>47</v>
      </c>
      <c r="AD19" s="1">
        <v>3</v>
      </c>
      <c r="AE19" s="1">
        <v>8</v>
      </c>
      <c r="AF19" s="12">
        <v>10</v>
      </c>
      <c r="AG19" s="12">
        <v>7</v>
      </c>
      <c r="AH19" s="1">
        <v>27</v>
      </c>
      <c r="AI19" s="1">
        <v>301.499999999999</v>
      </c>
      <c r="AK19" s="1">
        <v>29.695</v>
      </c>
    </row>
    <row r="20" spans="1:37">
      <c r="A20" s="1" t="s">
        <v>407</v>
      </c>
      <c r="B20" s="1">
        <f ca="1">加速计算!B26</f>
        <v>5</v>
      </c>
      <c r="E20" s="1" t="s">
        <v>408</v>
      </c>
      <c r="K20" s="12"/>
      <c r="L20" s="12"/>
      <c r="X20" s="12">
        <v>7</v>
      </c>
      <c r="Y20" s="12">
        <v>10</v>
      </c>
      <c r="Z20" s="12">
        <v>14</v>
      </c>
      <c r="AA20" s="1">
        <v>16</v>
      </c>
      <c r="AB20" s="1">
        <v>9</v>
      </c>
      <c r="AC20" s="1">
        <v>50</v>
      </c>
      <c r="AD20" s="1">
        <v>4</v>
      </c>
      <c r="AE20" s="1">
        <v>9</v>
      </c>
      <c r="AF20" s="12">
        <v>10</v>
      </c>
      <c r="AG20" s="12">
        <v>9</v>
      </c>
      <c r="AH20" s="1">
        <v>27</v>
      </c>
      <c r="AI20" s="1">
        <v>301.812499999999</v>
      </c>
      <c r="AK20" s="1">
        <v>29.78</v>
      </c>
    </row>
    <row r="21" spans="1:37">
      <c r="A21" s="1" t="s">
        <v>409</v>
      </c>
      <c r="B21" s="1">
        <f ca="1">加速计算!B23</f>
        <v>5</v>
      </c>
      <c r="E21" s="1" t="s">
        <v>410</v>
      </c>
      <c r="F21" s="1">
        <f>SUM(F4*($B$11+F8)*$B$32+F5+F6*$B$34+F7*$B$33)</f>
        <v>15</v>
      </c>
      <c r="J21" s="1">
        <f>SUM(J4*($B$11+J8)*$B$32+J5+J6*$B$34+J7*$B$33)</f>
        <v>19</v>
      </c>
      <c r="K21" s="12"/>
      <c r="L21" s="12"/>
      <c r="N21" s="1">
        <f>SUM(N4*($B$11+N8)*$B$32+N5+N6*$B$34+N7*$B$33)</f>
        <v>19</v>
      </c>
      <c r="Q21" s="12"/>
      <c r="X21" s="1">
        <v>7</v>
      </c>
      <c r="Y21" s="1">
        <v>10</v>
      </c>
      <c r="Z21" s="1">
        <v>16</v>
      </c>
      <c r="AA21" s="1">
        <v>17</v>
      </c>
      <c r="AB21" s="1">
        <v>9</v>
      </c>
      <c r="AC21" s="1">
        <v>51</v>
      </c>
      <c r="AD21" s="1">
        <v>4</v>
      </c>
      <c r="AE21" s="1">
        <v>8</v>
      </c>
      <c r="AF21" s="1">
        <v>9</v>
      </c>
      <c r="AG21" s="1">
        <v>8</v>
      </c>
      <c r="AH21" s="1">
        <v>28</v>
      </c>
      <c r="AI21" s="1">
        <v>302.399999999999</v>
      </c>
      <c r="AK21" s="1">
        <v>32.865</v>
      </c>
    </row>
    <row r="22" spans="1:37">
      <c r="A22" s="1" t="s">
        <v>411</v>
      </c>
      <c r="B22" s="1">
        <f ca="1">加速计算!B30</f>
        <v>0.0625</v>
      </c>
      <c r="E22" s="1" t="s">
        <v>412</v>
      </c>
      <c r="F22" s="1">
        <f>F4*($B$11+F8)*$B$32/F21</f>
        <v>0.8</v>
      </c>
      <c r="J22" s="1">
        <f>J4*($B$11+J8)*$B$32/J21</f>
        <v>0.842105263157895</v>
      </c>
      <c r="N22" s="1">
        <f>N4*($B$11+N8)*$B$32/N21</f>
        <v>0.842105263157895</v>
      </c>
      <c r="Q22" s="12"/>
      <c r="X22" s="1">
        <v>9</v>
      </c>
      <c r="Y22" s="1">
        <v>10</v>
      </c>
      <c r="Z22" s="1">
        <v>15</v>
      </c>
      <c r="AA22" s="1">
        <v>16</v>
      </c>
      <c r="AB22" s="1">
        <v>12</v>
      </c>
      <c r="AC22" s="1">
        <v>51</v>
      </c>
      <c r="AD22" s="1">
        <v>2</v>
      </c>
      <c r="AE22" s="1">
        <v>7</v>
      </c>
      <c r="AF22" s="1">
        <v>9</v>
      </c>
      <c r="AG22" s="1">
        <v>6</v>
      </c>
      <c r="AH22" s="1">
        <v>30</v>
      </c>
      <c r="AI22" s="1">
        <v>300.712499999999</v>
      </c>
      <c r="AK22" s="1">
        <v>32.2</v>
      </c>
    </row>
    <row r="23" spans="1:37">
      <c r="A23" s="1" t="s">
        <v>413</v>
      </c>
      <c r="B23" s="1">
        <f ca="1">加速计算!B29</f>
        <v>0.0625</v>
      </c>
      <c r="E23" s="1" t="s">
        <v>414</v>
      </c>
      <c r="F23" s="1">
        <f>1-F5/F21</f>
        <v>0.933333333333333</v>
      </c>
      <c r="G23" s="12"/>
      <c r="J23" s="1">
        <f>1-J5/J21</f>
        <v>1</v>
      </c>
      <c r="K23" s="12"/>
      <c r="L23" s="12"/>
      <c r="N23" s="1">
        <f>1-N5/N21</f>
        <v>1</v>
      </c>
      <c r="X23" s="1">
        <v>8</v>
      </c>
      <c r="Y23" s="1">
        <v>10</v>
      </c>
      <c r="Z23" s="1">
        <v>15</v>
      </c>
      <c r="AA23" s="1">
        <v>16</v>
      </c>
      <c r="AB23" s="1">
        <v>14</v>
      </c>
      <c r="AC23" s="1">
        <v>54</v>
      </c>
      <c r="AD23" s="1">
        <v>3</v>
      </c>
      <c r="AE23" s="1">
        <v>8</v>
      </c>
      <c r="AF23" s="1">
        <v>10</v>
      </c>
      <c r="AG23" s="1">
        <v>5</v>
      </c>
      <c r="AH23" s="1">
        <v>30</v>
      </c>
      <c r="AI23" s="1">
        <v>300.849999999999</v>
      </c>
      <c r="AK23" s="1">
        <v>37.785</v>
      </c>
    </row>
    <row r="24" spans="1:37">
      <c r="A24" s="1" t="s">
        <v>24</v>
      </c>
      <c r="B24" s="1">
        <f ca="1">实战面板!V5</f>
        <v>32213</v>
      </c>
      <c r="E24" s="1" t="s">
        <v>415</v>
      </c>
      <c r="F24" s="1">
        <f ca="1">(F4*($B$11+F8)*$B$14+F4*($B$11+F8)*$B$17+F6*$B$15+F6*$B$18+F7*$B$16+F7*$B$19)/F21</f>
        <v>0.653505709743066</v>
      </c>
      <c r="J24" s="1">
        <f ca="1">(J4*($B$11+J8)*$B$14+J4*($B$11+J8)*$B$17+J6*$B$15+J6*$B$18+J7*$B$16+J7*$B$19)/J21</f>
        <v>0.7483242860037</v>
      </c>
      <c r="K24" s="12"/>
      <c r="L24" s="12"/>
      <c r="N24" s="1">
        <f ca="1">(N4*($B$11+N8)*$B$14+N4*($B$11+N8)*$B$17+N6*$B$15+N6*$B$18+N7*$B$16+N7*$B$19)/N21</f>
        <v>0.7483242860037</v>
      </c>
      <c r="Q24" s="12"/>
      <c r="X24" s="1">
        <v>10</v>
      </c>
      <c r="Y24" s="1">
        <v>10</v>
      </c>
      <c r="Z24" s="1">
        <v>15</v>
      </c>
      <c r="AA24" s="1">
        <v>17</v>
      </c>
      <c r="AB24" s="1">
        <v>12</v>
      </c>
      <c r="AC24" s="1">
        <v>40</v>
      </c>
      <c r="AD24" s="1">
        <v>0</v>
      </c>
      <c r="AE24" s="1">
        <v>8</v>
      </c>
      <c r="AF24" s="12">
        <v>9</v>
      </c>
      <c r="AG24" s="12">
        <v>6</v>
      </c>
      <c r="AH24" s="1">
        <v>20</v>
      </c>
      <c r="AI24" s="1">
        <v>300.81</v>
      </c>
      <c r="AK24" s="1">
        <v>41.345</v>
      </c>
    </row>
    <row r="25" spans="1:37">
      <c r="A25" s="1" t="s">
        <v>416</v>
      </c>
      <c r="B25" s="1">
        <f ca="1">IF(AND(计算主页!K3="武学助手",角色属性!AA38&lt;&gt;TRUE()),0.6,0.74)</f>
        <v>0.6</v>
      </c>
      <c r="E25" s="1" t="s">
        <v>407</v>
      </c>
      <c r="F25" s="1">
        <f ca="1">$B$20</f>
        <v>5</v>
      </c>
      <c r="J25" s="1">
        <f ca="1">$B$20</f>
        <v>5</v>
      </c>
      <c r="K25" s="12"/>
      <c r="L25" s="12"/>
      <c r="N25" s="1">
        <f ca="1">$B$20</f>
        <v>5</v>
      </c>
      <c r="Q25" s="12"/>
      <c r="X25" s="1">
        <v>10</v>
      </c>
      <c r="Y25" s="1">
        <v>10</v>
      </c>
      <c r="Z25" s="1">
        <v>16</v>
      </c>
      <c r="AA25" s="1">
        <v>17</v>
      </c>
      <c r="AB25" s="1">
        <v>9</v>
      </c>
      <c r="AC25" s="1">
        <v>40</v>
      </c>
      <c r="AD25" s="1">
        <v>0</v>
      </c>
      <c r="AE25" s="1">
        <v>7</v>
      </c>
      <c r="AF25" s="12">
        <v>7</v>
      </c>
      <c r="AG25" s="12">
        <v>9</v>
      </c>
      <c r="AH25" s="1">
        <v>24</v>
      </c>
      <c r="AI25" s="1">
        <v>301.9575</v>
      </c>
      <c r="AK25" s="1">
        <v>38.1425</v>
      </c>
    </row>
    <row r="26" spans="1:37">
      <c r="A26" s="1" t="s">
        <v>362</v>
      </c>
      <c r="B26" s="1" t="b">
        <f>技能数!B5</f>
        <v>0</v>
      </c>
      <c r="E26" s="12" t="s">
        <v>417</v>
      </c>
      <c r="F26" s="12">
        <v>5</v>
      </c>
      <c r="J26" s="12">
        <v>5</v>
      </c>
      <c r="K26" s="12"/>
      <c r="L26" s="12"/>
      <c r="N26" s="12">
        <v>5</v>
      </c>
      <c r="Q26" s="12"/>
      <c r="X26" s="1">
        <v>11</v>
      </c>
      <c r="Y26" s="1">
        <v>10</v>
      </c>
      <c r="Z26" s="1">
        <v>14</v>
      </c>
      <c r="AA26" s="1">
        <v>16</v>
      </c>
      <c r="AB26" s="1">
        <v>9</v>
      </c>
      <c r="AC26" s="1">
        <v>42</v>
      </c>
      <c r="AD26" s="1">
        <v>0</v>
      </c>
      <c r="AE26" s="1">
        <v>9</v>
      </c>
      <c r="AF26" s="12">
        <v>9</v>
      </c>
      <c r="AG26" s="12">
        <v>9</v>
      </c>
      <c r="AH26" s="1">
        <v>22</v>
      </c>
      <c r="AI26" s="1">
        <v>300.2925</v>
      </c>
      <c r="AK26" s="1">
        <v>44.165</v>
      </c>
    </row>
    <row r="27" spans="1:37">
      <c r="A27" s="1" t="s">
        <v>418</v>
      </c>
      <c r="B27" s="1">
        <f>技能数据!K25</f>
        <v>20</v>
      </c>
      <c r="E27" s="1" t="s">
        <v>409</v>
      </c>
      <c r="F27" s="1">
        <f ca="1">$B$21</f>
        <v>5</v>
      </c>
      <c r="G27" s="12"/>
      <c r="H27" s="1">
        <v>0</v>
      </c>
      <c r="J27" s="1">
        <f ca="1">$B$21</f>
        <v>5</v>
      </c>
      <c r="K27" s="12"/>
      <c r="L27" s="12">
        <v>0</v>
      </c>
      <c r="N27" s="1">
        <f ca="1">$B$21</f>
        <v>5</v>
      </c>
      <c r="Q27" s="12"/>
      <c r="X27" s="75">
        <v>11</v>
      </c>
      <c r="Y27" s="75">
        <v>10</v>
      </c>
      <c r="Z27" s="75">
        <v>14</v>
      </c>
      <c r="AA27" s="75">
        <v>14</v>
      </c>
      <c r="AB27" s="75">
        <v>10</v>
      </c>
      <c r="AC27" s="75">
        <v>42</v>
      </c>
      <c r="AD27" s="75">
        <v>0</v>
      </c>
      <c r="AE27" s="75">
        <v>9</v>
      </c>
      <c r="AF27" s="76">
        <v>10</v>
      </c>
      <c r="AG27" s="76">
        <v>7</v>
      </c>
      <c r="AH27" s="75">
        <v>24</v>
      </c>
      <c r="AI27" s="75">
        <v>300.0425</v>
      </c>
      <c r="AK27" s="1">
        <v>41.875</v>
      </c>
    </row>
    <row r="28" spans="1:37">
      <c r="A28" s="1" t="s">
        <v>419</v>
      </c>
      <c r="B28" s="1">
        <f>技能数据!J25</f>
        <v>54</v>
      </c>
      <c r="E28" s="1" t="s">
        <v>420</v>
      </c>
      <c r="F28" s="1">
        <f ca="1">F25/F24/F23</f>
        <v>8.19754560254583</v>
      </c>
      <c r="H28" s="1">
        <f ca="1">F18</f>
        <v>4.77</v>
      </c>
      <c r="J28" s="1">
        <f ca="1">J25/J24/J23</f>
        <v>6.68159525691951</v>
      </c>
      <c r="K28" s="12"/>
      <c r="L28" s="12">
        <f ca="1">L27+$N$18</f>
        <v>5.52</v>
      </c>
      <c r="N28" s="1">
        <f ca="1">N25/N24/N23</f>
        <v>6.68159525691951</v>
      </c>
      <c r="Q28" s="12"/>
      <c r="X28" s="1">
        <v>9</v>
      </c>
      <c r="Y28" s="1">
        <v>10</v>
      </c>
      <c r="Z28" s="1">
        <v>14</v>
      </c>
      <c r="AA28" s="1">
        <v>14</v>
      </c>
      <c r="AB28" s="1">
        <v>12</v>
      </c>
      <c r="AC28" s="1">
        <v>47</v>
      </c>
      <c r="AD28" s="1">
        <v>2</v>
      </c>
      <c r="AE28" s="1">
        <v>9</v>
      </c>
      <c r="AF28" s="12">
        <v>10</v>
      </c>
      <c r="AG28" s="12">
        <v>6</v>
      </c>
      <c r="AH28" s="1">
        <v>22</v>
      </c>
      <c r="AI28" s="1">
        <v>300.65</v>
      </c>
      <c r="AK28" s="1">
        <v>46.96</v>
      </c>
    </row>
    <row r="29" spans="1:37">
      <c r="A29" s="1" t="s">
        <v>421</v>
      </c>
      <c r="B29" s="1" t="b">
        <f>C29=1</f>
        <v>1</v>
      </c>
      <c r="C29" s="1">
        <v>1</v>
      </c>
      <c r="E29" s="12" t="s">
        <v>422</v>
      </c>
      <c r="F29" s="1">
        <f ca="1">F26/F24/F23</f>
        <v>8.19754560254583</v>
      </c>
      <c r="H29" s="1">
        <f ca="1">H28+$F$18</f>
        <v>9.54</v>
      </c>
      <c r="I29" s="12"/>
      <c r="J29" s="1">
        <f ca="1">J26/J24/J23</f>
        <v>6.68159525691951</v>
      </c>
      <c r="L29" s="12">
        <f ca="1" t="shared" ref="L29:L34" si="1">L28+$N$18</f>
        <v>11.04</v>
      </c>
      <c r="M29" s="12"/>
      <c r="N29" s="1">
        <f ca="1">N26/N24/N23</f>
        <v>6.68159525691951</v>
      </c>
      <c r="Q29" s="12"/>
      <c r="X29" s="1">
        <v>8</v>
      </c>
      <c r="Y29" s="1">
        <v>10</v>
      </c>
      <c r="Z29" s="1">
        <v>14</v>
      </c>
      <c r="AA29" s="1">
        <v>15</v>
      </c>
      <c r="AB29" s="1">
        <v>12</v>
      </c>
      <c r="AC29" s="1">
        <v>47</v>
      </c>
      <c r="AD29" s="1">
        <v>3</v>
      </c>
      <c r="AE29" s="1">
        <v>10</v>
      </c>
      <c r="AF29" s="12">
        <v>9</v>
      </c>
      <c r="AG29" s="12">
        <v>6</v>
      </c>
      <c r="AH29" s="1">
        <v>23</v>
      </c>
      <c r="AI29" s="1">
        <v>300.36</v>
      </c>
      <c r="AK29" s="1">
        <v>44.61</v>
      </c>
    </row>
    <row r="30" spans="1:37">
      <c r="E30" s="1" t="s">
        <v>423</v>
      </c>
      <c r="F30" s="1">
        <f ca="1">F28*F22/($B$11+F8)/$B$32</f>
        <v>0.546503040169722</v>
      </c>
      <c r="G30" s="12"/>
      <c r="H30" s="1">
        <f ca="1">H29+$F$18</f>
        <v>14.31</v>
      </c>
      <c r="J30" s="1">
        <f ca="1">J28*J22/($B$11+J8)/$B$32</f>
        <v>0.351662908258922</v>
      </c>
      <c r="L30" s="12">
        <f ca="1" t="shared" si="1"/>
        <v>16.56</v>
      </c>
      <c r="M30" s="12"/>
      <c r="N30" s="1">
        <f ca="1">N28*N22/($B$11+N8)/$B$32</f>
        <v>0.351662908258922</v>
      </c>
      <c r="Q30" s="12"/>
      <c r="X30" s="1">
        <v>7</v>
      </c>
      <c r="Y30" s="1">
        <v>10</v>
      </c>
      <c r="Z30" s="1">
        <v>15</v>
      </c>
      <c r="AA30" s="1">
        <v>16</v>
      </c>
      <c r="AB30" s="1">
        <v>10</v>
      </c>
      <c r="AC30" s="1">
        <v>50</v>
      </c>
      <c r="AD30" s="1">
        <v>4</v>
      </c>
      <c r="AE30" s="1">
        <v>7</v>
      </c>
      <c r="AF30" s="12">
        <v>10</v>
      </c>
      <c r="AG30" s="12">
        <v>8</v>
      </c>
      <c r="AH30" s="1">
        <v>22</v>
      </c>
      <c r="AI30" s="1">
        <v>301.695</v>
      </c>
      <c r="AK30" s="1">
        <v>48.13</v>
      </c>
    </row>
    <row r="31" spans="1:37">
      <c r="B31" s="1" t="s">
        <v>365</v>
      </c>
      <c r="C31" s="1" t="s">
        <v>375</v>
      </c>
      <c r="E31" s="12" t="s">
        <v>424</v>
      </c>
      <c r="F31" s="1">
        <f ca="1">F29*F22/($B$11+F8)/$B$32</f>
        <v>0.546503040169722</v>
      </c>
      <c r="H31" s="1">
        <f ca="1">H30+$F$18</f>
        <v>19.08</v>
      </c>
      <c r="J31" s="1">
        <f ca="1">J29*J22/($B$11+J8)/$B$32</f>
        <v>0.351662908258922</v>
      </c>
      <c r="L31" s="12">
        <f ca="1" t="shared" si="1"/>
        <v>22.08</v>
      </c>
      <c r="M31" s="12"/>
      <c r="N31" s="1">
        <f ca="1">N29*N22/($B$11+N8)/$B$32</f>
        <v>0.351662908258922</v>
      </c>
      <c r="Q31" s="12"/>
      <c r="X31" s="1">
        <v>7</v>
      </c>
      <c r="Y31" s="1">
        <v>10</v>
      </c>
      <c r="Z31" s="1">
        <v>14</v>
      </c>
      <c r="AA31" s="1">
        <v>16</v>
      </c>
      <c r="AB31" s="1">
        <v>9</v>
      </c>
      <c r="AC31" s="1">
        <v>48</v>
      </c>
      <c r="AD31" s="1">
        <v>4</v>
      </c>
      <c r="AE31" s="1">
        <v>9</v>
      </c>
      <c r="AF31" s="12">
        <v>10</v>
      </c>
      <c r="AG31" s="12">
        <v>9</v>
      </c>
      <c r="AH31" s="1">
        <v>27</v>
      </c>
      <c r="AI31" s="1">
        <v>301.1775</v>
      </c>
      <c r="AK31" s="1">
        <v>54.215</v>
      </c>
    </row>
    <row r="32" spans="1:37">
      <c r="A32" s="1" t="s">
        <v>425</v>
      </c>
      <c r="B32" s="1">
        <f>IF(B2,2,1)</f>
        <v>2</v>
      </c>
      <c r="C32" s="1">
        <v>1</v>
      </c>
      <c r="E32" s="1" t="s">
        <v>426</v>
      </c>
      <c r="F32" s="1">
        <f ca="1">F27/F24/F23</f>
        <v>8.19754560254583</v>
      </c>
      <c r="G32" s="12"/>
      <c r="H32" s="1">
        <f ca="1">H31+$F$18</f>
        <v>23.85</v>
      </c>
      <c r="J32" s="1">
        <f ca="1">J27/J24/J23</f>
        <v>6.68159525691951</v>
      </c>
      <c r="L32" s="12">
        <f ca="1" t="shared" si="1"/>
        <v>27.6</v>
      </c>
      <c r="M32" s="12"/>
      <c r="N32" s="1">
        <f ca="1">N27/N24/N23</f>
        <v>6.68159525691951</v>
      </c>
      <c r="Q32" s="12"/>
      <c r="X32" s="1">
        <v>7</v>
      </c>
      <c r="Y32" s="1">
        <v>10</v>
      </c>
      <c r="Z32" s="1">
        <v>14</v>
      </c>
      <c r="AA32" s="1">
        <v>16</v>
      </c>
      <c r="AB32" s="1">
        <v>9</v>
      </c>
      <c r="AC32" s="1">
        <v>50</v>
      </c>
      <c r="AD32" s="1">
        <v>4</v>
      </c>
      <c r="AE32" s="1">
        <v>9</v>
      </c>
      <c r="AF32" s="1">
        <v>10</v>
      </c>
      <c r="AG32" s="1">
        <v>9</v>
      </c>
      <c r="AH32" s="1">
        <v>27</v>
      </c>
      <c r="AI32" s="1">
        <v>301.95</v>
      </c>
      <c r="AK32" s="1">
        <v>51.55</v>
      </c>
    </row>
    <row r="33" spans="1:37">
      <c r="A33" s="1" t="s">
        <v>427</v>
      </c>
      <c r="B33" s="1">
        <f>IF(OR(B3="破气玳",B26),2,1)</f>
        <v>1</v>
      </c>
      <c r="C33" s="1">
        <v>1</v>
      </c>
      <c r="E33" s="1" t="s">
        <v>428</v>
      </c>
      <c r="F33" s="1">
        <f ca="1">F32*(1-F22)</f>
        <v>1.63950912050917</v>
      </c>
      <c r="H33" s="1">
        <f ca="1">H32+$F$18</f>
        <v>28.62</v>
      </c>
      <c r="J33" s="1">
        <f ca="1">J32*(1-J22)</f>
        <v>1.05498872477676</v>
      </c>
      <c r="L33" s="12">
        <f ca="1" t="shared" si="1"/>
        <v>33.12</v>
      </c>
      <c r="M33" s="12"/>
      <c r="N33" s="1">
        <f ca="1">N32*(1-N22)</f>
        <v>1.05498872477676</v>
      </c>
      <c r="Q33" s="12"/>
      <c r="X33" s="1">
        <v>7</v>
      </c>
      <c r="Y33" s="1">
        <v>10</v>
      </c>
      <c r="Z33" s="1">
        <v>14</v>
      </c>
      <c r="AA33" s="1">
        <v>16</v>
      </c>
      <c r="AB33" s="1">
        <v>9</v>
      </c>
      <c r="AC33" s="1">
        <v>50</v>
      </c>
      <c r="AD33" s="1">
        <v>4</v>
      </c>
      <c r="AE33" s="1">
        <v>9</v>
      </c>
      <c r="AF33" s="1">
        <v>10</v>
      </c>
      <c r="AG33" s="1">
        <v>9</v>
      </c>
      <c r="AH33" s="1">
        <v>27</v>
      </c>
      <c r="AI33" s="1">
        <v>301.95</v>
      </c>
    </row>
    <row r="34" spans="1:37">
      <c r="A34" s="1" t="s">
        <v>429</v>
      </c>
      <c r="B34" s="1">
        <f>IF(B2,2,1)</f>
        <v>2</v>
      </c>
      <c r="C34" s="1">
        <f>IF(B3="破气玳",1,2)</f>
        <v>2</v>
      </c>
      <c r="E34" s="1" t="s">
        <v>430</v>
      </c>
      <c r="F34" s="1">
        <f ca="1">F30/($B$11+F8)*$B$22+F33*$B$23</f>
        <v>0.108162060033591</v>
      </c>
      <c r="J34" s="1">
        <f ca="1">J30/($B$11+J8)*$B$22+J33*$B$23</f>
        <v>0.0686841617693205</v>
      </c>
      <c r="L34" s="12">
        <f ca="1" t="shared" si="1"/>
        <v>38.64</v>
      </c>
      <c r="M34" s="12"/>
      <c r="N34" s="1">
        <f ca="1">N30/($B$11+N8)*$B$22+N33*$B$23</f>
        <v>0.0686841617693205</v>
      </c>
      <c r="Q34" s="12"/>
      <c r="X34" s="1">
        <v>7</v>
      </c>
      <c r="Y34" s="1">
        <v>10</v>
      </c>
      <c r="Z34" s="1">
        <v>16</v>
      </c>
      <c r="AA34" s="1">
        <v>17</v>
      </c>
      <c r="AB34" s="1">
        <v>9</v>
      </c>
      <c r="AC34" s="1">
        <v>51</v>
      </c>
      <c r="AD34" s="1">
        <v>4</v>
      </c>
      <c r="AE34" s="1">
        <v>8</v>
      </c>
      <c r="AF34" s="1">
        <v>9</v>
      </c>
      <c r="AG34" s="1">
        <v>8</v>
      </c>
      <c r="AH34" s="1">
        <v>28</v>
      </c>
      <c r="AI34" s="1">
        <v>301.91</v>
      </c>
      <c r="AK34" s="1">
        <v>57.22</v>
      </c>
    </row>
    <row r="35" spans="1:37">
      <c r="A35" s="1" t="s">
        <v>431</v>
      </c>
      <c r="B35" s="1">
        <v>1</v>
      </c>
      <c r="C35" s="1">
        <v>1</v>
      </c>
      <c r="E35" s="1" t="s">
        <v>432</v>
      </c>
      <c r="F35" s="1">
        <f ca="1">F29/F21*F18</f>
        <v>2.60681950160957</v>
      </c>
      <c r="J35" s="1">
        <f ca="1">J29/J21*J18</f>
        <v>1.94117925358925</v>
      </c>
      <c r="K35" s="12"/>
      <c r="L35" s="12"/>
      <c r="N35" s="1">
        <f ca="1">N29/N21*N18</f>
        <v>1.94117925358925</v>
      </c>
      <c r="R35" s="12"/>
      <c r="S35" s="12"/>
      <c r="X35" s="1">
        <v>10</v>
      </c>
      <c r="Y35" s="1">
        <v>10</v>
      </c>
      <c r="Z35" s="1">
        <v>16</v>
      </c>
      <c r="AA35" s="1">
        <v>16</v>
      </c>
      <c r="AB35" s="1">
        <v>9</v>
      </c>
      <c r="AC35" s="1">
        <v>40</v>
      </c>
      <c r="AD35" s="1">
        <v>0</v>
      </c>
      <c r="AE35" s="1">
        <v>6</v>
      </c>
      <c r="AF35" s="12">
        <v>9</v>
      </c>
      <c r="AG35" s="12">
        <v>8</v>
      </c>
      <c r="AH35" s="1">
        <v>20</v>
      </c>
      <c r="AI35" s="1">
        <v>301.439999999999</v>
      </c>
      <c r="AK35" s="1">
        <v>56.4925</v>
      </c>
    </row>
    <row r="36" spans="1:37">
      <c r="N36" s="12"/>
      <c r="X36" s="1">
        <v>10</v>
      </c>
      <c r="Y36" s="1">
        <v>10</v>
      </c>
      <c r="Z36" s="1">
        <v>16</v>
      </c>
      <c r="AA36" s="1">
        <v>17</v>
      </c>
      <c r="AB36" s="1">
        <v>9</v>
      </c>
      <c r="AC36" s="1">
        <v>38</v>
      </c>
      <c r="AD36" s="1">
        <v>0</v>
      </c>
      <c r="AE36" s="1">
        <v>7</v>
      </c>
      <c r="AF36" s="12">
        <v>7</v>
      </c>
      <c r="AG36" s="12">
        <v>9</v>
      </c>
      <c r="AH36" s="1">
        <v>24</v>
      </c>
      <c r="AI36" s="1">
        <v>300.032499999999</v>
      </c>
      <c r="AK36" s="1">
        <v>59.265</v>
      </c>
    </row>
    <row r="37" spans="1:37">
      <c r="N37" s="12"/>
      <c r="X37" s="1">
        <v>10</v>
      </c>
      <c r="Y37" s="1">
        <v>10</v>
      </c>
      <c r="Z37" s="1">
        <v>16</v>
      </c>
      <c r="AA37" s="1">
        <v>17</v>
      </c>
      <c r="AB37" s="1">
        <v>9</v>
      </c>
      <c r="AC37" s="1">
        <v>40</v>
      </c>
      <c r="AD37" s="1">
        <v>0</v>
      </c>
      <c r="AE37" s="1">
        <v>7</v>
      </c>
      <c r="AF37" s="12">
        <v>7</v>
      </c>
      <c r="AG37" s="12">
        <v>9</v>
      </c>
      <c r="AH37" s="1">
        <v>24</v>
      </c>
      <c r="AI37" s="1">
        <v>302.427499999999</v>
      </c>
      <c r="AK37" s="1">
        <v>63.35</v>
      </c>
    </row>
    <row r="38" spans="1:37">
      <c r="A38" s="1" t="s">
        <v>433</v>
      </c>
      <c r="B38" s="1">
        <v>0.75</v>
      </c>
      <c r="N38" s="12"/>
      <c r="X38" s="1">
        <v>11</v>
      </c>
      <c r="Y38" s="1">
        <v>10</v>
      </c>
      <c r="Z38" s="1">
        <v>14</v>
      </c>
      <c r="AA38" s="1">
        <v>16</v>
      </c>
      <c r="AB38" s="1">
        <v>9</v>
      </c>
      <c r="AC38" s="1">
        <v>42</v>
      </c>
      <c r="AD38" s="1">
        <v>0</v>
      </c>
      <c r="AE38" s="1">
        <v>9</v>
      </c>
      <c r="AF38" s="12">
        <v>9</v>
      </c>
      <c r="AG38" s="12">
        <v>9</v>
      </c>
      <c r="AH38" s="1">
        <v>22</v>
      </c>
      <c r="AI38" s="1">
        <v>300.822499999999</v>
      </c>
      <c r="AK38" s="1">
        <v>60.56</v>
      </c>
    </row>
    <row r="39" spans="1:37">
      <c r="A39" s="1" t="s">
        <v>434</v>
      </c>
      <c r="B39" s="1">
        <v>3</v>
      </c>
      <c r="E39" s="12"/>
      <c r="F39" s="12"/>
      <c r="G39" s="12"/>
      <c r="H39" s="12"/>
      <c r="I39" s="12"/>
      <c r="X39" s="1">
        <v>11</v>
      </c>
      <c r="Y39" s="1">
        <v>10</v>
      </c>
      <c r="Z39" s="1">
        <v>14</v>
      </c>
      <c r="AA39" s="1">
        <v>14</v>
      </c>
      <c r="AB39" s="1">
        <v>10</v>
      </c>
      <c r="AC39" s="1">
        <v>44</v>
      </c>
      <c r="AD39" s="1">
        <v>0</v>
      </c>
      <c r="AE39" s="1">
        <v>9</v>
      </c>
      <c r="AF39" s="12">
        <v>10</v>
      </c>
      <c r="AG39" s="12">
        <v>7</v>
      </c>
      <c r="AH39" s="1">
        <v>24</v>
      </c>
      <c r="AI39" s="1">
        <v>301.154999999999</v>
      </c>
      <c r="AK39" s="1">
        <v>63.6125</v>
      </c>
    </row>
    <row r="40" spans="1:37">
      <c r="X40" s="1">
        <v>7</v>
      </c>
      <c r="Y40" s="1">
        <v>10</v>
      </c>
      <c r="Z40" s="1">
        <v>14</v>
      </c>
      <c r="AA40" s="1">
        <v>14</v>
      </c>
      <c r="AB40" s="1">
        <v>12</v>
      </c>
      <c r="AC40" s="1">
        <v>49</v>
      </c>
      <c r="AD40" s="1">
        <v>4</v>
      </c>
      <c r="AE40" s="1">
        <v>10</v>
      </c>
      <c r="AF40" s="12">
        <v>9</v>
      </c>
      <c r="AG40" s="12">
        <v>6</v>
      </c>
      <c r="AH40" s="1">
        <v>20</v>
      </c>
      <c r="AI40" s="1">
        <v>300.987499999999</v>
      </c>
      <c r="AK40" s="1">
        <v>64.855</v>
      </c>
    </row>
    <row r="41" spans="1:37">
      <c r="A41" s="1" t="s">
        <v>435</v>
      </c>
      <c r="B41" s="1">
        <f>IF(角色属性!AK14,2,1)</f>
        <v>1</v>
      </c>
      <c r="X41" s="1">
        <v>8</v>
      </c>
      <c r="Y41" s="1">
        <v>10</v>
      </c>
      <c r="Z41" s="1">
        <v>14</v>
      </c>
      <c r="AA41" s="1">
        <v>15</v>
      </c>
      <c r="AB41" s="1">
        <v>12</v>
      </c>
      <c r="AC41" s="1">
        <v>47</v>
      </c>
      <c r="AD41" s="1">
        <v>3</v>
      </c>
      <c r="AE41" s="1">
        <v>10</v>
      </c>
      <c r="AF41" s="12">
        <v>9</v>
      </c>
      <c r="AG41" s="12">
        <v>6</v>
      </c>
      <c r="AH41" s="1">
        <v>23</v>
      </c>
      <c r="AI41" s="1">
        <v>300.694999999999</v>
      </c>
      <c r="AK41" s="1">
        <v>69.6275</v>
      </c>
    </row>
    <row r="42" spans="1:37">
      <c r="X42" s="1">
        <v>8</v>
      </c>
      <c r="Y42" s="1">
        <v>10</v>
      </c>
      <c r="Z42" s="1">
        <v>14</v>
      </c>
      <c r="AA42" s="1">
        <v>15</v>
      </c>
      <c r="AB42" s="1">
        <v>11</v>
      </c>
      <c r="AC42" s="1">
        <v>47</v>
      </c>
      <c r="AD42" s="1">
        <v>3</v>
      </c>
      <c r="AE42" s="1">
        <v>8</v>
      </c>
      <c r="AF42" s="12">
        <v>10</v>
      </c>
      <c r="AG42" s="12">
        <v>7</v>
      </c>
      <c r="AH42" s="1">
        <v>27</v>
      </c>
      <c r="AI42" s="1">
        <v>301.099999999999</v>
      </c>
      <c r="AK42" s="1">
        <v>71.275</v>
      </c>
    </row>
    <row r="43" spans="1:37">
      <c r="X43" s="1">
        <v>8</v>
      </c>
      <c r="Y43" s="1">
        <v>10</v>
      </c>
      <c r="Z43" s="1">
        <v>15</v>
      </c>
      <c r="AA43" s="1">
        <v>15</v>
      </c>
      <c r="AB43" s="1">
        <v>12</v>
      </c>
      <c r="AC43" s="1">
        <v>48</v>
      </c>
      <c r="AD43" s="1">
        <v>3</v>
      </c>
      <c r="AE43" s="1">
        <v>8</v>
      </c>
      <c r="AF43" s="12">
        <v>10</v>
      </c>
      <c r="AG43" s="12">
        <v>6</v>
      </c>
      <c r="AH43" s="1">
        <v>27</v>
      </c>
      <c r="AI43" s="1">
        <v>300.307499999999</v>
      </c>
      <c r="AK43" s="1">
        <v>68.61</v>
      </c>
    </row>
    <row r="44" spans="1:37">
      <c r="X44" s="1">
        <v>8</v>
      </c>
      <c r="Y44" s="1">
        <v>10</v>
      </c>
      <c r="Z44" s="1">
        <v>15</v>
      </c>
      <c r="AA44" s="1">
        <v>15</v>
      </c>
      <c r="AB44" s="1">
        <v>12</v>
      </c>
      <c r="AC44" s="1">
        <v>48</v>
      </c>
      <c r="AD44" s="1">
        <v>3</v>
      </c>
      <c r="AE44" s="1">
        <v>8</v>
      </c>
      <c r="AF44" s="1">
        <v>10</v>
      </c>
      <c r="AG44" s="1">
        <v>6</v>
      </c>
      <c r="AH44" s="1">
        <v>27</v>
      </c>
      <c r="AI44" s="1">
        <v>300.307499999999</v>
      </c>
      <c r="AK44" s="1">
        <v>73.675</v>
      </c>
    </row>
    <row r="45" spans="1:37">
      <c r="AK45" s="1">
        <v>74.8425</v>
      </c>
    </row>
    <row r="46" spans="1:37">
      <c r="AK46" s="1">
        <v>78.24</v>
      </c>
    </row>
    <row r="47" spans="1:37">
      <c r="X47"/>
      <c r="Y47"/>
      <c r="Z47"/>
      <c r="AA47"/>
      <c r="AB47"/>
      <c r="AC47"/>
      <c r="AD47"/>
      <c r="AE47"/>
      <c r="AF47"/>
      <c r="AG47"/>
      <c r="AH47"/>
      <c r="AI47"/>
      <c r="AK47" s="1">
        <v>75.9750000000001</v>
      </c>
    </row>
    <row r="48" spans="1:37">
      <c r="X48"/>
      <c r="Y48"/>
      <c r="Z48"/>
      <c r="AA48"/>
      <c r="AK48" s="1">
        <v>78.285</v>
      </c>
    </row>
    <row r="49" spans="1:37">
      <c r="X49"/>
      <c r="Y49"/>
      <c r="Z49"/>
      <c r="AA49"/>
      <c r="AK49" s="1">
        <v>86.595</v>
      </c>
    </row>
    <row r="50" spans="1:37">
      <c r="X50"/>
      <c r="Y50"/>
      <c r="Z50"/>
      <c r="AA50"/>
      <c r="AK50" s="1">
        <v>84.7</v>
      </c>
    </row>
    <row r="51" spans="1:37">
      <c r="X51"/>
      <c r="Y51"/>
      <c r="Z51"/>
      <c r="AA51"/>
      <c r="AK51" s="1">
        <v>84.2274999999999</v>
      </c>
    </row>
    <row r="52" spans="1:37">
      <c r="X52"/>
      <c r="Y52"/>
      <c r="Z52"/>
      <c r="AA52"/>
      <c r="AK52" s="1">
        <v>92.3124999999999</v>
      </c>
    </row>
    <row r="53" spans="1:37">
      <c r="X53"/>
      <c r="Y53"/>
      <c r="Z53"/>
      <c r="AA53"/>
      <c r="AK53" s="1">
        <v>93.8349999999999</v>
      </c>
    </row>
    <row r="54" spans="1:37">
      <c r="E54" s="60"/>
      <c r="X54"/>
      <c r="Y54"/>
      <c r="Z54"/>
      <c r="AA54"/>
      <c r="AK54" s="1">
        <v>87.2949999999999</v>
      </c>
    </row>
    <row r="55" spans="1:37">
      <c r="E55" s="60"/>
      <c r="F55" s="60"/>
      <c r="G55" s="60"/>
      <c r="X55"/>
      <c r="Y55"/>
      <c r="Z55"/>
      <c r="AA55"/>
      <c r="AK55" s="1">
        <v>93.1924999999999</v>
      </c>
    </row>
    <row r="56" spans="1:37">
      <c r="E56" s="12"/>
      <c r="F56" s="12"/>
      <c r="G56" s="12"/>
      <c r="X56"/>
      <c r="Y56"/>
      <c r="Z56"/>
      <c r="AA56"/>
      <c r="AK56" s="1">
        <v>95.4649999999999</v>
      </c>
    </row>
    <row r="57" spans="1:37">
      <c r="E57" s="12"/>
      <c r="F57" s="12"/>
      <c r="G57" s="12"/>
      <c r="X57"/>
      <c r="Y57"/>
      <c r="Z57"/>
      <c r="AA57"/>
      <c r="AK57" s="1">
        <v>96.7374999999999</v>
      </c>
    </row>
    <row r="58" spans="1:37">
      <c r="A58" s="12"/>
      <c r="B58" s="12"/>
      <c r="C58" s="12"/>
      <c r="D58" s="12"/>
      <c r="E58" s="12"/>
      <c r="F58" s="12"/>
      <c r="G58" s="12"/>
      <c r="X58"/>
      <c r="Y58"/>
      <c r="Z58"/>
      <c r="AA58"/>
      <c r="AK58" s="1">
        <v>102.76</v>
      </c>
    </row>
    <row r="59" spans="1:37">
      <c r="A59" s="12"/>
      <c r="B59" s="12"/>
      <c r="C59" s="12"/>
      <c r="D59" s="12"/>
      <c r="E59" s="12"/>
      <c r="F59" s="12"/>
      <c r="G59" s="12"/>
      <c r="X59"/>
      <c r="Y59"/>
      <c r="Z59"/>
      <c r="AA59"/>
      <c r="AK59" s="1">
        <v>93.465</v>
      </c>
    </row>
    <row r="60" spans="1:37">
      <c r="C60" s="12"/>
      <c r="D60" s="12"/>
      <c r="E60" s="12"/>
      <c r="F60" s="12"/>
      <c r="G60" s="12"/>
      <c r="X60"/>
      <c r="Y60"/>
      <c r="Z60"/>
      <c r="AA60"/>
      <c r="AK60" s="1">
        <v>97.9299999999999</v>
      </c>
    </row>
    <row r="61" spans="1:37">
      <c r="C61" s="12"/>
      <c r="D61" s="12"/>
      <c r="E61" s="12"/>
      <c r="F61" s="12"/>
      <c r="G61" s="12"/>
      <c r="X61"/>
      <c r="Y61"/>
      <c r="Z61"/>
      <c r="AA61"/>
      <c r="AK61" s="1">
        <v>102.5775</v>
      </c>
    </row>
    <row r="62" spans="1:37">
      <c r="C62" s="12"/>
      <c r="D62" s="12"/>
      <c r="E62" s="12"/>
      <c r="F62" s="12"/>
      <c r="G62" s="12"/>
      <c r="AK62" s="1">
        <v>106.9125</v>
      </c>
    </row>
    <row r="63" spans="1:37">
      <c r="C63" s="12"/>
      <c r="D63" s="12"/>
      <c r="AK63" s="1">
        <v>111.685</v>
      </c>
    </row>
    <row r="64" spans="1:37"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AF64" s="12"/>
      <c r="AG64" s="12"/>
      <c r="AK64" s="1">
        <v>117.62</v>
      </c>
    </row>
    <row r="65" spans="1:37">
      <c r="C65" s="12"/>
      <c r="D65" s="12"/>
      <c r="E65" s="12"/>
      <c r="F65" s="12"/>
      <c r="Y65" s="12"/>
      <c r="AF65" s="12"/>
      <c r="AG65" s="12"/>
      <c r="AK65" s="1">
        <v>107.605</v>
      </c>
    </row>
    <row r="66" spans="1:37">
      <c r="A66" s="12"/>
      <c r="B66" s="12"/>
      <c r="C66" s="12"/>
      <c r="D66" s="12"/>
      <c r="Y66" s="12"/>
      <c r="AF66" s="12"/>
      <c r="AG66" s="12"/>
      <c r="AK66" s="1">
        <v>112.35</v>
      </c>
    </row>
    <row r="67" spans="1:37">
      <c r="A67" s="12"/>
      <c r="B67" s="12"/>
      <c r="C67" s="12"/>
      <c r="D67" s="12"/>
      <c r="F67" s="1" t="s">
        <v>436</v>
      </c>
      <c r="H67" s="1" t="s">
        <v>437</v>
      </c>
      <c r="I67" s="1" t="s">
        <v>393</v>
      </c>
      <c r="K67" s="1" t="s">
        <v>83</v>
      </c>
      <c r="M67" s="1" t="s">
        <v>387</v>
      </c>
      <c r="O67" s="1" t="s">
        <v>368</v>
      </c>
      <c r="Q67" s="1" t="s">
        <v>383</v>
      </c>
      <c r="S67" s="1" t="s">
        <v>367</v>
      </c>
      <c r="U67" s="1" t="s">
        <v>369</v>
      </c>
      <c r="W67" s="1" t="s">
        <v>438</v>
      </c>
      <c r="X67" s="1" t="s">
        <v>439</v>
      </c>
      <c r="Y67" s="12" t="s">
        <v>440</v>
      </c>
      <c r="Z67" s="12"/>
      <c r="AA67" s="12"/>
      <c r="AB67" s="12"/>
      <c r="AC67" s="12"/>
      <c r="AE67" s="12" t="s">
        <v>441</v>
      </c>
      <c r="AG67" s="12"/>
      <c r="AK67" s="1">
        <v>113.5875</v>
      </c>
    </row>
    <row r="68" spans="1:37">
      <c r="A68" s="12"/>
      <c r="B68" s="12"/>
      <c r="C68" s="12"/>
      <c r="D68" s="12"/>
      <c r="F68" s="1" t="s">
        <v>375</v>
      </c>
      <c r="G68" s="1" t="s">
        <v>365</v>
      </c>
      <c r="I68" s="1" t="s">
        <v>375</v>
      </c>
      <c r="J68" s="1" t="s">
        <v>365</v>
      </c>
      <c r="K68" s="1" t="s">
        <v>375</v>
      </c>
      <c r="L68" s="1" t="s">
        <v>365</v>
      </c>
      <c r="M68" s="1" t="s">
        <v>375</v>
      </c>
      <c r="N68" s="1" t="s">
        <v>365</v>
      </c>
      <c r="O68" s="1" t="s">
        <v>375</v>
      </c>
      <c r="P68" s="1" t="s">
        <v>365</v>
      </c>
      <c r="Q68" s="1" t="s">
        <v>375</v>
      </c>
      <c r="R68" s="1" t="s">
        <v>365</v>
      </c>
      <c r="S68" s="1" t="s">
        <v>375</v>
      </c>
      <c r="T68" s="1" t="s">
        <v>365</v>
      </c>
      <c r="U68" s="1" t="s">
        <v>375</v>
      </c>
      <c r="V68" s="1" t="s">
        <v>365</v>
      </c>
      <c r="Y68" s="12" t="s">
        <v>368</v>
      </c>
      <c r="Z68" s="12" t="s">
        <v>383</v>
      </c>
      <c r="AA68" s="12" t="s">
        <v>367</v>
      </c>
      <c r="AB68" s="12" t="s">
        <v>369</v>
      </c>
      <c r="AC68" s="12" t="s">
        <v>83</v>
      </c>
      <c r="AD68" s="1" t="s">
        <v>393</v>
      </c>
      <c r="AE68" s="12"/>
      <c r="AG68" s="12"/>
      <c r="AK68" s="1">
        <v>120.61</v>
      </c>
    </row>
    <row r="69" spans="1:37">
      <c r="A69" s="12"/>
      <c r="B69" s="12"/>
      <c r="C69" s="12"/>
      <c r="D69" s="12"/>
      <c r="E69" s="1" t="s">
        <v>362</v>
      </c>
      <c r="F69" s="1">
        <f ca="1">K18</f>
        <v>8.075</v>
      </c>
      <c r="G69" s="1">
        <f ca="1">J18</f>
        <v>5.52</v>
      </c>
      <c r="H69" s="1">
        <f ca="1">J34</f>
        <v>0.0686841617693205</v>
      </c>
      <c r="I69" s="1">
        <f ca="1">K12</f>
        <v>0.2375</v>
      </c>
      <c r="J69" s="1">
        <f ca="1">J12</f>
        <v>0.552</v>
      </c>
      <c r="K69" s="1">
        <f ca="1">K11</f>
        <v>2.4125</v>
      </c>
      <c r="L69" s="1">
        <f ca="1">J11</f>
        <v>2.01733333333333</v>
      </c>
      <c r="M69" s="1">
        <f>K8</f>
        <v>5</v>
      </c>
      <c r="N69" s="1">
        <f>J8</f>
        <v>5</v>
      </c>
      <c r="O69" s="1">
        <f>K6</f>
        <v>2</v>
      </c>
      <c r="P69" s="1">
        <f>J6</f>
        <v>1</v>
      </c>
      <c r="Q69" s="1">
        <f>K5</f>
        <v>1</v>
      </c>
      <c r="R69" s="1">
        <f>J5</f>
        <v>0</v>
      </c>
      <c r="S69" s="1">
        <f>K7</f>
        <v>1</v>
      </c>
      <c r="T69" s="1">
        <f>J7</f>
        <v>1</v>
      </c>
      <c r="U69" s="1">
        <f>K4</f>
        <v>1</v>
      </c>
      <c r="V69" s="1">
        <f>J4</f>
        <v>1</v>
      </c>
      <c r="W69" s="1">
        <f ca="1">J14</f>
        <v>0.0487342376373626</v>
      </c>
      <c r="X69" s="1">
        <f ca="1">J17</f>
        <v>6.7975</v>
      </c>
      <c r="Y69" s="12">
        <f ca="1">L6</f>
        <v>12.6811594202899</v>
      </c>
      <c r="Z69" s="12">
        <f ca="1">L5</f>
        <v>0</v>
      </c>
      <c r="AA69" s="12">
        <f ca="1">L7</f>
        <v>12.6811594202899</v>
      </c>
      <c r="AB69" s="12">
        <f ca="1">L4</f>
        <v>12.6811594202899</v>
      </c>
      <c r="AC69" s="12">
        <f ca="1">L11</f>
        <v>25.5821256038647</v>
      </c>
      <c r="AD69" s="1">
        <f>L12</f>
        <v>0</v>
      </c>
      <c r="AE69" s="12">
        <f ca="1">J35</f>
        <v>1.94117925358925</v>
      </c>
      <c r="AG69" s="12"/>
      <c r="AK69" s="1">
        <v>125.2575</v>
      </c>
    </row>
    <row r="70" spans="1:37">
      <c r="A70" s="12"/>
      <c r="B70" s="12"/>
      <c r="C70" s="12"/>
      <c r="D70" s="12"/>
      <c r="E70" s="1" t="s">
        <v>442</v>
      </c>
      <c r="Y70" s="12"/>
      <c r="Z70" s="12"/>
      <c r="AA70" s="12"/>
      <c r="AB70" s="12"/>
      <c r="AC70" s="12"/>
      <c r="AE70" s="12"/>
      <c r="AG70" s="12"/>
      <c r="AK70" s="1">
        <v>115.655</v>
      </c>
    </row>
    <row r="71" spans="1:37">
      <c r="A71" s="12"/>
      <c r="B71" s="12"/>
      <c r="C71" s="12"/>
      <c r="D71" s="12"/>
      <c r="E71" s="1" t="s">
        <v>361</v>
      </c>
      <c r="F71" s="1">
        <f ca="1">G18</f>
        <v>4.4575</v>
      </c>
      <c r="G71" s="1">
        <f ca="1">F18</f>
        <v>4.77</v>
      </c>
      <c r="H71" s="1">
        <f ca="1">F34</f>
        <v>0.108162060033591</v>
      </c>
      <c r="I71" s="1">
        <f ca="1">G12</f>
        <v>0.131102941176471</v>
      </c>
      <c r="J71" s="1">
        <f ca="1">F12</f>
        <v>0.477</v>
      </c>
      <c r="K71" s="1">
        <f ca="1">G11</f>
        <v>1.37703431372549</v>
      </c>
      <c r="L71" s="1">
        <f ca="1">F11</f>
        <v>1.559</v>
      </c>
      <c r="M71" s="1">
        <f>G8</f>
        <v>2</v>
      </c>
      <c r="N71" s="1">
        <f>F8</f>
        <v>3</v>
      </c>
      <c r="O71" s="1">
        <f>G6</f>
        <v>1</v>
      </c>
      <c r="P71" s="1">
        <f>F6</f>
        <v>1</v>
      </c>
      <c r="Q71" s="1">
        <f>G5</f>
        <v>1</v>
      </c>
      <c r="R71" s="1">
        <f>F5</f>
        <v>1</v>
      </c>
      <c r="S71" s="1">
        <f>G7</f>
        <v>0</v>
      </c>
      <c r="T71" s="1">
        <f>F7</f>
        <v>0</v>
      </c>
      <c r="U71" s="1">
        <f>G4</f>
        <v>1</v>
      </c>
      <c r="V71" s="1">
        <f>F4</f>
        <v>1</v>
      </c>
      <c r="W71" s="1">
        <f ca="1">F14</f>
        <v>0.0487341176470588</v>
      </c>
      <c r="X71" s="1">
        <f ca="1">F17</f>
        <v>0</v>
      </c>
      <c r="Y71" s="12">
        <f ca="1">H6</f>
        <v>14.6750524109015</v>
      </c>
      <c r="Z71" s="12">
        <f ca="1">H5</f>
        <v>14.6750524109015</v>
      </c>
      <c r="AA71" s="12">
        <f ca="1">H7</f>
        <v>0</v>
      </c>
      <c r="AB71" s="12">
        <f ca="1">H4</f>
        <v>14.6750524109015</v>
      </c>
      <c r="AC71" s="12">
        <f ca="1">H11</f>
        <v>22.8784067085954</v>
      </c>
      <c r="AD71" s="1">
        <f>H12</f>
        <v>0</v>
      </c>
      <c r="AE71" s="12">
        <f ca="1">F35</f>
        <v>2.60681950160957</v>
      </c>
      <c r="AG71" s="12"/>
      <c r="AK71" s="1">
        <v>113.655</v>
      </c>
    </row>
    <row r="72" spans="1:37">
      <c r="A72" s="12"/>
      <c r="B72" s="12"/>
      <c r="C72" s="12"/>
      <c r="D72" s="12"/>
      <c r="E72" s="1" t="s">
        <v>0</v>
      </c>
      <c r="F72" s="1">
        <v>1</v>
      </c>
      <c r="G72" s="1">
        <v>1</v>
      </c>
      <c r="H72" s="1">
        <v>1</v>
      </c>
      <c r="I72" s="1">
        <v>1</v>
      </c>
      <c r="J72" s="1">
        <v>1</v>
      </c>
      <c r="K72" s="1">
        <v>1</v>
      </c>
      <c r="L72" s="1">
        <v>1</v>
      </c>
      <c r="M72" s="1">
        <v>1</v>
      </c>
      <c r="N72" s="1">
        <v>1</v>
      </c>
      <c r="O72" s="1">
        <v>1</v>
      </c>
      <c r="P72" s="1">
        <v>1</v>
      </c>
      <c r="Q72" s="1">
        <v>1</v>
      </c>
      <c r="R72" s="1">
        <v>1</v>
      </c>
      <c r="S72" s="1">
        <v>1</v>
      </c>
      <c r="T72" s="1">
        <v>1</v>
      </c>
      <c r="U72" s="1">
        <v>1</v>
      </c>
      <c r="V72" s="1">
        <v>1</v>
      </c>
      <c r="W72" s="1">
        <v>1</v>
      </c>
      <c r="X72" s="1">
        <v>1</v>
      </c>
      <c r="Y72" s="12">
        <v>1</v>
      </c>
      <c r="Z72" s="12">
        <v>1</v>
      </c>
      <c r="AA72" s="12">
        <v>1</v>
      </c>
      <c r="AB72" s="12">
        <v>1</v>
      </c>
      <c r="AC72" s="12">
        <v>1</v>
      </c>
      <c r="AD72" s="1">
        <v>1</v>
      </c>
      <c r="AE72" s="12">
        <v>1</v>
      </c>
      <c r="AG72" s="12"/>
      <c r="AK72" s="1">
        <v>121.95</v>
      </c>
    </row>
    <row r="73" spans="1:37">
      <c r="A73" s="12"/>
      <c r="B73" s="12"/>
      <c r="C73" s="12"/>
      <c r="D73" s="12"/>
      <c r="E73" s="1" t="s">
        <v>363</v>
      </c>
      <c r="F73">
        <f ca="1">O18</f>
        <v>4.4575</v>
      </c>
      <c r="G73">
        <f ca="1">N18</f>
        <v>5.52</v>
      </c>
      <c r="H73">
        <f ca="1">N34</f>
        <v>0.0686841617693205</v>
      </c>
      <c r="I73">
        <f ca="1">O12</f>
        <v>0.131102941176471</v>
      </c>
      <c r="J73">
        <f ca="1">N12</f>
        <v>0.552</v>
      </c>
      <c r="K73">
        <f ca="1">O11</f>
        <v>1.37703431372549</v>
      </c>
      <c r="L73">
        <f ca="1">N11</f>
        <v>1.584</v>
      </c>
      <c r="M73">
        <f>O8</f>
        <v>2</v>
      </c>
      <c r="N73">
        <f>N8</f>
        <v>5</v>
      </c>
      <c r="O73">
        <f>O6</f>
        <v>1</v>
      </c>
      <c r="P73">
        <f>N6</f>
        <v>1</v>
      </c>
      <c r="Q73">
        <f>O5</f>
        <v>0</v>
      </c>
      <c r="R73">
        <f>N5</f>
        <v>0</v>
      </c>
      <c r="S73">
        <f>O7</f>
        <v>1</v>
      </c>
      <c r="T73">
        <f>N7</f>
        <v>1</v>
      </c>
      <c r="U73">
        <f>O4</f>
        <v>1</v>
      </c>
      <c r="V73">
        <f>N4</f>
        <v>1</v>
      </c>
      <c r="W73">
        <f ca="1">N14</f>
        <v>0.0493234445701357</v>
      </c>
      <c r="X73">
        <f ca="1">N17</f>
        <v>4.98875</v>
      </c>
      <c r="Y73">
        <f ca="1">P6</f>
        <v>12.6811594202899</v>
      </c>
      <c r="Z73">
        <f ca="1">P5</f>
        <v>0</v>
      </c>
      <c r="AA73">
        <f ca="1">P7</f>
        <v>12.6811594202899</v>
      </c>
      <c r="AB73">
        <f ca="1">P4</f>
        <v>12.6811594202899</v>
      </c>
      <c r="AC73">
        <f ca="1">P11</f>
        <v>20.0869565217391</v>
      </c>
      <c r="AD73" s="1">
        <f>P12</f>
        <v>0</v>
      </c>
      <c r="AE73" s="1">
        <f ca="1">N35</f>
        <v>1.94117925358925</v>
      </c>
      <c r="AF73" s="12"/>
      <c r="AK73" s="1">
        <v>129.535</v>
      </c>
    </row>
    <row r="74" spans="1:37">
      <c r="AK74" s="1">
        <v>127.87</v>
      </c>
    </row>
    <row r="76" spans="1:37">
      <c r="AK76" s="1">
        <v>124.665</v>
      </c>
    </row>
    <row r="77" spans="1:37">
      <c r="AK77" s="1">
        <v>131.9375</v>
      </c>
    </row>
    <row r="78" spans="1:37">
      <c r="AK78" s="1">
        <v>135.085</v>
      </c>
    </row>
    <row r="79" spans="1:37">
      <c r="AK79" s="1">
        <v>138.2325</v>
      </c>
    </row>
    <row r="80" spans="1:37">
      <c r="AK80" s="1">
        <v>133.38</v>
      </c>
    </row>
    <row r="81" spans="37:37">
      <c r="AK81" s="1">
        <v>147.415</v>
      </c>
    </row>
    <row r="82" spans="37:37">
      <c r="AK82" s="1">
        <v>151.8</v>
      </c>
    </row>
    <row r="83" spans="37:37">
      <c r="AK83" s="1">
        <v>141.3225</v>
      </c>
    </row>
    <row r="84" spans="37:37">
      <c r="AK84" s="1">
        <v>146.845</v>
      </c>
    </row>
    <row r="85" spans="37:37">
      <c r="AK85" s="1">
        <v>155.305</v>
      </c>
    </row>
    <row r="86" spans="37:37">
      <c r="AK86" s="1">
        <v>142.39</v>
      </c>
    </row>
    <row r="87" spans="37:37">
      <c r="AK87" s="1">
        <v>150.0625</v>
      </c>
    </row>
    <row r="88" spans="37:37">
      <c r="AK88" s="1">
        <v>151.31</v>
      </c>
    </row>
    <row r="89" spans="37:37">
      <c r="AK89" s="1">
        <v>155.4575</v>
      </c>
    </row>
    <row r="90" spans="37:37">
      <c r="AK90" s="1">
        <v>164.355</v>
      </c>
    </row>
    <row r="91" spans="37:37">
      <c r="AK91" s="1">
        <v>150.44</v>
      </c>
    </row>
    <row r="92" spans="37:37">
      <c r="AK92" s="1">
        <v>167.025</v>
      </c>
    </row>
    <row r="93" spans="37:37">
      <c r="AK93" s="1">
        <v>166.005</v>
      </c>
    </row>
    <row r="94" spans="37:37">
      <c r="AK94" s="1">
        <v>160.695</v>
      </c>
    </row>
    <row r="95" spans="37:37">
      <c r="AK95" s="1">
        <v>166.8425</v>
      </c>
    </row>
    <row r="96" spans="37:37">
      <c r="AK96" s="1">
        <v>160.115</v>
      </c>
    </row>
    <row r="97" spans="37:37">
      <c r="AK97" s="1">
        <v>161.475</v>
      </c>
    </row>
    <row r="98" spans="37:37">
      <c r="AK98" s="1">
        <v>177.285</v>
      </c>
    </row>
    <row r="99" spans="37:37">
      <c r="AK99" s="1">
        <v>176.995</v>
      </c>
    </row>
    <row r="100" spans="37:37">
      <c r="AK100" s="1">
        <v>171.705</v>
      </c>
    </row>
    <row r="101" spans="37:37">
      <c r="AK101" s="1">
        <v>188.6025</v>
      </c>
    </row>
    <row r="102" spans="37:37">
      <c r="AK102" s="1">
        <v>169.125</v>
      </c>
    </row>
    <row r="103" spans="37:37">
      <c r="AK103" s="1">
        <v>171.93</v>
      </c>
    </row>
    <row r="104" spans="37:37">
      <c r="AK104" s="1">
        <v>187.67</v>
      </c>
    </row>
    <row r="105" spans="37:37">
      <c r="AK105" s="1">
        <v>181.6925</v>
      </c>
    </row>
    <row r="106" spans="37:37">
      <c r="AK106" s="1">
        <v>196.215</v>
      </c>
    </row>
    <row r="107" spans="37:37">
      <c r="AK107" s="1">
        <v>178.8</v>
      </c>
    </row>
    <row r="108" spans="37:37">
      <c r="AK108" s="1">
        <v>187.775</v>
      </c>
    </row>
    <row r="109" spans="37:37">
      <c r="AK109" s="1">
        <v>196.595</v>
      </c>
    </row>
    <row r="110" spans="37:37">
      <c r="AK110" s="1">
        <v>190.055</v>
      </c>
    </row>
    <row r="111" spans="37:37">
      <c r="AK111" s="1">
        <v>207.5775</v>
      </c>
    </row>
    <row r="112" spans="37:37">
      <c r="AK112" s="1">
        <v>186.85</v>
      </c>
    </row>
    <row r="113" spans="37:37">
      <c r="AK113" s="1">
        <v>206.685</v>
      </c>
    </row>
    <row r="114" spans="37:37">
      <c r="AK114" s="1">
        <v>197.05</v>
      </c>
    </row>
    <row r="115" spans="37:37">
      <c r="AK115" s="1">
        <v>201.2925</v>
      </c>
    </row>
    <row r="116" spans="37:37">
      <c r="AK116" s="1">
        <v>199.44</v>
      </c>
    </row>
    <row r="117" spans="37:37">
      <c r="AK117" s="1">
        <v>194.9</v>
      </c>
    </row>
    <row r="118" spans="37:37">
      <c r="AK118" s="1">
        <v>215.86</v>
      </c>
    </row>
    <row r="119" spans="37:37">
      <c r="AK119" s="1">
        <v>216.195</v>
      </c>
    </row>
    <row r="120" spans="37:37">
      <c r="AK120" s="1">
        <v>211.655</v>
      </c>
    </row>
    <row r="121" spans="37:37">
      <c r="AK121" s="1">
        <v>209.4275</v>
      </c>
    </row>
    <row r="122" spans="37:37">
      <c r="AK122" s="1">
        <v>202.95</v>
      </c>
    </row>
    <row r="123" spans="37:37">
      <c r="AK123" s="1">
        <v>223.717500000001</v>
      </c>
    </row>
    <row r="124" spans="37:37">
      <c r="AK124" s="1">
        <v>215.425</v>
      </c>
    </row>
    <row r="125" spans="37:37">
      <c r="AK125" s="1">
        <v>226.205</v>
      </c>
    </row>
    <row r="126" spans="37:37">
      <c r="AK126" s="1">
        <v>211.665</v>
      </c>
    </row>
    <row r="127" spans="37:37">
      <c r="AK127" s="1">
        <v>235.3125</v>
      </c>
    </row>
    <row r="128" spans="37:37">
      <c r="AK128" s="1">
        <v>234.21</v>
      </c>
    </row>
    <row r="129" spans="37:37">
      <c r="AK129" s="1">
        <v>243.2325</v>
      </c>
    </row>
    <row r="130" spans="37:37">
      <c r="AK130" s="1">
        <v>235.13</v>
      </c>
    </row>
    <row r="131" spans="37:37">
      <c r="AK131" s="1">
        <v>226.1525</v>
      </c>
    </row>
    <row r="132" spans="37:37">
      <c r="AK132" s="1">
        <v>242.3</v>
      </c>
    </row>
    <row r="133" spans="37:37">
      <c r="AK133" s="1">
        <v>221.635</v>
      </c>
    </row>
    <row r="134" spans="37:37">
      <c r="AK134" s="1">
        <v>252.72</v>
      </c>
    </row>
    <row r="135" spans="37:37">
      <c r="AK135" s="1">
        <v>245.805</v>
      </c>
    </row>
    <row r="136" spans="37:37">
      <c r="AK136" s="1">
        <v>234.515</v>
      </c>
    </row>
    <row r="137" spans="37:37">
      <c r="AK137" s="1">
        <v>251.475</v>
      </c>
    </row>
    <row r="138" spans="37:37">
      <c r="AK138" s="1">
        <v>231.31</v>
      </c>
    </row>
    <row r="139" spans="37:37">
      <c r="AK139" s="1">
        <v>233.035000000001</v>
      </c>
    </row>
    <row r="140" spans="37:37">
      <c r="AK140" s="1">
        <v>243.48</v>
      </c>
    </row>
    <row r="141" spans="37:37">
      <c r="AK141" s="1">
        <v>255.815</v>
      </c>
    </row>
    <row r="142" spans="37:37">
      <c r="AK142" s="1">
        <v>251.65</v>
      </c>
    </row>
    <row r="143" spans="37:37">
      <c r="AK143" s="1">
        <v>265.36</v>
      </c>
    </row>
    <row r="144" spans="37:37">
      <c r="AK144" s="1">
        <v>241.945</v>
      </c>
    </row>
    <row r="145" spans="37:37">
      <c r="AK145" s="1">
        <v>243.490000000001</v>
      </c>
    </row>
    <row r="146" spans="37:37">
      <c r="AK146" s="1">
        <v>264.74</v>
      </c>
    </row>
    <row r="147" spans="37:37">
      <c r="AK147" s="1">
        <v>253.8875</v>
      </c>
    </row>
    <row r="148" spans="37:37">
      <c r="AK148" s="1">
        <v>261.285</v>
      </c>
    </row>
    <row r="149" spans="37:37">
      <c r="AK149" s="1">
        <v>249.995</v>
      </c>
    </row>
    <row r="150" spans="37:37">
      <c r="AK150" s="1">
        <v>288.0175</v>
      </c>
    </row>
    <row r="151" spans="37:37">
      <c r="AK151" s="1">
        <v>273.665</v>
      </c>
    </row>
    <row r="152" spans="37:37">
      <c r="AK152" s="1">
        <v>262.25</v>
      </c>
    </row>
    <row r="153" spans="37:37">
      <c r="AK153" s="1">
        <v>271.6475</v>
      </c>
    </row>
    <row r="154" spans="37:37">
      <c r="AK154" s="1">
        <v>258.045</v>
      </c>
    </row>
    <row r="155" spans="37:37">
      <c r="AK155" s="1">
        <v>287.227500000001</v>
      </c>
    </row>
    <row r="156" spans="37:37">
      <c r="AK156" s="1">
        <v>284.34</v>
      </c>
    </row>
    <row r="157" spans="37:37">
      <c r="AK157" s="1">
        <v>272.2375</v>
      </c>
    </row>
    <row r="158" spans="37:37">
      <c r="AK158" s="1">
        <v>299.01</v>
      </c>
    </row>
    <row r="159" spans="37:37">
      <c r="AK159" s="1">
        <v>267.72</v>
      </c>
    </row>
    <row r="160" spans="37:37">
      <c r="AK160" s="1">
        <v>296.4925</v>
      </c>
    </row>
    <row r="161" spans="37:37">
      <c r="AK161" s="1">
        <v>292.807500000001</v>
      </c>
    </row>
    <row r="162" spans="37:37">
      <c r="AK162" s="1">
        <v>294.35</v>
      </c>
    </row>
    <row r="163" spans="37:37">
      <c r="AK163" s="1">
        <v>281.6225</v>
      </c>
    </row>
    <row r="164" spans="37:37">
      <c r="AK164" s="1">
        <v>275.77</v>
      </c>
    </row>
    <row r="165" spans="37:37">
      <c r="AK165" s="1">
        <v>292.6675</v>
      </c>
    </row>
    <row r="166" spans="37:37">
      <c r="AK166" s="1">
        <v>274.35</v>
      </c>
    </row>
    <row r="167" spans="37:37">
      <c r="AK167" s="1">
        <v>291.8125</v>
      </c>
    </row>
    <row r="168" spans="37:37">
      <c r="AK168" s="1">
        <v>291.61</v>
      </c>
    </row>
    <row r="169" spans="37:37">
      <c r="AK169" s="1">
        <v>283.82</v>
      </c>
    </row>
    <row r="170" spans="37:37">
      <c r="AK170" s="1">
        <v>299.599999999999</v>
      </c>
    </row>
    <row r="172" spans="37:37">
      <c r="AK172" s="1">
        <v>284.625</v>
      </c>
    </row>
    <row r="173" spans="37:37">
      <c r="AK173" s="1">
        <v>299.9725</v>
      </c>
    </row>
    <row r="174" spans="37:37">
      <c r="AK174" s="1">
        <v>293.210000000001</v>
      </c>
    </row>
    <row r="175" spans="37:37">
      <c r="AK175" s="1">
        <v>294.455</v>
      </c>
    </row>
    <row r="176" spans="37:37">
      <c r="AK176" s="1">
        <v>299.83</v>
      </c>
    </row>
    <row r="178" spans="37:37">
      <c r="AK178" s="1">
        <v>292.870000000001</v>
      </c>
    </row>
    <row r="179" spans="37:37">
      <c r="AK179" s="1">
        <v>295.8</v>
      </c>
    </row>
  </sheetData>
  <mergeCells count="2">
    <mergeCell ref="F55:G55"/>
    <mergeCell ref="E54:E55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A37"/>
  <sheetViews>
    <sheetView workbookViewId="0">
      <selection activeCell="L14" sqref="L14"/>
    </sheetView>
  </sheetViews>
  <sheetFormatPr defaultColWidth="9" defaultRowHeight="13.5"/>
  <sheetData>
    <row r="1" spans="1:27">
      <c r="A1" t="s">
        <v>364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  <c r="H1" t="s">
        <v>371</v>
      </c>
      <c r="I1" t="s">
        <v>372</v>
      </c>
      <c r="J1" t="s">
        <v>373</v>
      </c>
      <c r="K1" t="s">
        <v>374</v>
      </c>
      <c r="L1" t="s">
        <v>306</v>
      </c>
      <c r="P1" t="s">
        <v>364</v>
      </c>
      <c r="Q1" t="s">
        <v>365</v>
      </c>
      <c r="R1" t="s">
        <v>366</v>
      </c>
      <c r="S1" t="s">
        <v>367</v>
      </c>
      <c r="T1" t="s">
        <v>368</v>
      </c>
      <c r="U1" t="s">
        <v>369</v>
      </c>
      <c r="V1" t="s">
        <v>370</v>
      </c>
      <c r="W1" t="s">
        <v>371</v>
      </c>
      <c r="X1" t="s">
        <v>372</v>
      </c>
      <c r="Y1" t="s">
        <v>373</v>
      </c>
      <c r="Z1" t="s">
        <v>374</v>
      </c>
      <c r="AA1" t="s">
        <v>306</v>
      </c>
    </row>
    <row r="2" spans="1:27">
      <c r="A2">
        <v>7</v>
      </c>
      <c r="B2">
        <v>10</v>
      </c>
      <c r="C2">
        <v>13</v>
      </c>
      <c r="D2">
        <v>23</v>
      </c>
      <c r="E2">
        <v>12</v>
      </c>
      <c r="F2">
        <v>46</v>
      </c>
      <c r="G2">
        <v>4</v>
      </c>
      <c r="H2">
        <v>10</v>
      </c>
      <c r="I2">
        <v>10</v>
      </c>
      <c r="J2">
        <v>6</v>
      </c>
      <c r="K2">
        <v>21</v>
      </c>
      <c r="L2">
        <v>301.127500000001</v>
      </c>
      <c r="P2">
        <v>10</v>
      </c>
      <c r="Q2">
        <v>10</v>
      </c>
      <c r="R2">
        <v>14</v>
      </c>
      <c r="S2">
        <v>0</v>
      </c>
      <c r="T2">
        <v>10</v>
      </c>
      <c r="U2">
        <v>49</v>
      </c>
      <c r="V2">
        <v>0</v>
      </c>
      <c r="W2">
        <v>8</v>
      </c>
      <c r="X2">
        <v>0</v>
      </c>
      <c r="Y2">
        <v>8</v>
      </c>
      <c r="Z2">
        <v>30</v>
      </c>
      <c r="AA2">
        <v>300.055</v>
      </c>
    </row>
    <row r="3" spans="1:27">
      <c r="A3">
        <v>11</v>
      </c>
      <c r="B3">
        <v>10</v>
      </c>
      <c r="C3">
        <v>13</v>
      </c>
      <c r="D3">
        <v>20</v>
      </c>
      <c r="E3">
        <v>10</v>
      </c>
      <c r="F3">
        <v>46</v>
      </c>
      <c r="G3">
        <v>0</v>
      </c>
      <c r="H3">
        <v>9</v>
      </c>
      <c r="I3">
        <v>10</v>
      </c>
      <c r="J3">
        <v>7</v>
      </c>
      <c r="K3">
        <v>24</v>
      </c>
      <c r="L3">
        <v>300.450000000001</v>
      </c>
      <c r="P3">
        <v>10</v>
      </c>
      <c r="Q3">
        <v>10</v>
      </c>
      <c r="R3">
        <v>15</v>
      </c>
      <c r="S3">
        <v>0</v>
      </c>
      <c r="T3">
        <v>9</v>
      </c>
      <c r="U3">
        <v>51</v>
      </c>
      <c r="V3">
        <v>0</v>
      </c>
      <c r="W3">
        <v>6</v>
      </c>
      <c r="X3">
        <v>0</v>
      </c>
      <c r="Y3">
        <v>8</v>
      </c>
      <c r="Z3">
        <v>31</v>
      </c>
      <c r="AA3">
        <v>301.8</v>
      </c>
    </row>
    <row r="4" spans="1:27">
      <c r="A4">
        <v>10</v>
      </c>
      <c r="B4">
        <v>10</v>
      </c>
      <c r="C4">
        <v>16</v>
      </c>
      <c r="D4">
        <v>18</v>
      </c>
      <c r="E4">
        <v>11</v>
      </c>
      <c r="F4">
        <v>46</v>
      </c>
      <c r="G4">
        <v>1</v>
      </c>
      <c r="H4">
        <v>7</v>
      </c>
      <c r="I4">
        <v>12</v>
      </c>
      <c r="J4">
        <v>7</v>
      </c>
      <c r="K4">
        <v>27</v>
      </c>
      <c r="L4">
        <v>301.050000000001</v>
      </c>
      <c r="P4">
        <v>9</v>
      </c>
      <c r="Q4">
        <v>10</v>
      </c>
      <c r="R4">
        <v>15</v>
      </c>
      <c r="S4">
        <v>0</v>
      </c>
      <c r="T4">
        <v>11</v>
      </c>
      <c r="U4">
        <v>54</v>
      </c>
      <c r="V4">
        <v>2</v>
      </c>
      <c r="W4">
        <v>7</v>
      </c>
      <c r="X4">
        <v>0</v>
      </c>
      <c r="Y4">
        <v>7</v>
      </c>
      <c r="Z4">
        <v>30</v>
      </c>
      <c r="AA4">
        <v>301.775</v>
      </c>
    </row>
    <row r="5" spans="1:27">
      <c r="A5">
        <v>8</v>
      </c>
      <c r="B5">
        <v>10</v>
      </c>
      <c r="C5">
        <v>14</v>
      </c>
      <c r="D5">
        <v>21</v>
      </c>
      <c r="E5">
        <v>11</v>
      </c>
      <c r="F5">
        <v>47</v>
      </c>
      <c r="G5">
        <v>3</v>
      </c>
      <c r="H5">
        <v>9</v>
      </c>
      <c r="I5">
        <v>10</v>
      </c>
      <c r="J5">
        <v>7</v>
      </c>
      <c r="K5">
        <v>27</v>
      </c>
      <c r="L5">
        <v>300.290000000001</v>
      </c>
      <c r="P5">
        <v>10</v>
      </c>
      <c r="Q5">
        <v>10</v>
      </c>
      <c r="R5">
        <v>16</v>
      </c>
      <c r="S5">
        <v>0</v>
      </c>
      <c r="T5">
        <v>9</v>
      </c>
      <c r="U5">
        <v>55</v>
      </c>
      <c r="V5">
        <v>0</v>
      </c>
      <c r="W5">
        <v>7</v>
      </c>
      <c r="X5">
        <v>0</v>
      </c>
      <c r="Y5">
        <v>10</v>
      </c>
      <c r="Z5">
        <v>30</v>
      </c>
      <c r="AA5">
        <v>300.3275</v>
      </c>
    </row>
    <row r="6" spans="1:27">
      <c r="A6">
        <v>9</v>
      </c>
      <c r="B6">
        <v>10</v>
      </c>
      <c r="C6">
        <v>15</v>
      </c>
      <c r="D6">
        <v>23</v>
      </c>
      <c r="E6">
        <v>10</v>
      </c>
      <c r="F6">
        <v>48</v>
      </c>
      <c r="G6">
        <v>2</v>
      </c>
      <c r="H6">
        <v>8</v>
      </c>
      <c r="I6">
        <v>9</v>
      </c>
      <c r="J6">
        <v>6</v>
      </c>
      <c r="K6">
        <v>28</v>
      </c>
      <c r="L6">
        <v>300.160000000001</v>
      </c>
      <c r="P6">
        <v>10</v>
      </c>
      <c r="Q6">
        <v>10</v>
      </c>
      <c r="R6">
        <v>15</v>
      </c>
      <c r="S6">
        <v>0</v>
      </c>
      <c r="T6">
        <v>11</v>
      </c>
      <c r="U6">
        <v>58</v>
      </c>
      <c r="V6">
        <v>0</v>
      </c>
      <c r="W6">
        <v>8</v>
      </c>
      <c r="X6">
        <v>0</v>
      </c>
      <c r="Y6">
        <v>7</v>
      </c>
      <c r="Z6">
        <v>30</v>
      </c>
      <c r="AA6">
        <v>302.255</v>
      </c>
    </row>
    <row r="7" spans="1:27">
      <c r="A7">
        <v>8</v>
      </c>
      <c r="B7">
        <v>10</v>
      </c>
      <c r="C7">
        <v>16</v>
      </c>
      <c r="D7">
        <v>21</v>
      </c>
      <c r="E7">
        <v>11</v>
      </c>
      <c r="F7">
        <v>50</v>
      </c>
      <c r="G7">
        <v>3</v>
      </c>
      <c r="H7">
        <v>7</v>
      </c>
      <c r="I7">
        <v>12</v>
      </c>
      <c r="J7">
        <v>7</v>
      </c>
      <c r="K7">
        <v>29</v>
      </c>
      <c r="L7">
        <v>300.505000000001</v>
      </c>
      <c r="P7">
        <v>10</v>
      </c>
      <c r="Q7">
        <v>10</v>
      </c>
      <c r="R7">
        <v>15</v>
      </c>
      <c r="S7">
        <v>0</v>
      </c>
      <c r="T7">
        <v>11</v>
      </c>
      <c r="U7">
        <v>58</v>
      </c>
      <c r="V7">
        <v>1</v>
      </c>
      <c r="W7">
        <v>8</v>
      </c>
      <c r="X7">
        <v>0</v>
      </c>
      <c r="Y7">
        <v>8</v>
      </c>
      <c r="Z7">
        <v>32</v>
      </c>
      <c r="AA7">
        <v>300.1725</v>
      </c>
    </row>
    <row r="8" spans="1:27">
      <c r="A8">
        <v>8</v>
      </c>
      <c r="B8">
        <v>10</v>
      </c>
      <c r="C8">
        <v>16</v>
      </c>
      <c r="D8">
        <v>21</v>
      </c>
      <c r="E8">
        <v>11</v>
      </c>
      <c r="F8">
        <v>51</v>
      </c>
      <c r="G8">
        <v>3</v>
      </c>
      <c r="H8">
        <v>7</v>
      </c>
      <c r="I8">
        <v>12</v>
      </c>
      <c r="J8">
        <v>7</v>
      </c>
      <c r="K8">
        <v>30</v>
      </c>
      <c r="L8">
        <v>300.807500000001</v>
      </c>
      <c r="P8">
        <v>11</v>
      </c>
      <c r="Q8">
        <v>10</v>
      </c>
      <c r="R8">
        <v>14</v>
      </c>
      <c r="S8">
        <v>0</v>
      </c>
      <c r="T8">
        <v>12</v>
      </c>
      <c r="U8">
        <v>60</v>
      </c>
      <c r="V8">
        <v>0</v>
      </c>
      <c r="W8">
        <v>9</v>
      </c>
      <c r="X8">
        <v>0</v>
      </c>
      <c r="Y8">
        <v>7</v>
      </c>
      <c r="Z8">
        <v>33</v>
      </c>
      <c r="AA8">
        <v>302.4075</v>
      </c>
    </row>
    <row r="9" spans="1:27">
      <c r="A9">
        <v>10</v>
      </c>
      <c r="B9">
        <v>10</v>
      </c>
      <c r="C9">
        <v>15</v>
      </c>
      <c r="D9">
        <v>20</v>
      </c>
      <c r="E9">
        <v>10</v>
      </c>
      <c r="F9">
        <v>54</v>
      </c>
      <c r="G9">
        <v>2</v>
      </c>
      <c r="H9">
        <v>8</v>
      </c>
      <c r="I9">
        <v>10</v>
      </c>
      <c r="J9">
        <v>8</v>
      </c>
      <c r="K9">
        <v>30</v>
      </c>
      <c r="L9">
        <v>301.552500000001</v>
      </c>
      <c r="P9">
        <v>7</v>
      </c>
      <c r="Q9">
        <v>10</v>
      </c>
      <c r="R9">
        <v>15</v>
      </c>
      <c r="S9">
        <v>0</v>
      </c>
      <c r="T9">
        <v>11</v>
      </c>
      <c r="U9">
        <v>64</v>
      </c>
      <c r="V9">
        <v>4</v>
      </c>
      <c r="W9">
        <v>9</v>
      </c>
      <c r="X9">
        <v>0</v>
      </c>
      <c r="Y9">
        <v>8</v>
      </c>
      <c r="Z9">
        <v>30</v>
      </c>
      <c r="AA9">
        <v>300.085</v>
      </c>
    </row>
    <row r="10" spans="1:27">
      <c r="A10">
        <v>9</v>
      </c>
      <c r="B10">
        <v>10</v>
      </c>
      <c r="C10">
        <v>15</v>
      </c>
      <c r="D10">
        <v>20</v>
      </c>
      <c r="E10">
        <v>14</v>
      </c>
      <c r="F10">
        <v>58</v>
      </c>
      <c r="G10">
        <v>3</v>
      </c>
      <c r="H10">
        <v>8</v>
      </c>
      <c r="I10">
        <v>10</v>
      </c>
      <c r="J10">
        <v>5</v>
      </c>
      <c r="K10">
        <v>30</v>
      </c>
      <c r="L10">
        <v>301.340000000001</v>
      </c>
      <c r="P10">
        <v>8</v>
      </c>
      <c r="Q10">
        <v>10</v>
      </c>
      <c r="R10">
        <v>14</v>
      </c>
      <c r="S10">
        <v>0</v>
      </c>
      <c r="T10">
        <v>10</v>
      </c>
      <c r="U10">
        <v>69</v>
      </c>
      <c r="V10">
        <v>3</v>
      </c>
      <c r="W10">
        <v>9</v>
      </c>
      <c r="X10">
        <v>0</v>
      </c>
      <c r="Y10">
        <v>9</v>
      </c>
      <c r="Z10">
        <v>30</v>
      </c>
      <c r="AA10">
        <v>301.815000000001</v>
      </c>
    </row>
    <row r="11" spans="1:27">
      <c r="A11">
        <v>8</v>
      </c>
      <c r="B11">
        <v>10</v>
      </c>
      <c r="C11">
        <v>15</v>
      </c>
      <c r="D11">
        <v>22</v>
      </c>
      <c r="E11">
        <v>13</v>
      </c>
      <c r="F11">
        <v>44</v>
      </c>
      <c r="G11">
        <v>3</v>
      </c>
      <c r="H11">
        <v>8</v>
      </c>
      <c r="I11">
        <v>11</v>
      </c>
      <c r="J11">
        <v>5</v>
      </c>
      <c r="K11">
        <v>22</v>
      </c>
      <c r="L11">
        <v>302.9625</v>
      </c>
      <c r="P11">
        <v>10</v>
      </c>
      <c r="Q11">
        <v>10</v>
      </c>
      <c r="R11">
        <v>14</v>
      </c>
      <c r="S11">
        <v>0</v>
      </c>
      <c r="T11">
        <v>9</v>
      </c>
      <c r="U11">
        <v>48</v>
      </c>
      <c r="V11">
        <v>0</v>
      </c>
      <c r="W11">
        <v>8</v>
      </c>
      <c r="X11">
        <v>0</v>
      </c>
      <c r="Y11">
        <v>8</v>
      </c>
      <c r="Z11">
        <v>30</v>
      </c>
      <c r="AA11">
        <v>300.1125</v>
      </c>
    </row>
    <row r="12" spans="1:27">
      <c r="A12">
        <v>7</v>
      </c>
      <c r="B12">
        <v>10</v>
      </c>
      <c r="C12">
        <v>13</v>
      </c>
      <c r="D12">
        <v>23</v>
      </c>
      <c r="E12">
        <v>12</v>
      </c>
      <c r="F12">
        <v>46</v>
      </c>
      <c r="G12">
        <v>4</v>
      </c>
      <c r="H12">
        <v>10</v>
      </c>
      <c r="I12">
        <v>10</v>
      </c>
      <c r="J12">
        <v>6</v>
      </c>
      <c r="K12">
        <v>21</v>
      </c>
      <c r="L12">
        <v>301.8</v>
      </c>
      <c r="P12">
        <v>10</v>
      </c>
      <c r="Q12">
        <v>10</v>
      </c>
      <c r="R12">
        <v>14</v>
      </c>
      <c r="S12">
        <v>0</v>
      </c>
      <c r="T12">
        <v>10</v>
      </c>
      <c r="U12">
        <v>50</v>
      </c>
      <c r="V12">
        <v>0</v>
      </c>
      <c r="W12">
        <v>8</v>
      </c>
      <c r="X12">
        <v>0</v>
      </c>
      <c r="Y12">
        <v>8</v>
      </c>
      <c r="Z12">
        <v>30</v>
      </c>
      <c r="AA12">
        <v>302.25</v>
      </c>
    </row>
    <row r="13" spans="1:27">
      <c r="A13">
        <v>10</v>
      </c>
      <c r="B13">
        <v>10</v>
      </c>
      <c r="C13">
        <v>15</v>
      </c>
      <c r="D13">
        <v>18</v>
      </c>
      <c r="E13">
        <v>11</v>
      </c>
      <c r="F13">
        <v>45</v>
      </c>
      <c r="G13">
        <v>1</v>
      </c>
      <c r="H13">
        <v>7</v>
      </c>
      <c r="I13">
        <v>12</v>
      </c>
      <c r="J13">
        <v>7</v>
      </c>
      <c r="K13">
        <v>27</v>
      </c>
      <c r="L13">
        <v>302.075</v>
      </c>
      <c r="P13">
        <v>11</v>
      </c>
      <c r="Q13">
        <v>10</v>
      </c>
      <c r="R13">
        <v>15</v>
      </c>
      <c r="S13">
        <v>0</v>
      </c>
      <c r="T13">
        <v>9</v>
      </c>
      <c r="U13">
        <v>52</v>
      </c>
      <c r="V13">
        <v>0</v>
      </c>
      <c r="W13">
        <v>6</v>
      </c>
      <c r="X13">
        <v>0</v>
      </c>
      <c r="Y13">
        <v>9</v>
      </c>
      <c r="Z13">
        <v>31</v>
      </c>
      <c r="AA13">
        <v>302.2</v>
      </c>
    </row>
    <row r="14" spans="1:27">
      <c r="A14">
        <v>10</v>
      </c>
      <c r="B14">
        <v>10</v>
      </c>
      <c r="C14">
        <v>16</v>
      </c>
      <c r="D14">
        <v>18</v>
      </c>
      <c r="E14">
        <v>11</v>
      </c>
      <c r="F14">
        <v>46</v>
      </c>
      <c r="G14">
        <v>1</v>
      </c>
      <c r="H14">
        <v>7</v>
      </c>
      <c r="I14">
        <v>12</v>
      </c>
      <c r="J14">
        <v>7</v>
      </c>
      <c r="K14">
        <v>27</v>
      </c>
      <c r="L14">
        <v>301.4375</v>
      </c>
      <c r="P14">
        <v>9</v>
      </c>
      <c r="Q14">
        <v>10</v>
      </c>
      <c r="R14">
        <v>15</v>
      </c>
      <c r="S14">
        <v>0</v>
      </c>
      <c r="T14">
        <v>11</v>
      </c>
      <c r="U14">
        <v>54</v>
      </c>
      <c r="V14">
        <v>2</v>
      </c>
      <c r="W14">
        <v>7</v>
      </c>
      <c r="X14">
        <v>0</v>
      </c>
      <c r="Y14">
        <v>7</v>
      </c>
      <c r="Z14">
        <v>30</v>
      </c>
      <c r="AA14">
        <v>300.875</v>
      </c>
    </row>
    <row r="15" spans="1:27">
      <c r="A15">
        <v>8</v>
      </c>
      <c r="B15">
        <v>10</v>
      </c>
      <c r="C15">
        <v>14</v>
      </c>
      <c r="D15">
        <v>21</v>
      </c>
      <c r="E15">
        <v>11</v>
      </c>
      <c r="F15">
        <v>47</v>
      </c>
      <c r="G15">
        <v>3</v>
      </c>
      <c r="H15">
        <v>9</v>
      </c>
      <c r="I15">
        <v>10</v>
      </c>
      <c r="J15">
        <v>7</v>
      </c>
      <c r="K15">
        <v>27</v>
      </c>
      <c r="L15">
        <v>300.675</v>
      </c>
      <c r="P15">
        <v>10</v>
      </c>
      <c r="Q15">
        <v>10</v>
      </c>
      <c r="R15">
        <v>16</v>
      </c>
      <c r="S15">
        <v>0</v>
      </c>
      <c r="T15">
        <v>9</v>
      </c>
      <c r="U15">
        <v>56</v>
      </c>
      <c r="V15">
        <v>0</v>
      </c>
      <c r="W15">
        <v>7</v>
      </c>
      <c r="X15">
        <v>0</v>
      </c>
      <c r="Y15">
        <v>10</v>
      </c>
      <c r="Z15">
        <v>30</v>
      </c>
      <c r="AA15">
        <v>302.2</v>
      </c>
    </row>
    <row r="16" spans="1:27">
      <c r="A16">
        <v>9</v>
      </c>
      <c r="B16">
        <v>10</v>
      </c>
      <c r="C16">
        <v>14</v>
      </c>
      <c r="D16">
        <v>20</v>
      </c>
      <c r="E16">
        <v>9</v>
      </c>
      <c r="F16">
        <v>51</v>
      </c>
      <c r="G16">
        <v>2</v>
      </c>
      <c r="H16">
        <v>8</v>
      </c>
      <c r="I16">
        <v>11</v>
      </c>
      <c r="J16">
        <v>8</v>
      </c>
      <c r="K16">
        <v>28</v>
      </c>
      <c r="L16">
        <v>301.875</v>
      </c>
      <c r="P16">
        <v>11</v>
      </c>
      <c r="Q16">
        <v>10</v>
      </c>
      <c r="R16">
        <v>15</v>
      </c>
      <c r="S16">
        <v>0</v>
      </c>
      <c r="T16">
        <v>11</v>
      </c>
      <c r="U16">
        <v>59</v>
      </c>
      <c r="V16">
        <v>0</v>
      </c>
      <c r="W16">
        <v>8</v>
      </c>
      <c r="X16">
        <v>0</v>
      </c>
      <c r="Y16">
        <v>7</v>
      </c>
      <c r="Z16">
        <v>30</v>
      </c>
      <c r="AA16">
        <v>301.0875</v>
      </c>
    </row>
    <row r="17" spans="1:27">
      <c r="A17">
        <v>8</v>
      </c>
      <c r="B17">
        <v>10</v>
      </c>
      <c r="C17">
        <v>16</v>
      </c>
      <c r="D17">
        <v>21</v>
      </c>
      <c r="E17">
        <v>11</v>
      </c>
      <c r="F17">
        <v>50</v>
      </c>
      <c r="G17">
        <v>3</v>
      </c>
      <c r="H17">
        <v>7</v>
      </c>
      <c r="I17">
        <v>12</v>
      </c>
      <c r="J17">
        <v>7</v>
      </c>
      <c r="K17">
        <v>29</v>
      </c>
      <c r="L17">
        <v>300.7875</v>
      </c>
      <c r="P17">
        <v>10</v>
      </c>
      <c r="Q17">
        <v>10</v>
      </c>
      <c r="R17">
        <v>15</v>
      </c>
      <c r="S17">
        <v>0</v>
      </c>
      <c r="T17">
        <v>11</v>
      </c>
      <c r="U17">
        <v>59</v>
      </c>
      <c r="V17">
        <v>1</v>
      </c>
      <c r="W17">
        <v>8</v>
      </c>
      <c r="X17">
        <v>0</v>
      </c>
      <c r="Y17">
        <v>8</v>
      </c>
      <c r="Z17">
        <v>32</v>
      </c>
      <c r="AA17">
        <v>301.7875</v>
      </c>
    </row>
    <row r="18" spans="1:27">
      <c r="A18">
        <v>8</v>
      </c>
      <c r="B18">
        <v>10</v>
      </c>
      <c r="C18">
        <v>16</v>
      </c>
      <c r="D18">
        <v>21</v>
      </c>
      <c r="E18">
        <v>11</v>
      </c>
      <c r="F18">
        <v>51</v>
      </c>
      <c r="G18">
        <v>3</v>
      </c>
      <c r="H18">
        <v>7</v>
      </c>
      <c r="I18">
        <v>12</v>
      </c>
      <c r="J18">
        <v>7</v>
      </c>
      <c r="K18">
        <v>30</v>
      </c>
      <c r="L18">
        <v>301.025</v>
      </c>
      <c r="P18">
        <v>11</v>
      </c>
      <c r="Q18">
        <v>10</v>
      </c>
      <c r="R18">
        <v>14</v>
      </c>
      <c r="S18">
        <v>0</v>
      </c>
      <c r="T18">
        <v>12</v>
      </c>
      <c r="U18">
        <v>60</v>
      </c>
      <c r="V18">
        <v>0</v>
      </c>
      <c r="W18">
        <v>9</v>
      </c>
      <c r="X18">
        <v>0</v>
      </c>
      <c r="Y18">
        <v>7</v>
      </c>
      <c r="Z18">
        <v>33</v>
      </c>
      <c r="AA18">
        <v>301.275</v>
      </c>
    </row>
    <row r="19" spans="1:27">
      <c r="A19">
        <v>10</v>
      </c>
      <c r="B19">
        <v>10</v>
      </c>
      <c r="C19">
        <v>15</v>
      </c>
      <c r="D19">
        <v>20</v>
      </c>
      <c r="E19">
        <v>10</v>
      </c>
      <c r="F19">
        <v>56</v>
      </c>
      <c r="G19">
        <v>2</v>
      </c>
      <c r="H19">
        <v>8</v>
      </c>
      <c r="I19">
        <v>11</v>
      </c>
      <c r="J19">
        <v>8</v>
      </c>
      <c r="K19">
        <v>30</v>
      </c>
      <c r="L19">
        <v>301.75</v>
      </c>
      <c r="P19">
        <v>8</v>
      </c>
      <c r="Q19">
        <v>10</v>
      </c>
      <c r="R19">
        <v>13</v>
      </c>
      <c r="S19">
        <v>0</v>
      </c>
      <c r="T19">
        <v>10</v>
      </c>
      <c r="U19">
        <v>67</v>
      </c>
      <c r="V19">
        <v>3</v>
      </c>
      <c r="W19">
        <v>9</v>
      </c>
      <c r="X19">
        <v>0</v>
      </c>
      <c r="Y19">
        <v>9</v>
      </c>
      <c r="Z19">
        <v>30</v>
      </c>
      <c r="AA19">
        <v>300.725</v>
      </c>
    </row>
    <row r="20" spans="1:27">
      <c r="A20">
        <v>9</v>
      </c>
      <c r="B20">
        <v>10</v>
      </c>
      <c r="C20">
        <v>15</v>
      </c>
      <c r="D20">
        <v>21</v>
      </c>
      <c r="E20">
        <v>11</v>
      </c>
      <c r="F20">
        <v>42</v>
      </c>
      <c r="G20">
        <v>2</v>
      </c>
      <c r="H20">
        <v>7</v>
      </c>
      <c r="I20">
        <v>12</v>
      </c>
      <c r="J20">
        <v>6</v>
      </c>
      <c r="K20">
        <v>23</v>
      </c>
      <c r="L20">
        <v>302.502500000001</v>
      </c>
      <c r="P20">
        <v>10</v>
      </c>
      <c r="Q20">
        <v>10</v>
      </c>
      <c r="R20">
        <v>13</v>
      </c>
      <c r="S20">
        <v>0</v>
      </c>
      <c r="T20">
        <v>9</v>
      </c>
      <c r="U20">
        <v>47</v>
      </c>
      <c r="V20">
        <v>0</v>
      </c>
      <c r="W20">
        <v>8</v>
      </c>
      <c r="X20">
        <v>0</v>
      </c>
      <c r="Y20">
        <v>8</v>
      </c>
      <c r="Z20">
        <v>30</v>
      </c>
      <c r="AA20">
        <v>300.050000000001</v>
      </c>
    </row>
    <row r="21" spans="1:27">
      <c r="A21">
        <v>8</v>
      </c>
      <c r="B21">
        <v>10</v>
      </c>
      <c r="C21">
        <v>15</v>
      </c>
      <c r="D21">
        <v>22</v>
      </c>
      <c r="E21">
        <v>13</v>
      </c>
      <c r="F21">
        <v>43</v>
      </c>
      <c r="G21">
        <v>3</v>
      </c>
      <c r="H21">
        <v>8</v>
      </c>
      <c r="I21">
        <v>11</v>
      </c>
      <c r="J21">
        <v>5</v>
      </c>
      <c r="K21">
        <v>22</v>
      </c>
      <c r="L21">
        <v>300.675000000001</v>
      </c>
      <c r="P21">
        <v>10</v>
      </c>
      <c r="Q21">
        <v>10</v>
      </c>
      <c r="R21">
        <v>14</v>
      </c>
      <c r="S21">
        <v>0</v>
      </c>
      <c r="T21">
        <v>10</v>
      </c>
      <c r="U21">
        <v>48</v>
      </c>
      <c r="V21">
        <v>0</v>
      </c>
      <c r="W21">
        <v>8</v>
      </c>
      <c r="X21">
        <v>0</v>
      </c>
      <c r="Y21">
        <v>8</v>
      </c>
      <c r="Z21">
        <v>30</v>
      </c>
      <c r="AA21">
        <v>300.465000000001</v>
      </c>
    </row>
    <row r="22" spans="1:27">
      <c r="A22">
        <v>11</v>
      </c>
      <c r="B22">
        <v>10</v>
      </c>
      <c r="C22">
        <v>13</v>
      </c>
      <c r="D22">
        <v>20</v>
      </c>
      <c r="E22">
        <v>10</v>
      </c>
      <c r="F22">
        <v>46</v>
      </c>
      <c r="G22">
        <v>0</v>
      </c>
      <c r="H22">
        <v>9</v>
      </c>
      <c r="I22">
        <v>10</v>
      </c>
      <c r="J22">
        <v>7</v>
      </c>
      <c r="K22">
        <v>24</v>
      </c>
      <c r="L22">
        <v>300.050000000001</v>
      </c>
      <c r="P22">
        <v>10</v>
      </c>
      <c r="Q22">
        <v>10</v>
      </c>
      <c r="R22">
        <v>15</v>
      </c>
      <c r="S22">
        <v>0</v>
      </c>
      <c r="T22">
        <v>9</v>
      </c>
      <c r="U22">
        <v>51</v>
      </c>
      <c r="V22">
        <v>0</v>
      </c>
      <c r="W22">
        <v>6</v>
      </c>
      <c r="X22">
        <v>0</v>
      </c>
      <c r="Y22">
        <v>8</v>
      </c>
      <c r="Z22">
        <v>31</v>
      </c>
      <c r="AA22">
        <v>301.450000000001</v>
      </c>
    </row>
    <row r="23" spans="1:27">
      <c r="A23">
        <v>8</v>
      </c>
      <c r="B23">
        <v>10</v>
      </c>
      <c r="C23">
        <v>16</v>
      </c>
      <c r="D23">
        <v>18</v>
      </c>
      <c r="E23">
        <v>10</v>
      </c>
      <c r="F23">
        <v>45</v>
      </c>
      <c r="G23">
        <v>3</v>
      </c>
      <c r="H23">
        <v>7</v>
      </c>
      <c r="I23">
        <v>12</v>
      </c>
      <c r="J23">
        <v>8</v>
      </c>
      <c r="K23">
        <v>26</v>
      </c>
      <c r="L23">
        <v>300.652500000001</v>
      </c>
      <c r="P23">
        <v>11</v>
      </c>
      <c r="Q23">
        <v>10</v>
      </c>
      <c r="R23">
        <v>15</v>
      </c>
      <c r="S23">
        <v>0</v>
      </c>
      <c r="T23">
        <v>9</v>
      </c>
      <c r="U23">
        <v>52</v>
      </c>
      <c r="V23">
        <v>0</v>
      </c>
      <c r="W23">
        <v>6</v>
      </c>
      <c r="X23">
        <v>0</v>
      </c>
      <c r="Y23">
        <v>9</v>
      </c>
      <c r="Z23">
        <v>31</v>
      </c>
      <c r="AA23">
        <v>301.302500000001</v>
      </c>
    </row>
    <row r="24" spans="1:27">
      <c r="A24">
        <v>10</v>
      </c>
      <c r="B24">
        <v>10</v>
      </c>
      <c r="C24">
        <v>16</v>
      </c>
      <c r="D24">
        <v>18</v>
      </c>
      <c r="E24">
        <v>11</v>
      </c>
      <c r="F24">
        <v>46</v>
      </c>
      <c r="G24">
        <v>1</v>
      </c>
      <c r="H24">
        <v>7</v>
      </c>
      <c r="I24">
        <v>12</v>
      </c>
      <c r="J24">
        <v>7</v>
      </c>
      <c r="K24">
        <v>27</v>
      </c>
      <c r="L24">
        <v>301.825000000001</v>
      </c>
      <c r="P24">
        <v>9</v>
      </c>
      <c r="Q24">
        <v>10</v>
      </c>
      <c r="R24">
        <v>15</v>
      </c>
      <c r="S24">
        <v>0</v>
      </c>
      <c r="T24">
        <v>12</v>
      </c>
      <c r="U24">
        <v>54</v>
      </c>
      <c r="V24">
        <v>2</v>
      </c>
      <c r="W24">
        <v>7</v>
      </c>
      <c r="X24">
        <v>0</v>
      </c>
      <c r="Y24">
        <v>7</v>
      </c>
      <c r="Z24">
        <v>30</v>
      </c>
      <c r="AA24">
        <v>301.030000000001</v>
      </c>
    </row>
    <row r="25" spans="1:27">
      <c r="A25">
        <v>9</v>
      </c>
      <c r="B25">
        <v>10</v>
      </c>
      <c r="C25">
        <v>16</v>
      </c>
      <c r="D25">
        <v>23</v>
      </c>
      <c r="E25">
        <v>10</v>
      </c>
      <c r="F25">
        <v>48</v>
      </c>
      <c r="G25">
        <v>2</v>
      </c>
      <c r="H25">
        <v>8</v>
      </c>
      <c r="I25">
        <v>9</v>
      </c>
      <c r="J25">
        <v>6</v>
      </c>
      <c r="K25">
        <v>28</v>
      </c>
      <c r="L25">
        <v>300.732500000001</v>
      </c>
      <c r="P25">
        <v>10</v>
      </c>
      <c r="Q25">
        <v>10</v>
      </c>
      <c r="R25">
        <v>15</v>
      </c>
      <c r="S25">
        <v>0</v>
      </c>
      <c r="T25">
        <v>11</v>
      </c>
      <c r="U25">
        <v>58</v>
      </c>
      <c r="V25">
        <v>0</v>
      </c>
      <c r="W25">
        <v>8</v>
      </c>
      <c r="X25">
        <v>0</v>
      </c>
      <c r="Y25">
        <v>7</v>
      </c>
      <c r="Z25">
        <v>30</v>
      </c>
      <c r="AA25">
        <v>301.882500000001</v>
      </c>
    </row>
    <row r="26" spans="1:27">
      <c r="A26">
        <v>7</v>
      </c>
      <c r="B26">
        <v>10</v>
      </c>
      <c r="C26">
        <v>14</v>
      </c>
      <c r="D26">
        <v>22</v>
      </c>
      <c r="E26">
        <v>12</v>
      </c>
      <c r="F26">
        <v>49</v>
      </c>
      <c r="G26">
        <v>4</v>
      </c>
      <c r="H26">
        <v>10</v>
      </c>
      <c r="I26">
        <v>11</v>
      </c>
      <c r="J26">
        <v>5</v>
      </c>
      <c r="K26">
        <v>28</v>
      </c>
      <c r="L26">
        <v>300.647500000001</v>
      </c>
      <c r="P26">
        <v>11</v>
      </c>
      <c r="Q26">
        <v>10</v>
      </c>
      <c r="R26">
        <v>15</v>
      </c>
      <c r="S26">
        <v>0</v>
      </c>
      <c r="T26">
        <v>11</v>
      </c>
      <c r="U26">
        <v>59</v>
      </c>
      <c r="V26">
        <v>0</v>
      </c>
      <c r="W26">
        <v>8</v>
      </c>
      <c r="X26">
        <v>0</v>
      </c>
      <c r="Y26">
        <v>7</v>
      </c>
      <c r="Z26">
        <v>30</v>
      </c>
      <c r="AA26">
        <v>300.055000000001</v>
      </c>
    </row>
    <row r="27" spans="1:27">
      <c r="A27">
        <v>8</v>
      </c>
      <c r="B27">
        <v>10</v>
      </c>
      <c r="C27">
        <v>16</v>
      </c>
      <c r="D27">
        <v>20</v>
      </c>
      <c r="E27">
        <v>11</v>
      </c>
      <c r="F27">
        <v>50</v>
      </c>
      <c r="G27">
        <v>3</v>
      </c>
      <c r="H27">
        <v>7</v>
      </c>
      <c r="I27">
        <v>12</v>
      </c>
      <c r="J27">
        <v>7</v>
      </c>
      <c r="K27">
        <v>29</v>
      </c>
      <c r="L27">
        <v>300.077500000001</v>
      </c>
      <c r="P27">
        <v>10</v>
      </c>
      <c r="Q27">
        <v>10</v>
      </c>
      <c r="R27">
        <v>15</v>
      </c>
      <c r="S27">
        <v>0</v>
      </c>
      <c r="T27">
        <v>11</v>
      </c>
      <c r="U27">
        <v>59</v>
      </c>
      <c r="V27">
        <v>1</v>
      </c>
      <c r="W27">
        <v>8</v>
      </c>
      <c r="X27">
        <v>0</v>
      </c>
      <c r="Y27">
        <v>8</v>
      </c>
      <c r="Z27">
        <v>32</v>
      </c>
      <c r="AA27">
        <v>300.720000000001</v>
      </c>
    </row>
    <row r="28" spans="1:27">
      <c r="A28">
        <v>10</v>
      </c>
      <c r="B28">
        <v>10</v>
      </c>
      <c r="C28">
        <v>15</v>
      </c>
      <c r="D28">
        <v>20</v>
      </c>
      <c r="E28">
        <v>10</v>
      </c>
      <c r="F28">
        <v>54</v>
      </c>
      <c r="G28">
        <v>2</v>
      </c>
      <c r="H28">
        <v>8</v>
      </c>
      <c r="I28">
        <v>10</v>
      </c>
      <c r="J28">
        <v>8</v>
      </c>
      <c r="K28">
        <v>30</v>
      </c>
      <c r="L28">
        <v>301.110000000001</v>
      </c>
      <c r="P28">
        <v>7</v>
      </c>
      <c r="Q28">
        <v>10</v>
      </c>
      <c r="R28">
        <v>15</v>
      </c>
      <c r="S28">
        <v>0</v>
      </c>
      <c r="T28">
        <v>11</v>
      </c>
      <c r="U28">
        <v>65</v>
      </c>
      <c r="V28">
        <v>4</v>
      </c>
      <c r="W28">
        <v>9</v>
      </c>
      <c r="X28">
        <v>0</v>
      </c>
      <c r="Y28">
        <v>8</v>
      </c>
      <c r="Z28">
        <v>30</v>
      </c>
      <c r="AA28">
        <v>302.245000000001</v>
      </c>
    </row>
    <row r="29" spans="1:27">
      <c r="A29">
        <v>8</v>
      </c>
      <c r="B29">
        <v>10</v>
      </c>
      <c r="C29">
        <v>14</v>
      </c>
      <c r="D29">
        <v>20</v>
      </c>
      <c r="E29">
        <v>12</v>
      </c>
      <c r="F29">
        <v>42</v>
      </c>
      <c r="G29">
        <v>3</v>
      </c>
      <c r="H29">
        <v>8</v>
      </c>
      <c r="I29">
        <v>12</v>
      </c>
      <c r="J29">
        <v>5</v>
      </c>
      <c r="K29">
        <v>22</v>
      </c>
      <c r="L29">
        <v>303.01</v>
      </c>
      <c r="P29">
        <v>10</v>
      </c>
      <c r="Q29">
        <v>10</v>
      </c>
      <c r="R29">
        <v>13</v>
      </c>
      <c r="S29">
        <v>0</v>
      </c>
      <c r="T29">
        <v>9</v>
      </c>
      <c r="U29">
        <v>46</v>
      </c>
      <c r="V29">
        <v>0</v>
      </c>
      <c r="W29">
        <v>8</v>
      </c>
      <c r="X29">
        <v>0</v>
      </c>
      <c r="Y29">
        <v>8</v>
      </c>
      <c r="Z29">
        <v>30</v>
      </c>
      <c r="AA29">
        <v>301.015</v>
      </c>
    </row>
    <row r="30" spans="1:27">
      <c r="A30">
        <v>9</v>
      </c>
      <c r="B30">
        <v>10</v>
      </c>
      <c r="C30">
        <v>15</v>
      </c>
      <c r="D30">
        <v>21</v>
      </c>
      <c r="E30">
        <v>11</v>
      </c>
      <c r="F30">
        <v>41</v>
      </c>
      <c r="G30">
        <v>2</v>
      </c>
      <c r="H30">
        <v>7</v>
      </c>
      <c r="I30">
        <v>12</v>
      </c>
      <c r="J30">
        <v>6</v>
      </c>
      <c r="K30">
        <v>23</v>
      </c>
      <c r="L30">
        <v>300.1575</v>
      </c>
      <c r="P30">
        <v>10</v>
      </c>
      <c r="Q30">
        <v>10</v>
      </c>
      <c r="R30">
        <v>13</v>
      </c>
      <c r="S30">
        <v>0</v>
      </c>
      <c r="T30">
        <v>9</v>
      </c>
      <c r="U30">
        <v>48</v>
      </c>
      <c r="V30">
        <v>0</v>
      </c>
      <c r="W30">
        <v>8</v>
      </c>
      <c r="X30">
        <v>0</v>
      </c>
      <c r="Y30">
        <v>8</v>
      </c>
      <c r="Z30">
        <v>30</v>
      </c>
      <c r="AA30">
        <v>302.31</v>
      </c>
    </row>
    <row r="31" spans="1:27">
      <c r="A31">
        <v>7</v>
      </c>
      <c r="B31">
        <v>10</v>
      </c>
      <c r="C31">
        <v>13</v>
      </c>
      <c r="D31">
        <v>23</v>
      </c>
      <c r="E31">
        <v>12</v>
      </c>
      <c r="F31">
        <v>46</v>
      </c>
      <c r="G31">
        <v>4</v>
      </c>
      <c r="H31">
        <v>10</v>
      </c>
      <c r="I31">
        <v>10</v>
      </c>
      <c r="J31">
        <v>6</v>
      </c>
      <c r="K31">
        <v>21</v>
      </c>
      <c r="L31">
        <v>301.395</v>
      </c>
      <c r="P31">
        <v>10</v>
      </c>
      <c r="Q31">
        <v>10</v>
      </c>
      <c r="R31">
        <v>14</v>
      </c>
      <c r="S31">
        <v>0</v>
      </c>
      <c r="T31">
        <v>10</v>
      </c>
      <c r="U31">
        <v>50</v>
      </c>
      <c r="V31">
        <v>0</v>
      </c>
      <c r="W31">
        <v>8</v>
      </c>
      <c r="X31">
        <v>0</v>
      </c>
      <c r="Y31">
        <v>8</v>
      </c>
      <c r="Z31">
        <v>30</v>
      </c>
      <c r="AA31">
        <v>301.9</v>
      </c>
    </row>
    <row r="32" spans="1:27">
      <c r="A32">
        <v>11</v>
      </c>
      <c r="B32">
        <v>10</v>
      </c>
      <c r="C32">
        <v>13</v>
      </c>
      <c r="D32">
        <v>20</v>
      </c>
      <c r="E32">
        <v>10</v>
      </c>
      <c r="F32">
        <v>46</v>
      </c>
      <c r="G32">
        <v>0</v>
      </c>
      <c r="H32">
        <v>9</v>
      </c>
      <c r="I32">
        <v>10</v>
      </c>
      <c r="J32">
        <v>7</v>
      </c>
      <c r="K32">
        <v>24</v>
      </c>
      <c r="L32">
        <v>300.475</v>
      </c>
      <c r="P32">
        <v>10</v>
      </c>
      <c r="Q32">
        <v>10</v>
      </c>
      <c r="R32">
        <v>15</v>
      </c>
      <c r="S32">
        <v>0</v>
      </c>
      <c r="T32">
        <v>9</v>
      </c>
      <c r="U32">
        <v>51</v>
      </c>
      <c r="V32">
        <v>0</v>
      </c>
      <c r="W32">
        <v>6</v>
      </c>
      <c r="X32">
        <v>0</v>
      </c>
      <c r="Y32">
        <v>8</v>
      </c>
      <c r="Z32">
        <v>31</v>
      </c>
      <c r="AA32">
        <v>300.525</v>
      </c>
    </row>
    <row r="33" spans="1:27">
      <c r="A33">
        <v>10</v>
      </c>
      <c r="B33">
        <v>10</v>
      </c>
      <c r="C33">
        <v>16</v>
      </c>
      <c r="D33">
        <v>21</v>
      </c>
      <c r="E33">
        <v>11</v>
      </c>
      <c r="F33">
        <v>47</v>
      </c>
      <c r="G33">
        <v>1</v>
      </c>
      <c r="H33">
        <v>7</v>
      </c>
      <c r="I33">
        <v>10</v>
      </c>
      <c r="J33">
        <v>7</v>
      </c>
      <c r="K33">
        <v>24</v>
      </c>
      <c r="L33">
        <v>302.19</v>
      </c>
      <c r="P33">
        <v>11</v>
      </c>
      <c r="Q33">
        <v>10</v>
      </c>
      <c r="R33">
        <v>15</v>
      </c>
      <c r="S33">
        <v>0</v>
      </c>
      <c r="T33">
        <v>9</v>
      </c>
      <c r="U33">
        <v>52</v>
      </c>
      <c r="V33">
        <v>0</v>
      </c>
      <c r="W33">
        <v>6</v>
      </c>
      <c r="X33">
        <v>0</v>
      </c>
      <c r="Y33">
        <v>9</v>
      </c>
      <c r="Z33">
        <v>31</v>
      </c>
      <c r="AA33">
        <v>300.405</v>
      </c>
    </row>
    <row r="34" spans="1:27">
      <c r="A34">
        <v>8</v>
      </c>
      <c r="B34">
        <v>10</v>
      </c>
      <c r="C34">
        <v>14</v>
      </c>
      <c r="D34">
        <v>21</v>
      </c>
      <c r="E34">
        <v>11</v>
      </c>
      <c r="F34">
        <v>47</v>
      </c>
      <c r="G34">
        <v>3</v>
      </c>
      <c r="H34">
        <v>9</v>
      </c>
      <c r="I34">
        <v>10</v>
      </c>
      <c r="J34">
        <v>7</v>
      </c>
      <c r="K34">
        <v>27</v>
      </c>
      <c r="L34">
        <v>300.2575</v>
      </c>
      <c r="P34">
        <v>10</v>
      </c>
      <c r="Q34">
        <v>10</v>
      </c>
      <c r="R34">
        <v>16</v>
      </c>
      <c r="S34">
        <v>0</v>
      </c>
      <c r="T34">
        <v>9</v>
      </c>
      <c r="U34">
        <v>56</v>
      </c>
      <c r="V34">
        <v>0</v>
      </c>
      <c r="W34">
        <v>7</v>
      </c>
      <c r="X34">
        <v>0</v>
      </c>
      <c r="Y34">
        <v>10</v>
      </c>
      <c r="Z34">
        <v>30</v>
      </c>
      <c r="AA34">
        <v>301.83</v>
      </c>
    </row>
    <row r="35" spans="1:27">
      <c r="A35">
        <v>9</v>
      </c>
      <c r="B35">
        <v>10</v>
      </c>
      <c r="C35">
        <v>15</v>
      </c>
      <c r="D35">
        <v>23</v>
      </c>
      <c r="E35">
        <v>10</v>
      </c>
      <c r="F35">
        <v>48</v>
      </c>
      <c r="G35">
        <v>2</v>
      </c>
      <c r="H35">
        <v>8</v>
      </c>
      <c r="I35">
        <v>9</v>
      </c>
      <c r="J35">
        <v>6</v>
      </c>
      <c r="K35">
        <v>28</v>
      </c>
      <c r="L35">
        <v>300.03</v>
      </c>
      <c r="P35">
        <v>10</v>
      </c>
      <c r="Q35">
        <v>10</v>
      </c>
      <c r="R35">
        <v>15</v>
      </c>
      <c r="S35">
        <v>0</v>
      </c>
      <c r="T35">
        <v>11</v>
      </c>
      <c r="U35">
        <v>58</v>
      </c>
      <c r="V35">
        <v>0</v>
      </c>
      <c r="W35">
        <v>8</v>
      </c>
      <c r="X35">
        <v>0</v>
      </c>
      <c r="Y35">
        <v>7</v>
      </c>
      <c r="Z35">
        <v>30</v>
      </c>
      <c r="AA35">
        <v>300.8525</v>
      </c>
    </row>
    <row r="36" spans="1:27">
      <c r="A36">
        <v>7</v>
      </c>
      <c r="B36">
        <v>10</v>
      </c>
      <c r="C36">
        <v>14</v>
      </c>
      <c r="D36">
        <v>22</v>
      </c>
      <c r="E36">
        <v>12</v>
      </c>
      <c r="F36">
        <v>49</v>
      </c>
      <c r="G36">
        <v>4</v>
      </c>
      <c r="H36">
        <v>10</v>
      </c>
      <c r="I36">
        <v>11</v>
      </c>
      <c r="J36">
        <v>5</v>
      </c>
      <c r="K36">
        <v>28</v>
      </c>
      <c r="L36">
        <v>300.995</v>
      </c>
      <c r="P36">
        <v>10</v>
      </c>
      <c r="Q36">
        <v>10</v>
      </c>
      <c r="R36">
        <v>14</v>
      </c>
      <c r="S36">
        <v>0</v>
      </c>
      <c r="T36">
        <v>10</v>
      </c>
      <c r="U36">
        <v>58</v>
      </c>
      <c r="V36">
        <v>1</v>
      </c>
      <c r="W36">
        <v>9</v>
      </c>
      <c r="X36">
        <v>0</v>
      </c>
      <c r="Y36">
        <v>9</v>
      </c>
      <c r="Z36">
        <v>31</v>
      </c>
      <c r="AA36">
        <v>300.045</v>
      </c>
    </row>
    <row r="37" spans="1:27">
      <c r="A37">
        <v>8</v>
      </c>
      <c r="B37">
        <v>10</v>
      </c>
      <c r="C37">
        <v>16</v>
      </c>
      <c r="D37">
        <v>21</v>
      </c>
      <c r="E37">
        <v>11</v>
      </c>
      <c r="F37">
        <v>51</v>
      </c>
      <c r="G37">
        <v>3</v>
      </c>
      <c r="H37">
        <v>7</v>
      </c>
      <c r="I37">
        <v>12</v>
      </c>
      <c r="J37">
        <v>7</v>
      </c>
      <c r="K37">
        <v>30</v>
      </c>
      <c r="L37">
        <v>300.585</v>
      </c>
      <c r="P37">
        <v>7</v>
      </c>
      <c r="Q37">
        <v>10</v>
      </c>
      <c r="R37">
        <v>14</v>
      </c>
      <c r="S37">
        <v>0</v>
      </c>
      <c r="T37">
        <v>10</v>
      </c>
      <c r="U37">
        <v>64</v>
      </c>
      <c r="V37">
        <v>4</v>
      </c>
      <c r="W37">
        <v>9</v>
      </c>
      <c r="X37">
        <v>0</v>
      </c>
      <c r="Y37">
        <v>8</v>
      </c>
      <c r="Z37">
        <v>30</v>
      </c>
      <c r="AA37">
        <v>302.51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7"/>
  <dimension ref="A1:D93"/>
  <sheetViews>
    <sheetView workbookViewId="0">
      <selection activeCell="A15" sqref="A15"/>
    </sheetView>
  </sheetViews>
  <sheetFormatPr defaultColWidth="9" defaultRowHeight="13.5" outlineLevelCol="3"/>
  <cols>
    <col min="1" max="1" width="37.125" customWidth="1"/>
    <col min="2" max="2" width="12.75" customWidth="1"/>
  </cols>
  <sheetData>
    <row r="1" ht="14.25" spans="1:4">
      <c r="A1" t="s">
        <v>443</v>
      </c>
      <c r="B1" t="s">
        <v>444</v>
      </c>
      <c r="D1" s="12" t="s">
        <v>445</v>
      </c>
    </row>
    <row r="2" ht="14.25" spans="1:4">
      <c r="A2" t="s">
        <v>446</v>
      </c>
      <c r="B2">
        <v>0</v>
      </c>
      <c r="D2" s="12">
        <f>旧主页!K47</f>
        <v>1476615</v>
      </c>
    </row>
    <row r="3" ht="14.25" spans="1:4">
      <c r="A3" t="s">
        <v>447</v>
      </c>
      <c r="B3">
        <v>10422</v>
      </c>
      <c r="D3" s="12"/>
    </row>
    <row r="4" spans="1:4">
      <c r="A4" t="s">
        <v>448</v>
      </c>
      <c r="B4">
        <v>0</v>
      </c>
    </row>
    <row r="5" spans="1:4">
      <c r="A5" t="s">
        <v>449</v>
      </c>
      <c r="B5">
        <v>44</v>
      </c>
    </row>
    <row r="6" spans="1:4">
      <c r="A6" t="s">
        <v>450</v>
      </c>
      <c r="B6">
        <v>7872</v>
      </c>
    </row>
    <row r="7" spans="1:4">
      <c r="A7" t="s">
        <v>451</v>
      </c>
      <c r="B7">
        <v>92841</v>
      </c>
    </row>
    <row r="8" spans="1:4">
      <c r="A8" t="s">
        <v>452</v>
      </c>
      <c r="B8">
        <v>44</v>
      </c>
    </row>
    <row r="9" spans="1:4">
      <c r="A9" t="s">
        <v>453</v>
      </c>
      <c r="B9">
        <v>44</v>
      </c>
    </row>
    <row r="10" spans="1:4">
      <c r="A10" t="s">
        <v>454</v>
      </c>
      <c r="B10">
        <v>136220</v>
      </c>
    </row>
    <row r="11" spans="1:4">
      <c r="A11" t="s">
        <v>455</v>
      </c>
      <c r="B11">
        <v>1887486</v>
      </c>
    </row>
    <row r="12" spans="1:4">
      <c r="A12" t="s">
        <v>456</v>
      </c>
      <c r="B12">
        <v>0</v>
      </c>
    </row>
    <row r="13" spans="1:4">
      <c r="A13" t="s">
        <v>457</v>
      </c>
      <c r="B13">
        <v>0</v>
      </c>
    </row>
    <row r="14" spans="1:4">
      <c r="A14" t="s">
        <v>458</v>
      </c>
      <c r="B14">
        <v>9705</v>
      </c>
    </row>
    <row r="15" spans="1:4">
      <c r="A15" t="s">
        <v>459</v>
      </c>
      <c r="B15">
        <v>0</v>
      </c>
    </row>
    <row r="16" spans="1:4">
      <c r="A16" t="s">
        <v>460</v>
      </c>
      <c r="B16">
        <v>9705</v>
      </c>
    </row>
    <row r="17" spans="1:2">
      <c r="A17" t="s">
        <v>461</v>
      </c>
      <c r="B17">
        <v>0</v>
      </c>
    </row>
    <row r="18" spans="1:2">
      <c r="A18" t="s">
        <v>462</v>
      </c>
      <c r="B18">
        <v>0.0496101448033587</v>
      </c>
    </row>
    <row r="19" spans="1:2">
      <c r="A19" t="s">
        <v>463</v>
      </c>
      <c r="B19">
        <v>0.03</v>
      </c>
    </row>
    <row r="20" spans="1:2">
      <c r="A20" t="s">
        <v>464</v>
      </c>
      <c r="B20">
        <v>9705</v>
      </c>
    </row>
    <row r="21" spans="1:2">
      <c r="A21" t="s">
        <v>465</v>
      </c>
      <c r="B21">
        <v>56029</v>
      </c>
    </row>
    <row r="22" spans="1:2">
      <c r="A22" t="s">
        <v>466</v>
      </c>
      <c r="B22">
        <v>0</v>
      </c>
    </row>
    <row r="23" spans="1:2">
      <c r="A23" t="s">
        <v>467</v>
      </c>
      <c r="B23">
        <v>46200</v>
      </c>
    </row>
    <row r="24" spans="1:2">
      <c r="A24" t="s">
        <v>468</v>
      </c>
      <c r="B24">
        <v>9705</v>
      </c>
    </row>
    <row r="25" spans="1:2">
      <c r="A25" t="s">
        <v>469</v>
      </c>
      <c r="B25">
        <v>8301</v>
      </c>
    </row>
    <row r="26" spans="1:2">
      <c r="A26" t="s">
        <v>470</v>
      </c>
      <c r="B26">
        <v>13683</v>
      </c>
    </row>
    <row r="27" spans="1:2">
      <c r="A27" t="s">
        <v>471</v>
      </c>
      <c r="B27">
        <v>0.696308196308196</v>
      </c>
    </row>
    <row r="28" spans="1:2">
      <c r="A28" t="s">
        <v>472</v>
      </c>
      <c r="B28">
        <v>13683</v>
      </c>
    </row>
    <row r="29" spans="1:2">
      <c r="A29" t="s">
        <v>473</v>
      </c>
      <c r="B29">
        <v>9705</v>
      </c>
    </row>
    <row r="30" spans="1:2">
      <c r="A30" t="s">
        <v>474</v>
      </c>
      <c r="B30">
        <v>13683</v>
      </c>
    </row>
    <row r="31" spans="1:2">
      <c r="A31" t="s">
        <v>475</v>
      </c>
      <c r="B31">
        <v>2624</v>
      </c>
    </row>
    <row r="32" spans="1:2">
      <c r="A32" t="s">
        <v>476</v>
      </c>
      <c r="B32">
        <v>9705</v>
      </c>
    </row>
    <row r="33" spans="1:2">
      <c r="A33" t="s">
        <v>477</v>
      </c>
      <c r="B33">
        <v>0</v>
      </c>
    </row>
    <row r="34" spans="1:2">
      <c r="A34" t="s">
        <v>478</v>
      </c>
      <c r="B34">
        <v>75638</v>
      </c>
    </row>
    <row r="35" spans="1:2">
      <c r="A35" t="s">
        <v>479</v>
      </c>
      <c r="B35">
        <v>9705</v>
      </c>
    </row>
    <row r="36" spans="1:2">
      <c r="A36" t="s">
        <v>480</v>
      </c>
      <c r="B36">
        <v>19367</v>
      </c>
    </row>
    <row r="37" spans="1:2">
      <c r="A37" t="s">
        <v>481</v>
      </c>
      <c r="B37">
        <v>0</v>
      </c>
    </row>
    <row r="38" spans="1:2">
      <c r="A38" t="s">
        <v>482</v>
      </c>
      <c r="B38">
        <v>46200</v>
      </c>
    </row>
    <row r="39" spans="1:2">
      <c r="A39" t="s">
        <v>483</v>
      </c>
      <c r="B39">
        <v>2611</v>
      </c>
    </row>
    <row r="40" spans="1:2">
      <c r="A40" t="s">
        <v>484</v>
      </c>
      <c r="B40">
        <v>9705</v>
      </c>
    </row>
    <row r="41" spans="1:2">
      <c r="A41" t="s">
        <v>485</v>
      </c>
      <c r="B41">
        <v>8301</v>
      </c>
    </row>
    <row r="42" spans="1:2">
      <c r="A42" t="s">
        <v>486</v>
      </c>
      <c r="B42">
        <v>19367</v>
      </c>
    </row>
    <row r="43" spans="1:2">
      <c r="A43" t="s">
        <v>487</v>
      </c>
      <c r="B43">
        <v>13683</v>
      </c>
    </row>
    <row r="44" spans="1:2">
      <c r="A44" t="s">
        <v>488</v>
      </c>
      <c r="B44">
        <v>0.0715116253365578</v>
      </c>
    </row>
    <row r="45" spans="1:2">
      <c r="A45" t="s">
        <v>489</v>
      </c>
      <c r="B45">
        <v>19367</v>
      </c>
    </row>
    <row r="46" spans="1:2">
      <c r="A46" t="s">
        <v>490</v>
      </c>
      <c r="B46">
        <v>717</v>
      </c>
    </row>
    <row r="47" spans="1:2">
      <c r="A47" t="s">
        <v>491</v>
      </c>
      <c r="B47">
        <v>13683</v>
      </c>
    </row>
    <row r="48" spans="1:2">
      <c r="A48" t="s">
        <v>492</v>
      </c>
      <c r="B48">
        <v>0.0715116253365578</v>
      </c>
    </row>
    <row r="49" spans="1:2">
      <c r="A49" t="s">
        <v>493</v>
      </c>
      <c r="B49">
        <v>27849</v>
      </c>
    </row>
    <row r="50" spans="1:2">
      <c r="A50" t="s">
        <v>494</v>
      </c>
      <c r="B50">
        <v>13683</v>
      </c>
    </row>
    <row r="51" spans="1:2">
      <c r="A51" t="s">
        <v>495</v>
      </c>
      <c r="B51">
        <v>0</v>
      </c>
    </row>
    <row r="52" spans="1:2">
      <c r="A52" t="s">
        <v>496</v>
      </c>
      <c r="B52">
        <v>2624</v>
      </c>
    </row>
    <row r="53" spans="1:2">
      <c r="A53" t="s">
        <v>497</v>
      </c>
      <c r="B53">
        <v>0.0715116253365578</v>
      </c>
    </row>
    <row r="54" spans="1:2">
      <c r="A54" t="s">
        <v>498</v>
      </c>
      <c r="B54">
        <v>24732</v>
      </c>
    </row>
    <row r="55" spans="1:2">
      <c r="A55" t="s">
        <v>499</v>
      </c>
      <c r="B55">
        <v>0.42021792021792</v>
      </c>
    </row>
    <row r="56" spans="1:2">
      <c r="A56" t="s">
        <v>500</v>
      </c>
      <c r="B56">
        <v>45976</v>
      </c>
    </row>
    <row r="57" spans="1:2">
      <c r="A57" t="s">
        <v>501</v>
      </c>
      <c r="B57">
        <v>0.204463138217081</v>
      </c>
    </row>
    <row r="58" spans="1:2">
      <c r="A58" t="s">
        <v>502</v>
      </c>
      <c r="B58">
        <v>0.0715116253365578</v>
      </c>
    </row>
    <row r="59" spans="1:2">
      <c r="A59" t="s">
        <v>503</v>
      </c>
      <c r="B59">
        <v>0.0618056082949515</v>
      </c>
    </row>
    <row r="60" spans="1:2">
      <c r="A60" t="s">
        <v>504</v>
      </c>
      <c r="B60">
        <v>24732</v>
      </c>
    </row>
    <row r="61" spans="1:2">
      <c r="A61" t="s">
        <v>505</v>
      </c>
      <c r="B61">
        <v>19367</v>
      </c>
    </row>
    <row r="62" spans="1:2">
      <c r="A62" t="s">
        <v>506</v>
      </c>
      <c r="B62">
        <v>0.0605556086628642</v>
      </c>
    </row>
    <row r="63" spans="1:2">
      <c r="A63" t="s">
        <v>507</v>
      </c>
      <c r="B63">
        <v>1741</v>
      </c>
    </row>
    <row r="64" spans="1:2">
      <c r="A64" t="s">
        <v>508</v>
      </c>
      <c r="B64">
        <v>24732</v>
      </c>
    </row>
    <row r="65" spans="1:2">
      <c r="A65" t="s">
        <v>509</v>
      </c>
      <c r="B65">
        <v>17687</v>
      </c>
    </row>
    <row r="66" spans="1:2">
      <c r="A66" t="s">
        <v>510</v>
      </c>
      <c r="B66">
        <v>19367</v>
      </c>
    </row>
    <row r="67" spans="1:2">
      <c r="A67" t="s">
        <v>511</v>
      </c>
      <c r="B67">
        <v>0.0605556086628642</v>
      </c>
    </row>
    <row r="68" spans="1:2">
      <c r="A68" t="s">
        <v>512</v>
      </c>
      <c r="B68">
        <v>21</v>
      </c>
    </row>
    <row r="69" spans="1:2">
      <c r="A69" t="s">
        <v>513</v>
      </c>
      <c r="B69">
        <v>19367</v>
      </c>
    </row>
    <row r="70" spans="1:2">
      <c r="A70" t="s">
        <v>514</v>
      </c>
      <c r="B70">
        <v>0.0605556086628642</v>
      </c>
    </row>
    <row r="71" spans="1:2">
      <c r="A71" t="s">
        <v>515</v>
      </c>
      <c r="B71">
        <v>717</v>
      </c>
    </row>
    <row r="72" spans="1:2">
      <c r="A72" t="s">
        <v>516</v>
      </c>
      <c r="B72">
        <v>0.0116127981532819</v>
      </c>
    </row>
    <row r="73" spans="1:2">
      <c r="A73" t="s">
        <v>517</v>
      </c>
      <c r="B73">
        <v>-512</v>
      </c>
    </row>
    <row r="74" spans="1:2">
      <c r="A74" t="s">
        <v>518</v>
      </c>
      <c r="B74">
        <v>0.099609375</v>
      </c>
    </row>
    <row r="75" spans="1:2">
      <c r="A75" t="s">
        <v>519</v>
      </c>
      <c r="B75">
        <v>0.140862809365564</v>
      </c>
    </row>
    <row r="76" spans="1:2">
      <c r="A76" t="s">
        <v>520</v>
      </c>
      <c r="B76">
        <v>0.125096736013111</v>
      </c>
    </row>
    <row r="77" spans="1:2">
      <c r="A77" t="s">
        <v>521</v>
      </c>
      <c r="B77">
        <v>0</v>
      </c>
    </row>
    <row r="78" spans="1:2">
      <c r="A78" t="s">
        <v>522</v>
      </c>
      <c r="B78">
        <v>0.125096736013111</v>
      </c>
    </row>
    <row r="79" spans="1:2">
      <c r="A79" t="s">
        <v>523</v>
      </c>
      <c r="B79">
        <v>0</v>
      </c>
    </row>
    <row r="80" spans="1:2">
      <c r="A80" t="s">
        <v>524</v>
      </c>
      <c r="B80">
        <v>0.125096736013111</v>
      </c>
    </row>
    <row r="81" spans="1:2">
      <c r="A81" t="s">
        <v>525</v>
      </c>
      <c r="B81">
        <v>0</v>
      </c>
    </row>
    <row r="82" spans="1:2">
      <c r="A82" t="s">
        <v>526</v>
      </c>
      <c r="B82">
        <v>0.0894624765430975</v>
      </c>
    </row>
    <row r="83" spans="1:2">
      <c r="A83" t="s">
        <v>527</v>
      </c>
      <c r="B83">
        <v>0</v>
      </c>
    </row>
    <row r="84" spans="1:2">
      <c r="A84" t="s">
        <v>528</v>
      </c>
      <c r="B84">
        <v>0</v>
      </c>
    </row>
    <row r="85" spans="1:2">
      <c r="A85" t="s">
        <v>529</v>
      </c>
      <c r="B85">
        <v>0</v>
      </c>
    </row>
    <row r="86" spans="1:2">
      <c r="A86" t="s">
        <v>530</v>
      </c>
      <c r="B86">
        <v>0</v>
      </c>
    </row>
    <row r="87" spans="1:2">
      <c r="A87" t="s">
        <v>531</v>
      </c>
      <c r="B87">
        <v>0</v>
      </c>
    </row>
    <row r="88" spans="1:2">
      <c r="A88" t="s">
        <v>532</v>
      </c>
      <c r="B88">
        <v>0</v>
      </c>
    </row>
    <row r="89" spans="1:2">
      <c r="A89" t="s">
        <v>533</v>
      </c>
      <c r="B89">
        <v>1.75</v>
      </c>
    </row>
    <row r="90" spans="1:2">
      <c r="A90" t="s">
        <v>534</v>
      </c>
      <c r="B90">
        <v>1.75</v>
      </c>
    </row>
    <row r="91" spans="1:2">
      <c r="A91" t="s">
        <v>535</v>
      </c>
      <c r="B91">
        <v>1.75</v>
      </c>
    </row>
    <row r="92" spans="1:2">
      <c r="A92" t="s">
        <v>536</v>
      </c>
      <c r="B92">
        <v>1.75</v>
      </c>
    </row>
    <row r="93" spans="1:2">
      <c r="A93" t="s">
        <v>537</v>
      </c>
      <c r="B93">
        <v>1.75</v>
      </c>
    </row>
  </sheetData>
  <pageMargins left="0.7" right="0.7" top="0.75" bottom="0.75" header="0.3" footer="0.3"/>
  <headerFooter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W76"/>
  <sheetViews>
    <sheetView workbookViewId="0">
      <selection activeCell="I2" sqref="I2"/>
    </sheetView>
  </sheetViews>
  <sheetFormatPr defaultColWidth="9" defaultRowHeight="14.25"/>
  <cols>
    <col min="1" max="1" width="14.75" style="1" customWidth="1"/>
    <col min="2" max="2" width="8.25" style="1" customWidth="1"/>
    <col min="3" max="3" width="9.625" style="1" customWidth="1"/>
    <col min="4" max="9" width="9" style="1"/>
    <col min="10" max="10" width="6.625" style="1" customWidth="1"/>
    <col min="11" max="18" width="9" style="1"/>
    <col min="19" max="19" width="9.25" style="1"/>
    <col min="20" max="16384" width="9" style="1"/>
  </cols>
  <sheetData>
    <row r="1" ht="16.5" spans="1:23">
      <c r="A1" s="1" t="s">
        <v>360</v>
      </c>
      <c r="D1" s="1" t="s">
        <v>538</v>
      </c>
      <c r="E1" s="1" t="s">
        <v>24</v>
      </c>
      <c r="F1" s="1" t="s">
        <v>539</v>
      </c>
      <c r="G1" s="1" t="s">
        <v>369</v>
      </c>
      <c r="H1" s="1" t="s">
        <v>540</v>
      </c>
      <c r="I1" s="1">
        <v>0.09</v>
      </c>
      <c r="K1" s="70" t="s">
        <v>541</v>
      </c>
      <c r="L1" s="70" t="s">
        <v>542</v>
      </c>
      <c r="M1" s="70" t="s">
        <v>543</v>
      </c>
      <c r="N1" s="70" t="s">
        <v>544</v>
      </c>
      <c r="O1" s="70" t="s">
        <v>545</v>
      </c>
      <c r="P1" s="70" t="s">
        <v>546</v>
      </c>
      <c r="Q1" s="70" t="s">
        <v>547</v>
      </c>
      <c r="R1" s="70" t="s">
        <v>548</v>
      </c>
      <c r="S1" s="71"/>
      <c r="T1" s="70" t="s">
        <v>549</v>
      </c>
      <c r="U1" s="70" t="s">
        <v>550</v>
      </c>
      <c r="V1" s="70" t="s">
        <v>551</v>
      </c>
      <c r="W1"/>
    </row>
    <row r="2" spans="1:23">
      <c r="A2" s="1" t="s">
        <v>552</v>
      </c>
      <c r="B2" s="1">
        <f>常更新数据!AE36</f>
        <v>210078</v>
      </c>
      <c r="D2" s="1">
        <v>0.03</v>
      </c>
      <c r="E2" s="1">
        <v>0</v>
      </c>
      <c r="F2" s="1">
        <v>1.0575</v>
      </c>
      <c r="G2" s="1">
        <v>2.995</v>
      </c>
      <c r="J2" s="12"/>
      <c r="K2" s="30">
        <v>1.375</v>
      </c>
      <c r="L2" s="30">
        <v>2.125</v>
      </c>
      <c r="M2" s="30">
        <v>1.625</v>
      </c>
      <c r="N2" s="30">
        <v>2.0625</v>
      </c>
      <c r="O2" s="30">
        <v>2.5</v>
      </c>
      <c r="P2" s="30">
        <v>2.875</v>
      </c>
      <c r="Q2" s="30">
        <v>3.3125</v>
      </c>
      <c r="R2" s="20">
        <v>0</v>
      </c>
      <c r="T2" s="30">
        <v>2.875</v>
      </c>
      <c r="U2" s="30">
        <v>0.9375</v>
      </c>
      <c r="V2" s="1">
        <v>0</v>
      </c>
      <c r="W2"/>
    </row>
    <row r="3" spans="1:23">
      <c r="A3" s="1" t="s">
        <v>553</v>
      </c>
      <c r="B3" s="1">
        <f ca="1">实战面板!V2</f>
        <v>32213</v>
      </c>
      <c r="D3" s="1">
        <v>0.03</v>
      </c>
      <c r="E3" s="1">
        <v>2462</v>
      </c>
      <c r="F3" s="1">
        <v>1.0575</v>
      </c>
      <c r="G3" s="1">
        <v>2.9325</v>
      </c>
      <c r="J3" s="12"/>
      <c r="K3" s="30">
        <v>1.375</v>
      </c>
      <c r="L3" s="30">
        <v>2.125</v>
      </c>
      <c r="M3" s="30">
        <v>1.625</v>
      </c>
      <c r="N3" s="30">
        <v>2.0625</v>
      </c>
      <c r="O3" s="30">
        <v>2.4375</v>
      </c>
      <c r="P3" s="30">
        <v>2.875</v>
      </c>
      <c r="Q3" s="30">
        <v>3.3125</v>
      </c>
      <c r="R3" s="20">
        <v>411</v>
      </c>
      <c r="T3" s="30">
        <v>2.8125</v>
      </c>
      <c r="U3" s="30">
        <v>0.9375</v>
      </c>
      <c r="V3" s="1">
        <v>2462</v>
      </c>
      <c r="W3"/>
    </row>
    <row r="4" spans="1:23">
      <c r="A4" s="1" t="s">
        <v>554</v>
      </c>
      <c r="B4" s="1">
        <f ca="1">B7+IF(AND(计算主页!K3=循环模拟!E72,角色属性!Z38=FALSE()),0.03,0)</f>
        <v>0.09</v>
      </c>
      <c r="D4" s="1">
        <v>0.03</v>
      </c>
      <c r="E4" s="1">
        <v>7386</v>
      </c>
      <c r="F4" s="1">
        <v>0.995</v>
      </c>
      <c r="G4" s="1">
        <v>2.87</v>
      </c>
      <c r="J4" s="12"/>
      <c r="K4" s="30">
        <v>1.375</v>
      </c>
      <c r="L4" s="30">
        <v>2.125</v>
      </c>
      <c r="M4" s="30">
        <v>1.625</v>
      </c>
      <c r="N4" s="30">
        <v>2.0625</v>
      </c>
      <c r="O4" s="30">
        <v>2.4375</v>
      </c>
      <c r="P4" s="30">
        <v>2.875</v>
      </c>
      <c r="Q4" s="30">
        <v>3.25</v>
      </c>
      <c r="R4" s="20">
        <v>1642</v>
      </c>
      <c r="T4" s="30">
        <v>2.75</v>
      </c>
      <c r="U4" s="30">
        <v>0.875</v>
      </c>
      <c r="V4" s="1">
        <v>7386</v>
      </c>
      <c r="W4"/>
    </row>
    <row r="5" spans="1:23">
      <c r="A5" s="1" t="s">
        <v>555</v>
      </c>
      <c r="B5" s="12">
        <f>B7</f>
        <v>0.06</v>
      </c>
      <c r="D5" s="1">
        <v>0.03</v>
      </c>
      <c r="E5" s="1">
        <v>12515</v>
      </c>
      <c r="F5" s="1">
        <v>0.995</v>
      </c>
      <c r="G5" s="1">
        <v>2.8075</v>
      </c>
      <c r="J5" s="12"/>
      <c r="K5" s="30">
        <v>1.375</v>
      </c>
      <c r="L5" s="30">
        <v>2.0625</v>
      </c>
      <c r="M5" s="30">
        <v>1.625</v>
      </c>
      <c r="N5" s="30">
        <v>2.0625</v>
      </c>
      <c r="O5" s="30">
        <v>2.4375</v>
      </c>
      <c r="P5" s="30">
        <v>2.875</v>
      </c>
      <c r="Q5" s="30">
        <v>3.25</v>
      </c>
      <c r="R5" s="20">
        <v>2257</v>
      </c>
      <c r="T5" s="30">
        <v>2.6875</v>
      </c>
      <c r="U5" s="30">
        <v>0.875</v>
      </c>
      <c r="V5" s="1">
        <v>12515</v>
      </c>
      <c r="W5"/>
    </row>
    <row r="6" spans="1:23">
      <c r="A6" s="1" t="s">
        <v>556</v>
      </c>
      <c r="B6" s="1">
        <f>技能数!AF3</f>
        <v>3</v>
      </c>
      <c r="D6" s="1">
        <v>0.03</v>
      </c>
      <c r="E6" s="1">
        <v>17849</v>
      </c>
      <c r="F6" s="1">
        <v>0.995</v>
      </c>
      <c r="G6" s="1">
        <v>2.745</v>
      </c>
      <c r="J6" s="12"/>
      <c r="K6" s="30">
        <v>1.375</v>
      </c>
      <c r="L6" s="30">
        <v>2.0625</v>
      </c>
      <c r="M6" s="30">
        <v>1.625</v>
      </c>
      <c r="N6" s="30">
        <v>2</v>
      </c>
      <c r="O6" s="30">
        <v>2.4375</v>
      </c>
      <c r="P6" s="30">
        <v>2.875</v>
      </c>
      <c r="Q6" s="30">
        <v>3.25</v>
      </c>
      <c r="R6" s="20">
        <v>2668</v>
      </c>
      <c r="T6" s="30">
        <v>2.625</v>
      </c>
      <c r="U6" s="30">
        <v>0.875</v>
      </c>
      <c r="V6" s="1">
        <v>17849</v>
      </c>
      <c r="W6"/>
    </row>
    <row r="7" spans="1:23">
      <c r="A7" s="1" t="s">
        <v>538</v>
      </c>
      <c r="B7" s="1">
        <f>_xlfn.XLOOKUP(计算主页!M3,A11:A14,B11:B14)</f>
        <v>0.06</v>
      </c>
      <c r="D7" s="1">
        <v>0.03</v>
      </c>
      <c r="E7" s="1">
        <v>23388</v>
      </c>
      <c r="F7" s="1">
        <v>0.9325</v>
      </c>
      <c r="G7" s="1">
        <v>2.6825</v>
      </c>
      <c r="J7" s="12"/>
      <c r="K7" s="30">
        <v>1.375</v>
      </c>
      <c r="L7" s="30">
        <v>2.0625</v>
      </c>
      <c r="M7" s="30">
        <v>1.625</v>
      </c>
      <c r="N7" s="30">
        <v>2</v>
      </c>
      <c r="O7" s="30">
        <v>2.4375</v>
      </c>
      <c r="P7" s="30">
        <v>2.8125</v>
      </c>
      <c r="Q7" s="30">
        <v>3.25</v>
      </c>
      <c r="R7" s="20">
        <v>3488</v>
      </c>
      <c r="T7" s="30">
        <v>2.5625</v>
      </c>
      <c r="U7" s="30">
        <v>0.8125</v>
      </c>
      <c r="V7" s="1">
        <v>23388</v>
      </c>
      <c r="W7"/>
    </row>
    <row r="8" spans="1:23">
      <c r="D8" s="1">
        <v>0.03</v>
      </c>
      <c r="E8" s="1">
        <v>29132</v>
      </c>
      <c r="F8" s="1">
        <v>0.9325</v>
      </c>
      <c r="G8" s="1">
        <v>2.62</v>
      </c>
      <c r="K8" s="30">
        <v>1.375</v>
      </c>
      <c r="L8" s="30">
        <v>2.0625</v>
      </c>
      <c r="M8" s="30">
        <v>1.5625</v>
      </c>
      <c r="N8" s="30">
        <v>2</v>
      </c>
      <c r="O8" s="30">
        <v>2.375</v>
      </c>
      <c r="P8" s="30">
        <v>2.8125</v>
      </c>
      <c r="Q8" s="30">
        <v>3.1875</v>
      </c>
      <c r="R8" s="20">
        <v>5950</v>
      </c>
      <c r="T8" s="30">
        <v>2.5</v>
      </c>
      <c r="U8" s="30">
        <v>0.8125</v>
      </c>
      <c r="V8" s="1">
        <v>29132</v>
      </c>
      <c r="W8"/>
    </row>
    <row r="9" spans="1:23">
      <c r="D9" s="1">
        <v>0.03</v>
      </c>
      <c r="E9" s="1">
        <v>35287</v>
      </c>
      <c r="F9" s="1">
        <v>0.9325</v>
      </c>
      <c r="G9" s="1">
        <v>2.5575</v>
      </c>
      <c r="K9" s="30">
        <v>1.375</v>
      </c>
      <c r="L9" s="30">
        <v>2.0625</v>
      </c>
      <c r="M9" s="30">
        <v>1.5625</v>
      </c>
      <c r="N9" s="30">
        <v>2</v>
      </c>
      <c r="O9" s="30">
        <v>2.375</v>
      </c>
      <c r="P9" s="30">
        <v>2.75</v>
      </c>
      <c r="Q9" s="30">
        <v>3.1875</v>
      </c>
      <c r="R9" s="20">
        <v>8617</v>
      </c>
      <c r="T9" s="30">
        <v>2.4375</v>
      </c>
      <c r="U9" s="30">
        <v>0.8125</v>
      </c>
      <c r="V9" s="1">
        <v>35287</v>
      </c>
      <c r="W9"/>
    </row>
    <row r="10" spans="1:23">
      <c r="A10" s="12" t="s">
        <v>538</v>
      </c>
      <c r="B10" s="12"/>
      <c r="D10" s="1">
        <v>0.03</v>
      </c>
      <c r="E10" s="1">
        <v>41852</v>
      </c>
      <c r="F10" s="1">
        <v>0.87</v>
      </c>
      <c r="G10" s="1">
        <v>2.495</v>
      </c>
      <c r="K10" s="30">
        <v>1.3125</v>
      </c>
      <c r="L10" s="30">
        <v>2</v>
      </c>
      <c r="M10" s="30">
        <v>1.5625</v>
      </c>
      <c r="N10" s="30">
        <v>2</v>
      </c>
      <c r="O10" s="30">
        <v>2.375</v>
      </c>
      <c r="P10" s="30">
        <v>2.75</v>
      </c>
      <c r="Q10" s="30">
        <v>3.1875</v>
      </c>
      <c r="R10" s="20">
        <v>9027</v>
      </c>
      <c r="T10" s="30">
        <v>2.375</v>
      </c>
      <c r="U10" s="30">
        <v>0.75</v>
      </c>
      <c r="V10" s="1">
        <v>41852</v>
      </c>
      <c r="W10"/>
    </row>
    <row r="11" spans="1:23">
      <c r="A11" s="12" t="s">
        <v>557</v>
      </c>
      <c r="B11" s="12">
        <v>0.03</v>
      </c>
      <c r="D11" s="1">
        <v>0.06</v>
      </c>
      <c r="E11" s="1">
        <v>0</v>
      </c>
      <c r="F11" s="1">
        <v>1.0875</v>
      </c>
      <c r="G11" s="1">
        <v>3.025</v>
      </c>
      <c r="K11" s="30">
        <v>1.3125</v>
      </c>
      <c r="L11" s="30">
        <v>2</v>
      </c>
      <c r="M11" s="30">
        <v>1.5625</v>
      </c>
      <c r="N11" s="30">
        <v>1.9375</v>
      </c>
      <c r="O11" s="30">
        <v>2.375</v>
      </c>
      <c r="P11" s="30">
        <v>2.75</v>
      </c>
      <c r="Q11" s="30">
        <v>3.1875</v>
      </c>
      <c r="R11" s="20">
        <v>9643</v>
      </c>
      <c r="T11" s="30"/>
      <c r="U11" s="30"/>
      <c r="W11"/>
    </row>
    <row r="12" spans="1:23">
      <c r="A12" s="12" t="s">
        <v>1</v>
      </c>
      <c r="B12" s="12">
        <v>0.06</v>
      </c>
      <c r="D12" s="1">
        <v>0.06</v>
      </c>
      <c r="E12" s="1">
        <v>2462</v>
      </c>
      <c r="F12" s="1">
        <v>1.0875</v>
      </c>
      <c r="G12" s="1">
        <v>2.9625</v>
      </c>
      <c r="J12" s="12"/>
      <c r="K12" s="30">
        <v>1.3125</v>
      </c>
      <c r="L12" s="30">
        <v>2</v>
      </c>
      <c r="M12" s="30">
        <v>1.5625</v>
      </c>
      <c r="N12" s="30">
        <v>1.9375</v>
      </c>
      <c r="O12" s="30">
        <v>2.375</v>
      </c>
      <c r="P12" s="30">
        <v>2.75</v>
      </c>
      <c r="Q12" s="30">
        <v>3.125</v>
      </c>
      <c r="R12" s="20">
        <v>10463</v>
      </c>
      <c r="T12" s="30"/>
      <c r="U12" s="30"/>
      <c r="W12"/>
    </row>
    <row r="13" ht="16.5" spans="1:23">
      <c r="A13" s="12" t="s">
        <v>558</v>
      </c>
      <c r="B13" s="12">
        <v>0.09</v>
      </c>
      <c r="D13" s="1">
        <v>0.06</v>
      </c>
      <c r="E13" s="1">
        <v>7386</v>
      </c>
      <c r="F13" s="1">
        <v>1.025</v>
      </c>
      <c r="G13" s="1">
        <v>2.9</v>
      </c>
      <c r="J13" s="12"/>
      <c r="K13" s="30">
        <v>1.3125</v>
      </c>
      <c r="L13" s="30">
        <v>2</v>
      </c>
      <c r="M13" s="30">
        <v>1.5625</v>
      </c>
      <c r="N13" s="30">
        <v>1.9375</v>
      </c>
      <c r="O13" s="30">
        <v>2.3125</v>
      </c>
      <c r="P13" s="30">
        <v>2.75</v>
      </c>
      <c r="Q13" s="30">
        <v>3.125</v>
      </c>
      <c r="R13" s="20">
        <v>11899</v>
      </c>
      <c r="U13" s="70" t="s">
        <v>559</v>
      </c>
      <c r="V13" s="70" t="s">
        <v>548</v>
      </c>
      <c r="W13"/>
    </row>
    <row r="14" spans="1:23">
      <c r="A14" s="12" t="s">
        <v>560</v>
      </c>
      <c r="B14" s="12">
        <v>0.12</v>
      </c>
      <c r="D14" s="1">
        <v>0.06</v>
      </c>
      <c r="E14" s="1">
        <v>12515</v>
      </c>
      <c r="F14" s="1">
        <v>1.025</v>
      </c>
      <c r="G14" s="1">
        <v>2.8375</v>
      </c>
      <c r="J14" s="12"/>
      <c r="K14" s="30">
        <v>1.3125</v>
      </c>
      <c r="L14" s="30">
        <v>2</v>
      </c>
      <c r="M14" s="30">
        <v>1.5625</v>
      </c>
      <c r="N14" s="30">
        <v>1.9375</v>
      </c>
      <c r="O14" s="30">
        <v>2.3125</v>
      </c>
      <c r="P14" s="30">
        <v>2.6875</v>
      </c>
      <c r="Q14" s="30">
        <v>3.125</v>
      </c>
      <c r="R14" s="20">
        <v>13746</v>
      </c>
      <c r="U14" s="30">
        <v>2.8125</v>
      </c>
      <c r="V14" s="1">
        <v>0</v>
      </c>
      <c r="W14"/>
    </row>
    <row r="15" spans="1:23">
      <c r="D15" s="1">
        <v>0.06</v>
      </c>
      <c r="E15" s="1">
        <v>17849</v>
      </c>
      <c r="F15" s="1">
        <v>1.025</v>
      </c>
      <c r="G15" s="1">
        <v>2.775</v>
      </c>
      <c r="J15" s="12"/>
      <c r="K15" s="30">
        <v>1.3125</v>
      </c>
      <c r="L15" s="30">
        <v>2</v>
      </c>
      <c r="M15" s="30">
        <v>1.5</v>
      </c>
      <c r="N15" s="30">
        <v>1.9375</v>
      </c>
      <c r="O15" s="30">
        <v>2.3125</v>
      </c>
      <c r="P15" s="30">
        <v>2.6875</v>
      </c>
      <c r="Q15" s="30">
        <v>3.0625</v>
      </c>
      <c r="R15" s="20">
        <v>14977</v>
      </c>
      <c r="U15" s="30">
        <v>2.75</v>
      </c>
      <c r="V15" s="1">
        <v>3898</v>
      </c>
      <c r="W15"/>
    </row>
    <row r="16" spans="1:23">
      <c r="A16" s="1" t="s">
        <v>561</v>
      </c>
      <c r="D16" s="1">
        <v>0.06</v>
      </c>
      <c r="E16" s="1">
        <v>23388</v>
      </c>
      <c r="F16" s="1">
        <v>0.9625</v>
      </c>
      <c r="G16" s="1">
        <v>2.7125</v>
      </c>
      <c r="J16" s="12"/>
      <c r="K16" s="30">
        <v>1.3125</v>
      </c>
      <c r="L16" s="30">
        <v>1.9375</v>
      </c>
      <c r="M16" s="30">
        <v>1.5</v>
      </c>
      <c r="N16" s="30">
        <v>1.9375</v>
      </c>
      <c r="O16" s="30">
        <v>2.3125</v>
      </c>
      <c r="P16" s="30">
        <v>2.6875</v>
      </c>
      <c r="Q16" s="30">
        <v>3.0625</v>
      </c>
      <c r="R16" s="20">
        <v>16208</v>
      </c>
      <c r="U16" s="30">
        <v>2.6875</v>
      </c>
      <c r="V16" s="1">
        <v>9027</v>
      </c>
      <c r="W16"/>
    </row>
    <row r="17" spans="1:23">
      <c r="A17" s="12" t="s">
        <v>539</v>
      </c>
      <c r="B17" s="12" cm="1">
        <f ca="1" t="array" ref="B17">_xlfn.XLOOKUP(加速计算!B3,旗舰加速表[加速阈值],旗舰加速表[公共CD],“未知”,-1)</f>
        <v>1.1875</v>
      </c>
      <c r="D17" s="1">
        <v>0.06</v>
      </c>
      <c r="E17" s="1">
        <v>29132</v>
      </c>
      <c r="F17" s="1">
        <v>0.9625</v>
      </c>
      <c r="G17" s="1">
        <v>2.65</v>
      </c>
      <c r="J17" s="12"/>
      <c r="K17" s="30">
        <v>1.3125</v>
      </c>
      <c r="L17" s="30">
        <v>1.9375</v>
      </c>
      <c r="M17" s="30">
        <v>1.5</v>
      </c>
      <c r="N17" s="30">
        <v>1.875</v>
      </c>
      <c r="O17" s="30">
        <v>2.3125</v>
      </c>
      <c r="P17" s="30">
        <v>2.6875</v>
      </c>
      <c r="Q17" s="30">
        <v>3.0625</v>
      </c>
      <c r="R17" s="20">
        <v>17028</v>
      </c>
      <c r="U17" s="30">
        <v>2.625</v>
      </c>
      <c r="V17" s="1">
        <v>14361</v>
      </c>
      <c r="W17"/>
    </row>
    <row r="18" spans="1:23">
      <c r="A18" s="1" t="s">
        <v>130</v>
      </c>
      <c r="B18" s="1" cm="1">
        <f ca="1" t="array" ref="B18">_xlfn.XLOOKUP(B3,旗舰加速表[加速阈值],玳弦读条时间(B6),0,-1)</f>
        <v>2.125</v>
      </c>
      <c r="D18" s="1">
        <v>0.06</v>
      </c>
      <c r="E18" s="1">
        <v>35287</v>
      </c>
      <c r="F18" s="1">
        <v>0.9625</v>
      </c>
      <c r="G18" s="1">
        <v>2.5875</v>
      </c>
      <c r="K18" s="30">
        <v>1.3125</v>
      </c>
      <c r="L18" s="30">
        <v>1.9375</v>
      </c>
      <c r="M18" s="30">
        <v>1.5</v>
      </c>
      <c r="N18" s="30">
        <v>1.875</v>
      </c>
      <c r="O18" s="30">
        <v>2.25</v>
      </c>
      <c r="P18" s="30">
        <v>2.6875</v>
      </c>
      <c r="Q18" s="30">
        <v>3.0625</v>
      </c>
      <c r="R18" s="20">
        <v>18259</v>
      </c>
      <c r="U18" s="30">
        <v>2.5625</v>
      </c>
      <c r="V18" s="1">
        <v>19900</v>
      </c>
      <c r="W18"/>
    </row>
    <row r="19" spans="1:23">
      <c r="A19" s="12" t="s">
        <v>562</v>
      </c>
      <c r="B19" s="12">
        <f ca="1">B17+B4</f>
        <v>1.2775</v>
      </c>
      <c r="D19" s="1">
        <v>0.06</v>
      </c>
      <c r="E19" s="1">
        <v>41852</v>
      </c>
      <c r="F19" s="1">
        <v>0.9</v>
      </c>
      <c r="G19" s="1">
        <v>2.525</v>
      </c>
      <c r="K19" s="30">
        <v>1.3125</v>
      </c>
      <c r="L19" s="30">
        <v>1.9375</v>
      </c>
      <c r="M19" s="30">
        <v>1.5</v>
      </c>
      <c r="N19" s="30">
        <v>1.875</v>
      </c>
      <c r="O19" s="30">
        <v>2.25</v>
      </c>
      <c r="P19" s="30">
        <v>2.625</v>
      </c>
      <c r="Q19" s="30">
        <v>3.0625</v>
      </c>
      <c r="R19" s="20">
        <v>19080</v>
      </c>
      <c r="U19" s="30">
        <v>2.5</v>
      </c>
      <c r="V19" s="1">
        <v>25645</v>
      </c>
      <c r="W19"/>
    </row>
    <row r="20" spans="1:23">
      <c r="A20" s="1" t="s">
        <v>563</v>
      </c>
      <c r="B20" s="1">
        <f ca="1">B18+$B$4</f>
        <v>2.215</v>
      </c>
      <c r="D20" s="1">
        <v>0.09</v>
      </c>
      <c r="E20" s="1">
        <v>0</v>
      </c>
      <c r="F20" s="1">
        <v>1.1175</v>
      </c>
      <c r="G20" s="1">
        <v>3.055</v>
      </c>
      <c r="K20" s="30">
        <v>1.25</v>
      </c>
      <c r="L20" s="30">
        <v>1.9375</v>
      </c>
      <c r="M20" s="30">
        <v>1.5</v>
      </c>
      <c r="N20" s="30">
        <v>1.875</v>
      </c>
      <c r="O20" s="30">
        <v>2.25</v>
      </c>
      <c r="P20" s="30">
        <v>2.625</v>
      </c>
      <c r="Q20" s="30">
        <v>3</v>
      </c>
      <c r="R20" s="20">
        <v>19900</v>
      </c>
      <c r="U20" s="30">
        <v>2.4375</v>
      </c>
      <c r="V20" s="1">
        <v>31799</v>
      </c>
      <c r="W20"/>
    </row>
    <row r="21" spans="1:23">
      <c r="A21" s="1" t="s">
        <v>564</v>
      </c>
      <c r="B21" s="12" cm="1">
        <f ca="1" t="array" ref="B21">_xlfn.LET(_xlpm.gcd,旗舰加速表[公共CD],_xlpm.gcd阈值,_xlfn.MINIFS(旗舰加速表[加速阈值],_xlpm.gcd,_xlfn.UNIQUE(_xlpm.gcd)),_xlfn.XLOOKUP(加速计算!B3,_xlpm.gcd阈值,_xlpm.gcd阈值,,-1))</f>
        <v>31799</v>
      </c>
      <c r="D21" s="1">
        <v>0.09</v>
      </c>
      <c r="E21" s="1">
        <v>2462</v>
      </c>
      <c r="F21" s="1">
        <v>1.1175</v>
      </c>
      <c r="G21" s="1">
        <v>2.9925</v>
      </c>
      <c r="K21" s="30">
        <v>1.25</v>
      </c>
      <c r="L21" s="30">
        <v>1.875</v>
      </c>
      <c r="M21" s="30">
        <v>1.5</v>
      </c>
      <c r="N21" s="30">
        <v>1.875</v>
      </c>
      <c r="O21" s="30">
        <v>2.25</v>
      </c>
      <c r="P21" s="30">
        <v>2.625</v>
      </c>
      <c r="Q21" s="30">
        <v>3</v>
      </c>
      <c r="R21" s="20">
        <v>23798</v>
      </c>
      <c r="U21" s="30">
        <v>2.375</v>
      </c>
      <c r="V21" s="1">
        <v>38364</v>
      </c>
      <c r="W21"/>
    </row>
    <row r="22" spans="1:23">
      <c r="A22" s="1" t="s">
        <v>565</v>
      </c>
      <c r="B22" s="1">
        <f ca="1">加速计算!B3-B21</f>
        <v>414</v>
      </c>
      <c r="D22" s="1">
        <v>0.09</v>
      </c>
      <c r="E22" s="1">
        <v>7386</v>
      </c>
      <c r="F22" s="1">
        <v>1.055</v>
      </c>
      <c r="G22" s="1">
        <v>2.93</v>
      </c>
      <c r="K22" s="30">
        <v>1.25</v>
      </c>
      <c r="L22" s="30">
        <v>1.875</v>
      </c>
      <c r="M22" s="30">
        <v>1.4375</v>
      </c>
      <c r="N22" s="30">
        <v>1.8125</v>
      </c>
      <c r="O22" s="30">
        <v>2.1875</v>
      </c>
      <c r="P22" s="30">
        <v>2.5625</v>
      </c>
      <c r="Q22" s="30">
        <v>2.9375</v>
      </c>
      <c r="R22" s="20">
        <v>24824</v>
      </c>
      <c r="W22"/>
    </row>
    <row r="23" spans="1:23">
      <c r="A23" s="1" t="s">
        <v>409</v>
      </c>
      <c r="B23" s="1">
        <f ca="1">IF(B21=0,0,MAX(5-ROUNDDOWN(B22/加速计算!B50,0),0))</f>
        <v>5</v>
      </c>
      <c r="D23" s="1">
        <v>0.09</v>
      </c>
      <c r="E23" s="1">
        <v>12515</v>
      </c>
      <c r="F23" s="1">
        <v>1.055</v>
      </c>
      <c r="G23" s="1">
        <v>2.8675</v>
      </c>
      <c r="K23" s="30">
        <v>1.25</v>
      </c>
      <c r="L23" s="30">
        <v>1.875</v>
      </c>
      <c r="M23" s="30">
        <v>1.4375</v>
      </c>
      <c r="N23" s="30">
        <v>1.8125</v>
      </c>
      <c r="O23" s="30">
        <v>2.1875</v>
      </c>
      <c r="P23" s="30">
        <v>2.5625</v>
      </c>
      <c r="Q23" s="30">
        <v>2.875</v>
      </c>
      <c r="R23" s="20">
        <v>30158</v>
      </c>
      <c r="W23"/>
    </row>
    <row r="24" spans="1:23">
      <c r="A24" s="1" t="s">
        <v>566</v>
      </c>
      <c r="B24" s="1" cm="1">
        <f ca="1" t="array" ref="B24">_xlfn.XLOOKUP(B18,玳弦读条时间(B6),旗舰加速表[加速阈值],0,-1)</f>
        <v>31799</v>
      </c>
      <c r="C24" s="12"/>
      <c r="D24" s="1">
        <v>0.09</v>
      </c>
      <c r="E24" s="1">
        <v>17849</v>
      </c>
      <c r="F24" s="1">
        <v>1.055</v>
      </c>
      <c r="G24" s="1">
        <v>2.805</v>
      </c>
      <c r="K24" s="30">
        <v>1.25</v>
      </c>
      <c r="L24" s="30">
        <v>1.875</v>
      </c>
      <c r="M24" s="30">
        <v>1.4375</v>
      </c>
      <c r="N24" s="30">
        <v>1.8125</v>
      </c>
      <c r="O24" s="30">
        <v>2.1875</v>
      </c>
      <c r="P24" s="30">
        <v>2.5</v>
      </c>
      <c r="Q24" s="30">
        <v>2.875</v>
      </c>
      <c r="R24" s="20">
        <v>30774</v>
      </c>
      <c r="W24"/>
    </row>
    <row r="25" spans="1:23">
      <c r="A25" s="1" t="s">
        <v>567</v>
      </c>
      <c r="B25" s="1">
        <f ca="1">B3-B24</f>
        <v>414</v>
      </c>
      <c r="D25" s="1">
        <v>0.09</v>
      </c>
      <c r="E25" s="1">
        <v>23388</v>
      </c>
      <c r="F25" s="1">
        <v>0.9925</v>
      </c>
      <c r="G25" s="1">
        <v>2.7425</v>
      </c>
      <c r="K25" s="30">
        <v>1.1875</v>
      </c>
      <c r="L25" s="30">
        <v>1.8125</v>
      </c>
      <c r="M25" s="30">
        <v>1.4375</v>
      </c>
      <c r="N25" s="30">
        <v>1.8125</v>
      </c>
      <c r="O25" s="30">
        <v>2.125</v>
      </c>
      <c r="P25" s="30">
        <v>2.5</v>
      </c>
      <c r="Q25" s="30">
        <v>2.875</v>
      </c>
      <c r="R25" s="20">
        <v>31799</v>
      </c>
      <c r="W25"/>
    </row>
    <row r="26" spans="1:23">
      <c r="A26" s="1" t="s">
        <v>568</v>
      </c>
      <c r="B26" s="1">
        <f ca="1">IF(B24=0,0,MAX(5-ROUNDDOWN(B25/加速计算!B50,0),0))</f>
        <v>5</v>
      </c>
      <c r="D26" s="1">
        <v>0.09</v>
      </c>
      <c r="E26" s="1">
        <v>29132</v>
      </c>
      <c r="F26" s="1">
        <v>0.9925</v>
      </c>
      <c r="G26" s="1">
        <v>2.68</v>
      </c>
      <c r="K26" s="30">
        <v>1.1875</v>
      </c>
      <c r="L26" s="30">
        <v>1.8125</v>
      </c>
      <c r="M26" s="30">
        <v>1.4375</v>
      </c>
      <c r="N26" s="30">
        <v>1.75</v>
      </c>
      <c r="O26" s="30">
        <v>2.125</v>
      </c>
      <c r="P26" s="30">
        <v>2.5</v>
      </c>
      <c r="Q26" s="30">
        <v>2.875</v>
      </c>
      <c r="R26" s="20">
        <v>33235</v>
      </c>
      <c r="W26"/>
    </row>
    <row r="27" spans="1:23">
      <c r="A27" s="1" t="s">
        <v>569</v>
      </c>
      <c r="B27" s="1" cm="1">
        <f ca="1" t="array" ref="B27">_xlfn.LET(_xlpm.gcd,旗舰加速表[公共CD],SMALL(_xlfn._xlws.FILTER(_xlfn.UNIQUE(_xlpm.gcd),_xlfn.UNIQUE(_xlpm.gcd)&gt;B17,MAXA(_xlpm.gcd)),1))</f>
        <v>1.25</v>
      </c>
      <c r="D27" s="1">
        <v>0.09</v>
      </c>
      <c r="E27" s="1">
        <v>35287</v>
      </c>
      <c r="F27" s="1">
        <v>0.9925</v>
      </c>
      <c r="G27" s="1">
        <v>2.6175</v>
      </c>
      <c r="K27" s="30">
        <v>1.1875</v>
      </c>
      <c r="L27" s="30">
        <v>1.8125</v>
      </c>
      <c r="M27" s="30">
        <v>1.375</v>
      </c>
      <c r="N27" s="30">
        <v>1.75</v>
      </c>
      <c r="O27" s="30">
        <v>2.125</v>
      </c>
      <c r="P27" s="30">
        <v>2.5</v>
      </c>
      <c r="Q27" s="30">
        <v>2.8125</v>
      </c>
      <c r="R27" s="20">
        <v>35492</v>
      </c>
      <c r="W27"/>
    </row>
    <row r="28" spans="1:23">
      <c r="A28" s="1" t="s">
        <v>570</v>
      </c>
      <c r="B28" s="12" cm="1">
        <f ca="1" t="array" ref="B28">_xlfn.LET(_xlpm.玳弦耗时,玳弦读条时间(B6),SMALL(_xlfn._xlws.FILTER(_xlpm.玳弦耗时,_xlpm.玳弦耗时&gt;B18,MAXA(_xlpm.玳弦耗时)),1))</f>
        <v>2.1875</v>
      </c>
      <c r="D28" s="1">
        <v>0.09</v>
      </c>
      <c r="E28" s="1">
        <v>41852</v>
      </c>
      <c r="F28" s="1">
        <v>0.93</v>
      </c>
      <c r="G28" s="1">
        <v>2.555</v>
      </c>
      <c r="K28" s="30">
        <v>1.1875</v>
      </c>
      <c r="L28" s="30">
        <v>1.8125</v>
      </c>
      <c r="M28" s="30">
        <v>1.375</v>
      </c>
      <c r="N28" s="30">
        <v>1.75</v>
      </c>
      <c r="O28" s="30">
        <v>2.125</v>
      </c>
      <c r="P28" s="30">
        <v>2.4375</v>
      </c>
      <c r="Q28" s="30">
        <v>2.8125</v>
      </c>
      <c r="R28" s="20">
        <v>37133</v>
      </c>
      <c r="W28"/>
    </row>
    <row r="29" spans="1:23">
      <c r="A29" s="1" t="s">
        <v>571</v>
      </c>
      <c r="B29" s="1">
        <f ca="1">B27-加速计算!B17</f>
        <v>0.0625</v>
      </c>
      <c r="D29" s="1">
        <v>0.12</v>
      </c>
      <c r="E29" s="1">
        <v>0</v>
      </c>
      <c r="F29" s="1">
        <v>1.1475</v>
      </c>
      <c r="G29" s="1">
        <v>3.085</v>
      </c>
      <c r="K29" s="30">
        <v>1.1875</v>
      </c>
      <c r="L29" s="30">
        <v>1.8125</v>
      </c>
      <c r="M29" s="30">
        <v>1.375</v>
      </c>
      <c r="N29" s="30">
        <v>1.75</v>
      </c>
      <c r="O29" s="30">
        <v>2.0625</v>
      </c>
      <c r="P29" s="30">
        <v>2.4375</v>
      </c>
      <c r="Q29" s="30">
        <v>2.8125</v>
      </c>
      <c r="R29" s="20">
        <v>39185</v>
      </c>
      <c r="W29"/>
    </row>
    <row r="30" spans="1:23">
      <c r="A30" s="1" t="s">
        <v>411</v>
      </c>
      <c r="B30" s="1">
        <f ca="1">B28-加速计算!B18</f>
        <v>0.0625</v>
      </c>
      <c r="D30" s="1">
        <v>0.12</v>
      </c>
      <c r="E30" s="1">
        <v>2462</v>
      </c>
      <c r="F30" s="1">
        <v>1.1475</v>
      </c>
      <c r="G30" s="1">
        <v>3.0225</v>
      </c>
      <c r="K30" s="30">
        <v>1.1875</v>
      </c>
      <c r="L30" s="30">
        <v>1.75</v>
      </c>
      <c r="M30" s="30">
        <v>1.375</v>
      </c>
      <c r="N30" s="30">
        <v>1.75</v>
      </c>
      <c r="O30" s="30">
        <v>2.0625</v>
      </c>
      <c r="P30" s="30">
        <v>2.4375</v>
      </c>
      <c r="Q30" s="30">
        <v>2.8125</v>
      </c>
      <c r="R30" s="20">
        <v>40621</v>
      </c>
      <c r="W30"/>
    </row>
    <row r="31" spans="1:23">
      <c r="A31" s="1" t="s">
        <v>559</v>
      </c>
      <c r="B31" s="1" cm="1">
        <f ca="1" t="array" ref="B31">_xlfn.XLOOKUP(B3,急曲阈值表[加速阈值],急曲阈值表[急曲间隔],,-1)</f>
        <v>2.4375</v>
      </c>
      <c r="D31" s="1">
        <v>0.12</v>
      </c>
      <c r="E31" s="1">
        <v>7386</v>
      </c>
      <c r="F31" s="1">
        <v>1.085</v>
      </c>
      <c r="G31" s="1">
        <v>2.96</v>
      </c>
      <c r="K31" s="30">
        <v>1.1875</v>
      </c>
      <c r="L31" s="30">
        <v>1.75</v>
      </c>
      <c r="M31" s="30">
        <v>1.375</v>
      </c>
      <c r="N31" s="30">
        <v>1.75</v>
      </c>
      <c r="O31" s="30">
        <v>2.0625</v>
      </c>
      <c r="P31" s="30">
        <v>2.4375</v>
      </c>
      <c r="Q31" s="30">
        <v>2.75</v>
      </c>
      <c r="R31" s="20">
        <v>41237</v>
      </c>
      <c r="W31"/>
    </row>
    <row r="32" spans="1:23">
      <c r="D32" s="1">
        <v>0.12</v>
      </c>
      <c r="E32" s="1">
        <v>12515</v>
      </c>
      <c r="F32" s="1">
        <v>1.085</v>
      </c>
      <c r="G32" s="1">
        <v>2.8975</v>
      </c>
    </row>
    <row r="33" spans="1:10">
      <c r="D33" s="1">
        <v>0.12</v>
      </c>
      <c r="E33" s="1">
        <v>17849</v>
      </c>
      <c r="F33" s="1">
        <v>1.085</v>
      </c>
      <c r="G33" s="1">
        <v>2.835</v>
      </c>
    </row>
    <row r="34" spans="1:10">
      <c r="A34" s="1" t="s">
        <v>550</v>
      </c>
      <c r="B34" s="1" cm="1">
        <f ca="1" t="array" ref="B34">_xlfn.XLOOKUP(加速计算!B3,无界加速表[无界阈值],无界加速表[无界共CD],“未知”,-1)+I1+B5</f>
        <v>0.9625</v>
      </c>
      <c r="D34" s="1">
        <v>0.12</v>
      </c>
      <c r="E34" s="1">
        <v>23388</v>
      </c>
      <c r="F34" s="1">
        <v>1.0225</v>
      </c>
      <c r="G34" s="1">
        <v>2.7725</v>
      </c>
    </row>
    <row r="35" spans="1:10">
      <c r="A35" s="1" t="s">
        <v>549</v>
      </c>
      <c r="B35" s="1" cm="1">
        <f ca="1" t="array" ref="B35">_xlfn.XLOOKUP(加速计算!B3,无界加速表[无界阈值],无界加速表[无界玳弦],“未知”,-1)+I1+B5</f>
        <v>2.65</v>
      </c>
      <c r="D35" s="1">
        <v>0.12</v>
      </c>
      <c r="E35" s="1">
        <v>29132</v>
      </c>
      <c r="F35" s="1">
        <v>1.0225</v>
      </c>
      <c r="G35" s="1">
        <v>2.71</v>
      </c>
    </row>
    <row r="36" spans="1:10">
      <c r="A36" s="1" t="s">
        <v>572</v>
      </c>
      <c r="B36"/>
      <c r="D36" s="1">
        <v>0.12</v>
      </c>
      <c r="E36" s="1">
        <v>35287</v>
      </c>
      <c r="F36" s="1">
        <v>1.0225</v>
      </c>
      <c r="G36" s="1">
        <v>2.6475</v>
      </c>
    </row>
    <row r="37" spans="1:10">
      <c r="D37" s="1">
        <v>0.12</v>
      </c>
      <c r="E37" s="1">
        <v>41852</v>
      </c>
      <c r="F37" s="1">
        <v>0.96</v>
      </c>
      <c r="G37" s="1">
        <v>2.585</v>
      </c>
    </row>
    <row r="39" spans="1:10">
      <c r="J39" s="72"/>
    </row>
    <row r="40" spans="1:10">
      <c r="J40" s="73"/>
    </row>
    <row r="41" spans="1:10">
      <c r="J41" s="73"/>
    </row>
    <row r="42" spans="1:10">
      <c r="J42" s="73"/>
    </row>
    <row r="43" spans="1:10">
      <c r="J43" s="73"/>
    </row>
    <row r="44" spans="1:10">
      <c r="A44"/>
      <c r="B44"/>
      <c r="J44" s="73"/>
    </row>
    <row r="45" spans="1:10">
      <c r="B45" s="12" t="s">
        <v>76</v>
      </c>
      <c r="C45" s="50" t="s">
        <v>573</v>
      </c>
      <c r="J45" s="73"/>
    </row>
    <row r="46" spans="1:10">
      <c r="A46" s="12" t="s">
        <v>574</v>
      </c>
      <c r="B46" s="12">
        <v>5</v>
      </c>
      <c r="C46" s="12">
        <v>3</v>
      </c>
      <c r="J46" s="73"/>
    </row>
    <row r="47" spans="1:10">
      <c r="A47" s="12" t="s">
        <v>575</v>
      </c>
      <c r="B47" s="74">
        <v>4.88</v>
      </c>
      <c r="C47" s="12">
        <v>3.22</v>
      </c>
      <c r="J47" s="73"/>
    </row>
    <row r="48" spans="1:10">
      <c r="A48" s="12" t="s">
        <v>576</v>
      </c>
      <c r="B48" s="12">
        <f>ROUND(B47*10.24,1)</f>
        <v>50</v>
      </c>
      <c r="C48" s="12">
        <f>ROUND(C47*10.24,1)</f>
        <v>33</v>
      </c>
      <c r="J48" s="73"/>
    </row>
    <row r="49" spans="1:10">
      <c r="A49" s="12" t="s">
        <v>577</v>
      </c>
      <c r="B49" s="12">
        <f>B47/5</f>
        <v>0.976</v>
      </c>
      <c r="C49" s="12"/>
      <c r="J49" s="73"/>
    </row>
    <row r="50" spans="1:10">
      <c r="A50" s="12" t="s">
        <v>578</v>
      </c>
      <c r="B50" s="12">
        <f>ROUNDUP(B48/B46*$B$2*0.01/10.24,0)</f>
        <v>2052</v>
      </c>
      <c r="C50" s="12"/>
      <c r="J50" s="73"/>
    </row>
    <row r="51" spans="1:10">
      <c r="A51" s="1" t="s">
        <v>579</v>
      </c>
      <c r="B51" s="1">
        <v>25</v>
      </c>
      <c r="C51" s="12"/>
      <c r="J51" s="73"/>
    </row>
    <row r="52" spans="1:10">
      <c r="A52" s="1" t="s">
        <v>580</v>
      </c>
      <c r="B52" s="1">
        <f>ROUND(B51*10.24,1)</f>
        <v>256</v>
      </c>
      <c r="C52" s="12"/>
      <c r="J52" s="73"/>
    </row>
    <row r="53" spans="1:10">
      <c r="J53" s="73"/>
    </row>
    <row r="54" spans="1:10">
      <c r="J54" s="73"/>
    </row>
    <row r="55" spans="1:10">
      <c r="J55" s="73"/>
    </row>
    <row r="56" spans="1:10">
      <c r="J56" s="73"/>
    </row>
    <row r="57" spans="1:10">
      <c r="J57" s="73"/>
    </row>
    <row r="58" spans="1:10">
      <c r="J58" s="73"/>
    </row>
    <row r="59" spans="1:10">
      <c r="J59" s="73"/>
    </row>
    <row r="60" spans="1:10">
      <c r="J60" s="73"/>
    </row>
    <row r="61" spans="1:10">
      <c r="J61" s="73"/>
    </row>
    <row r="62" spans="1:10">
      <c r="J62" s="73"/>
    </row>
    <row r="70" spans="3:10">
      <c r="J70" s="12"/>
    </row>
    <row r="71" spans="3:10">
      <c r="C71" s="12"/>
      <c r="J71" s="12"/>
    </row>
    <row r="72" spans="3:10">
      <c r="C72" s="12"/>
      <c r="J72" s="12"/>
    </row>
    <row r="74" spans="3:10">
      <c r="J74" s="12"/>
    </row>
    <row r="75" spans="3:10">
      <c r="J75" s="12"/>
    </row>
    <row r="76" spans="3:10">
      <c r="J76" s="12"/>
    </row>
  </sheetData>
  <conditionalFormatting sqref="L2">
    <cfRule type="colorScale" priority="10">
      <colorScale>
        <cfvo type="min"/>
        <cfvo type="max"/>
        <color rgb="FFFCFCFF"/>
        <color rgb="FFF8696B"/>
      </colorScale>
    </cfRule>
  </conditionalFormatting>
  <conditionalFormatting sqref="K2:K31">
    <cfRule type="colorScale" priority="11">
      <colorScale>
        <cfvo type="min"/>
        <cfvo type="max"/>
        <color rgb="FFFCFCFF"/>
        <color rgb="FFF8696B"/>
      </colorScale>
    </cfRule>
  </conditionalFormatting>
  <conditionalFormatting sqref="L2:L31">
    <cfRule type="colorScale" priority="9">
      <colorScale>
        <cfvo type="min"/>
        <cfvo type="max"/>
        <color rgb="FFFCFCFF"/>
        <color rgb="FFF8696B"/>
      </colorScale>
    </cfRule>
  </conditionalFormatting>
  <conditionalFormatting sqref="M2:M31">
    <cfRule type="colorScale" priority="8">
      <colorScale>
        <cfvo type="min"/>
        <cfvo type="max"/>
        <color rgb="FFFCFCFF"/>
        <color rgb="FFF8696B"/>
      </colorScale>
    </cfRule>
  </conditionalFormatting>
  <conditionalFormatting sqref="N2:N31">
    <cfRule type="colorScale" priority="7">
      <colorScale>
        <cfvo type="min"/>
        <cfvo type="max"/>
        <color rgb="FFFCFCFF"/>
        <color rgb="FFF8696B"/>
      </colorScale>
    </cfRule>
  </conditionalFormatting>
  <conditionalFormatting sqref="O2:O31">
    <cfRule type="colorScale" priority="6">
      <colorScale>
        <cfvo type="min"/>
        <cfvo type="max"/>
        <color rgb="FFFCFCFF"/>
        <color rgb="FFF8696B"/>
      </colorScale>
    </cfRule>
  </conditionalFormatting>
  <conditionalFormatting sqref="P2:P31">
    <cfRule type="colorScale" priority="5">
      <colorScale>
        <cfvo type="min"/>
        <cfvo type="max"/>
        <color rgb="FFFCFCFF"/>
        <color rgb="FFF8696B"/>
      </colorScale>
    </cfRule>
  </conditionalFormatting>
  <conditionalFormatting sqref="Q2:Q31">
    <cfRule type="colorScale" priority="4">
      <colorScale>
        <cfvo type="min"/>
        <cfvo type="max"/>
        <color rgb="FFFCFCFF"/>
        <color rgb="FFF8696B"/>
      </colorScale>
    </cfRule>
  </conditionalFormatting>
  <conditionalFormatting sqref="R2:R31">
    <cfRule type="colorScale" priority="3">
      <colorScale>
        <cfvo type="min"/>
        <cfvo type="max"/>
        <color rgb="FFF8696B"/>
        <color rgb="FFFCFCFF"/>
      </colorScale>
    </cfRule>
  </conditionalFormatting>
  <conditionalFormatting sqref="T2:T12">
    <cfRule type="colorScale" priority="17">
      <colorScale>
        <cfvo type="min"/>
        <cfvo type="max"/>
        <color rgb="FFFCFCFF"/>
        <color rgb="FFF8696B"/>
      </colorScale>
    </cfRule>
  </conditionalFormatting>
  <conditionalFormatting sqref="U2:U12">
    <cfRule type="colorScale" priority="16">
      <colorScale>
        <cfvo type="min"/>
        <cfvo type="max"/>
        <color rgb="FFFCFCFF"/>
        <color rgb="FFF8696B"/>
      </colorScale>
    </cfRule>
  </conditionalFormatting>
  <conditionalFormatting sqref="U14:U21">
    <cfRule type="colorScale" priority="2">
      <colorScale>
        <cfvo type="min"/>
        <cfvo type="max"/>
        <color rgb="FFFCFCFF"/>
        <color rgb="FFF8696B"/>
      </colorScale>
    </cfRule>
  </conditionalFormatting>
  <conditionalFormatting sqref="V2:V12">
    <cfRule type="colorScale" priority="15">
      <colorScale>
        <cfvo type="min"/>
        <cfvo type="max"/>
        <color rgb="FFF8696B"/>
        <color rgb="FFFCFCFF"/>
      </colorScale>
    </cfRule>
  </conditionalFormatting>
  <conditionalFormatting sqref="V14:V21">
    <cfRule type="colorScale" priority="1">
      <colorScale>
        <cfvo type="min"/>
        <cfvo type="max"/>
        <color rgb="FFF8696B"/>
        <color rgb="FFFCFCFF"/>
      </colorScale>
    </cfRule>
  </conditionalFormatting>
  <conditionalFormatting sqref="K2:R31">
    <cfRule type="colorScale" priority="12">
      <colorScale>
        <cfvo type="min"/>
        <cfvo type="max"/>
        <color rgb="FFFCFCFF"/>
        <color rgb="FFF8696B"/>
      </colorScale>
    </cfRule>
    <cfRule type="colorScale" priority="13">
      <colorScale>
        <cfvo type="min"/>
        <cfvo type="max"/>
        <color rgb="FFFCFCFF"/>
        <color rgb="FFF8696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  <headerFooter/>
  <tableParts count="3">
    <tablePart r:id="rId1"/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P98"/>
  <sheetViews>
    <sheetView topLeftCell="A46" workbookViewId="0">
      <selection activeCell="E47" sqref="E47"/>
    </sheetView>
  </sheetViews>
  <sheetFormatPr defaultColWidth="9" defaultRowHeight="14.25"/>
  <cols>
    <col min="1" max="1" width="9" style="1"/>
    <col min="2" max="2" width="26.625" style="1" customWidth="1"/>
    <col min="3" max="3" width="8.5" style="1" customWidth="1"/>
    <col min="4" max="4" width="9" style="1"/>
    <col min="5" max="5" width="11.125" style="1"/>
    <col min="6" max="14" width="9" style="1"/>
    <col min="15" max="15" width="11.125" style="1"/>
    <col min="16" max="16" width="9" style="1"/>
    <col min="17" max="17" width="11.125" style="1"/>
    <col min="18" max="19" width="9" style="1"/>
    <col min="20" max="20" width="11.125" style="1"/>
    <col min="21" max="21" width="11.125" style="1" customWidth="1"/>
    <col min="22" max="22" width="7.625" style="1" customWidth="1"/>
    <col min="23" max="23" width="10.125" style="1"/>
    <col min="24" max="24" width="9" style="1"/>
    <col min="25" max="26" width="11.125" style="1"/>
    <col min="27" max="27" width="9" style="1"/>
    <col min="28" max="28" width="18.25" style="1" customWidth="1"/>
    <col min="29" max="30" width="11.125" style="1"/>
    <col min="31" max="31" width="11.125" style="1" customWidth="1"/>
    <col min="32" max="32" width="11.125" style="1"/>
    <col min="33" max="35" width="9" style="1"/>
    <col min="36" max="36" width="12" style="1" customWidth="1"/>
    <col min="37" max="38" width="9" style="1"/>
    <col min="39" max="39" width="10.5" style="1" customWidth="1"/>
    <col min="40" max="40" width="12.625" style="1"/>
    <col min="41" max="16384" width="9" style="1"/>
  </cols>
  <sheetData>
    <row r="1" spans="1:37">
      <c r="A1" s="1" t="s">
        <v>581</v>
      </c>
      <c r="C1" s="4" t="s">
        <v>145</v>
      </c>
      <c r="D1" s="4" t="s">
        <v>91</v>
      </c>
      <c r="E1" s="4" t="s">
        <v>47</v>
      </c>
      <c r="F1" s="4" t="s">
        <v>98</v>
      </c>
      <c r="G1" s="4" t="s">
        <v>42</v>
      </c>
      <c r="H1" s="4" t="s">
        <v>32</v>
      </c>
      <c r="I1" s="4" t="s">
        <v>24</v>
      </c>
      <c r="J1" s="4" t="s">
        <v>110</v>
      </c>
      <c r="K1" s="4" t="s">
        <v>37</v>
      </c>
      <c r="L1" s="1" t="s">
        <v>582</v>
      </c>
      <c r="M1" s="4" t="s">
        <v>583</v>
      </c>
      <c r="N1" s="4" t="s">
        <v>584</v>
      </c>
      <c r="O1" s="4" t="s">
        <v>585</v>
      </c>
      <c r="P1" s="1" t="s">
        <v>586</v>
      </c>
      <c r="Q1" s="4" t="s">
        <v>126</v>
      </c>
      <c r="R1" s="1" t="s">
        <v>587</v>
      </c>
      <c r="S1" s="1" t="s">
        <v>96</v>
      </c>
      <c r="T1" s="1" t="s">
        <v>588</v>
      </c>
      <c r="V1" s="1" t="s">
        <v>151</v>
      </c>
      <c r="W1" s="1" t="s">
        <v>589</v>
      </c>
      <c r="Y1" s="4" t="s">
        <v>590</v>
      </c>
      <c r="Z1" s="1" t="s">
        <v>591</v>
      </c>
      <c r="AB1" s="1" t="s">
        <v>592</v>
      </c>
      <c r="AC1" s="1" t="s">
        <v>593</v>
      </c>
      <c r="AE1" s="1" t="s">
        <v>594</v>
      </c>
      <c r="AF1" s="1" t="s">
        <v>589</v>
      </c>
      <c r="AI1" s="1" t="s">
        <v>127</v>
      </c>
      <c r="AJ1" s="1" t="s">
        <v>595</v>
      </c>
      <c r="AK1" s="1" t="s">
        <v>596</v>
      </c>
    </row>
    <row r="2" spans="1:37">
      <c r="A2" s="12" t="s">
        <v>22</v>
      </c>
      <c r="B2" s="1" t="str">
        <f>计算主页!H10</f>
        <v>玄阙帽·校服(破防 无双 41400)</v>
      </c>
      <c r="C2" s="1" cm="1">
        <f ca="1" t="array" ref="C2:P2">_xlfn.LET(_xlpm.数值,_xlfn.XLOOKUP(B2,装备名称,装备数据),_xlpm.是否字符,ISERROR(VALUE(_xlpm.数值)),IF(_xlpm.是否字符,_xlpm.数值,VALUE(_xlpm.数值)))</f>
        <v>20456</v>
      </c>
      <c r="D2" s="1">
        <v>1669</v>
      </c>
      <c r="E2" s="1">
        <v>4215</v>
      </c>
      <c r="F2" s="1">
        <v>0</v>
      </c>
      <c r="G2" s="1">
        <v>0</v>
      </c>
      <c r="H2" s="1">
        <v>13947</v>
      </c>
      <c r="I2" s="1">
        <v>0</v>
      </c>
      <c r="J2" s="1">
        <v>0</v>
      </c>
      <c r="K2" s="1">
        <v>11158</v>
      </c>
      <c r="L2" s="1">
        <v>0</v>
      </c>
      <c r="M2" s="1" t="str">
        <v>根骨</v>
      </c>
      <c r="N2" s="1" t="str">
        <v>破防</v>
      </c>
      <c r="O2" s="1">
        <v>0</v>
      </c>
      <c r="P2" s="1">
        <v>6</v>
      </c>
      <c r="Q2" s="1">
        <f>计算主页!$R$16</f>
        <v>8</v>
      </c>
      <c r="R2" s="1" cm="1">
        <f ca="1" t="array" ref="R2">_xlfn.XLOOKUP(B2,装备名称,装备品级)</f>
        <v>41400</v>
      </c>
      <c r="S2" s="1" t="b">
        <f>计算主页!O10&lt;&gt;"无"</f>
        <v>1</v>
      </c>
      <c r="T2" s="1" t="str" cm="1">
        <f ca="1" t="array" ref="T2">_xlfn.XLOOKUP(B2,装备名称,装备套装)</f>
        <v>校服</v>
      </c>
      <c r="V2" s="1">
        <v>0</v>
      </c>
      <c r="W2" s="1">
        <v>0</v>
      </c>
      <c r="Y2" s="1" t="s">
        <v>597</v>
      </c>
      <c r="Z2" s="1" t="b">
        <f ca="1">AND(S2,R2&lt;=常更新数据!$K$7,LEFT(计算主页!O10,1)="小")</f>
        <v>0</v>
      </c>
      <c r="AA2" s="60" t="b">
        <f>Y2=计算主页!N35</f>
        <v>0</v>
      </c>
      <c r="AB2" s="1" t="s">
        <v>598</v>
      </c>
      <c r="AC2" s="1" t="b">
        <f ca="1">COUNTIF(T2:T13,AB2)&gt;=2</f>
        <v>0</v>
      </c>
      <c r="AE2" s="1" t="s">
        <v>599</v>
      </c>
      <c r="AF2" s="1">
        <v>8.8</v>
      </c>
      <c r="AI2" s="1" t="s">
        <v>66</v>
      </c>
      <c r="AJ2" s="1" t="s">
        <v>75</v>
      </c>
      <c r="AK2" s="1" t="b">
        <f>计算主页!$G$28=AJ2</f>
        <v>1</v>
      </c>
    </row>
    <row r="3" spans="1:37">
      <c r="A3" s="12" t="s">
        <v>27</v>
      </c>
      <c r="B3" s="1" t="str">
        <f>计算主页!H11</f>
        <v>玄阙衣·校服(加速 无双 41400)</v>
      </c>
      <c r="C3" s="1" cm="1">
        <f ca="1" t="array" ref="C3:P3">_xlfn.LET(_xlpm.数值,_xlfn.XLOOKUP(B3,装备名称,装备数据),_xlpm.是否字符,ISERROR(VALUE(_xlpm.数值)),IF(_xlpm.是否字符,_xlpm.数值,VALUE(_xlpm.数值)))</f>
        <v>22728</v>
      </c>
      <c r="D3" s="1">
        <v>1854</v>
      </c>
      <c r="E3" s="1">
        <v>4683</v>
      </c>
      <c r="F3" s="1">
        <v>0</v>
      </c>
      <c r="G3" s="1">
        <v>0</v>
      </c>
      <c r="H3" s="1">
        <v>0</v>
      </c>
      <c r="I3" s="1">
        <v>15497</v>
      </c>
      <c r="J3" s="1">
        <v>0</v>
      </c>
      <c r="K3" s="1">
        <v>12398</v>
      </c>
      <c r="L3" s="1">
        <v>0</v>
      </c>
      <c r="M3" s="1" t="str">
        <v>会心</v>
      </c>
      <c r="N3" s="1" t="str">
        <v>破招</v>
      </c>
      <c r="O3" s="1">
        <v>0</v>
      </c>
      <c r="P3" s="1">
        <v>6</v>
      </c>
      <c r="Q3" s="1">
        <f>计算主页!$R$16</f>
        <v>8</v>
      </c>
      <c r="R3" s="1" cm="1">
        <f ca="1" t="array" ref="R3">_xlfn.XLOOKUP(B3,装备名称,装备品级)</f>
        <v>41400</v>
      </c>
      <c r="S3" s="1" t="b">
        <f>计算主页!O11&lt;&gt;"无"</f>
        <v>1</v>
      </c>
      <c r="T3" s="1" t="str" cm="1">
        <f ca="1" t="array" ref="T3">_xlfn.XLOOKUP(B3,装备名称,装备套装)</f>
        <v>校服</v>
      </c>
      <c r="V3" s="1">
        <v>1</v>
      </c>
      <c r="W3" s="1">
        <v>0.005</v>
      </c>
      <c r="Y3" s="1" t="s">
        <v>600</v>
      </c>
      <c r="Z3" s="1" t="b">
        <f ca="1">AND(S2,OR(R2&gt;常更新数据!$K$7,LEFT(计算主页!O10,1)&lt;&gt;"小"))</f>
        <v>1</v>
      </c>
      <c r="AA3" s="60" t="b">
        <f>Y3=计算主页!N35</f>
        <v>0</v>
      </c>
      <c r="AB3" s="1" t="s">
        <v>601</v>
      </c>
      <c r="AC3" s="1" t="b">
        <f ca="1">COUNTIF(T2:T13,AB3)&gt;=2</f>
        <v>0</v>
      </c>
      <c r="AE3" s="1" t="s">
        <v>602</v>
      </c>
      <c r="AF3" s="1">
        <v>32</v>
      </c>
      <c r="AI3" s="1" t="s">
        <v>67</v>
      </c>
      <c r="AJ3" s="1" t="s">
        <v>76</v>
      </c>
      <c r="AK3" s="1" t="b">
        <f>计算主页!$J$28=AJ3</f>
        <v>1</v>
      </c>
    </row>
    <row r="4" spans="1:37">
      <c r="A4" s="12" t="s">
        <v>33</v>
      </c>
      <c r="B4" s="1" t="str">
        <f>计算主页!H12</f>
        <v>玄阙腰·校服(会心 无双 41400)</v>
      </c>
      <c r="C4" s="1" cm="1">
        <f ca="1" t="array" ref="C4:P4">_xlfn.LET(_xlpm.数值,_xlfn.XLOOKUP(B4,装备名称,装备数据),_xlpm.是否字符,ISERROR(VALUE(_xlpm.数值)),IF(_xlpm.是否字符,_xlpm.数值,VALUE(_xlpm.数值)))</f>
        <v>15910</v>
      </c>
      <c r="D4" s="1">
        <v>1298</v>
      </c>
      <c r="E4" s="1">
        <v>3278</v>
      </c>
      <c r="F4" s="1">
        <v>10848</v>
      </c>
      <c r="G4" s="1">
        <v>0</v>
      </c>
      <c r="H4" s="1">
        <v>0</v>
      </c>
      <c r="I4" s="1">
        <v>0</v>
      </c>
      <c r="J4" s="1">
        <v>0</v>
      </c>
      <c r="K4" s="1">
        <v>8678</v>
      </c>
      <c r="L4" s="1">
        <v>0</v>
      </c>
      <c r="M4" s="1" t="str">
        <v>会心</v>
      </c>
      <c r="N4" s="1" t="str">
        <v>攻击</v>
      </c>
      <c r="O4" s="1">
        <v>0</v>
      </c>
      <c r="P4" s="1">
        <v>6</v>
      </c>
      <c r="Q4" s="1">
        <f>计算主页!$R$16</f>
        <v>8</v>
      </c>
      <c r="R4" s="1" cm="1">
        <f ca="1" t="array" ref="R4">_xlfn.XLOOKUP(B4,装备名称,装备品级)</f>
        <v>41400</v>
      </c>
      <c r="S4" s="1" t="b">
        <f>计算主页!O12&lt;&gt;"无"</f>
        <v>1</v>
      </c>
      <c r="T4" s="1" t="str" cm="1">
        <f ca="1" t="array" ref="T4">_xlfn.XLOOKUP(B4,装备名称,装备套装)</f>
        <v>校服</v>
      </c>
      <c r="V4" s="1">
        <v>2</v>
      </c>
      <c r="W4" s="1">
        <v>0.013</v>
      </c>
      <c r="Y4" s="1" t="s">
        <v>250</v>
      </c>
      <c r="Z4" s="1" t="b">
        <f ca="1">AND(S3,R3&lt;=常更新数据!$K$7,LEFT(计算主页!O11,1)="小")</f>
        <v>0</v>
      </c>
      <c r="AA4" s="60" t="b">
        <f>计算主页!P35=Y4</f>
        <v>0</v>
      </c>
      <c r="AE4" s="1" t="s">
        <v>603</v>
      </c>
      <c r="AF4" s="1">
        <v>50</v>
      </c>
      <c r="AI4" s="1" t="s">
        <v>604</v>
      </c>
      <c r="AJ4" s="1" t="s">
        <v>605</v>
      </c>
    </row>
    <row r="5" spans="1:37">
      <c r="A5" s="12" t="s">
        <v>38</v>
      </c>
      <c r="B5" s="1" t="str">
        <f>计算主页!H13</f>
        <v>寒鸦啼血•特效(会心 会效 无双 41400)</v>
      </c>
      <c r="C5" s="1" cm="1">
        <f ca="1" t="array" ref="C5:P5">_xlfn.LET(_xlpm.数值,_xlfn.XLOOKUP(B5,装备名称,装备数据),_xlpm.是否字符,ISERROR(VALUE(_xlpm.数值)),IF(_xlpm.是否字符,_xlpm.数值,VALUE(_xlpm.数值)))</f>
        <v>15910</v>
      </c>
      <c r="D5" s="1">
        <v>0</v>
      </c>
      <c r="E5" s="1">
        <v>6338</v>
      </c>
      <c r="F5" s="1">
        <v>13018</v>
      </c>
      <c r="G5" s="1">
        <v>5424</v>
      </c>
      <c r="H5" s="1">
        <v>0</v>
      </c>
      <c r="I5" s="1">
        <v>0</v>
      </c>
      <c r="J5" s="1">
        <v>0</v>
      </c>
      <c r="K5" s="1">
        <v>5424</v>
      </c>
      <c r="L5" s="1">
        <v>0</v>
      </c>
      <c r="M5" s="1" t="str">
        <v>破防</v>
      </c>
      <c r="N5" s="1" t="str">
        <v>无双</v>
      </c>
      <c r="O5" s="1">
        <v>0</v>
      </c>
      <c r="P5" s="1">
        <v>6</v>
      </c>
      <c r="Q5" s="1">
        <f>计算主页!$R$16</f>
        <v>8</v>
      </c>
      <c r="R5" s="1" cm="1">
        <f ca="1" t="array" ref="R5">_xlfn.XLOOKUP(B5,装备名称,装备品级)</f>
        <v>41400</v>
      </c>
      <c r="S5" s="1" t="b">
        <f>计算主页!O13&lt;&gt;"无"</f>
        <v>1</v>
      </c>
      <c r="T5" s="1" t="str" cm="1">
        <f ca="1" t="array" ref="T5">_xlfn.XLOOKUP(B5,装备名称,装备套装)</f>
        <v>414手特效</v>
      </c>
      <c r="V5" s="1">
        <v>3</v>
      </c>
      <c r="W5" s="1">
        <v>0.024</v>
      </c>
      <c r="Y5" s="1" t="s">
        <v>606</v>
      </c>
      <c r="Z5" s="1" t="b">
        <f ca="1">AND(S3,OR(R3&gt;常更新数据!$K$7,LEFT(计算主页!O11,1)&lt;&gt;"小"))</f>
        <v>1</v>
      </c>
      <c r="AA5" s="60" t="b">
        <f>Y5=计算主页!P35</f>
        <v>0</v>
      </c>
      <c r="AE5" s="1" t="s">
        <v>607</v>
      </c>
      <c r="AF5" s="1">
        <f>43900/27800</f>
        <v>1.57913669064748</v>
      </c>
      <c r="AJ5" s="1" t="s">
        <v>438</v>
      </c>
    </row>
    <row r="6" spans="1:37">
      <c r="A6" s="12" t="s">
        <v>43</v>
      </c>
      <c r="B6" s="1" t="str">
        <f>计算主页!H14</f>
        <v>秋映月•特效(会心 破招 破防 无双 41400)</v>
      </c>
      <c r="C6" s="1" cm="1">
        <f ca="1" t="array" ref="C6:P6">_xlfn.LET(_xlpm.数值,_xlfn.XLOOKUP(B6,装备名称,装备数据),_xlpm.是否字符,ISERROR(VALUE(_xlpm.数值)),IF(_xlpm.是否字符,_xlpm.数值,VALUE(_xlpm.数值)))</f>
        <v>22728</v>
      </c>
      <c r="D6" s="1">
        <v>0</v>
      </c>
      <c r="E6" s="1">
        <v>7336</v>
      </c>
      <c r="F6" s="1">
        <v>10331</v>
      </c>
      <c r="G6" s="1">
        <v>0</v>
      </c>
      <c r="H6" s="1">
        <v>10331</v>
      </c>
      <c r="I6" s="1">
        <v>0</v>
      </c>
      <c r="J6" s="1">
        <v>10331</v>
      </c>
      <c r="K6" s="1">
        <v>10331</v>
      </c>
      <c r="L6" s="1">
        <v>0</v>
      </c>
      <c r="M6" s="1" t="str">
        <v>会心</v>
      </c>
      <c r="N6" s="1" t="str">
        <v>破招</v>
      </c>
      <c r="O6" s="1">
        <v>0</v>
      </c>
      <c r="P6" s="1">
        <v>6</v>
      </c>
      <c r="Q6" s="1">
        <f>计算主页!$R$16</f>
        <v>8</v>
      </c>
      <c r="R6" s="1" cm="1">
        <f ca="1" t="array" ref="R6">_xlfn.XLOOKUP(B6,装备名称,装备品级)</f>
        <v>41400</v>
      </c>
      <c r="T6" s="1" t="str" cm="1">
        <f ca="1" t="array" ref="T6">_xlfn.XLOOKUP(B6,装备名称,装备套装)</f>
        <v>414裤无双</v>
      </c>
      <c r="V6" s="1">
        <v>4</v>
      </c>
      <c r="W6" s="1">
        <v>0.038</v>
      </c>
      <c r="Y6" s="1" t="s">
        <v>608</v>
      </c>
      <c r="Z6" s="1" t="b">
        <f ca="1">AND(S5,R5&lt;=常更新数据!$K$7,LEFT(计算主页!O13,1)="小")</f>
        <v>0</v>
      </c>
      <c r="AE6" s="4" t="s">
        <v>581</v>
      </c>
      <c r="AF6" s="1" t="s">
        <v>609</v>
      </c>
      <c r="AI6" s="1" t="s">
        <v>68</v>
      </c>
      <c r="AJ6" s="1" t="s">
        <v>77</v>
      </c>
      <c r="AK6" s="1" t="b">
        <f>计算主页!$K$28=AJ6</f>
        <v>1</v>
      </c>
    </row>
    <row r="7" spans="1:37">
      <c r="A7" s="12" t="s">
        <v>45</v>
      </c>
      <c r="B7" s="1" t="str">
        <f>计算主页!H15</f>
        <v>玄阙鞋·校服(破防 无双 41400)</v>
      </c>
      <c r="C7" s="1" cm="1">
        <f ca="1" t="array" ref="C7:P7">_xlfn.LET(_xlpm.数值,_xlfn.XLOOKUP(B7,装备名称,装备数据),_xlpm.是否字符,ISERROR(VALUE(_xlpm.数值)),IF(_xlpm.是否字符,_xlpm.数值,VALUE(_xlpm.数值)))</f>
        <v>15910</v>
      </c>
      <c r="D7" s="1">
        <v>1298</v>
      </c>
      <c r="E7" s="1">
        <v>3278</v>
      </c>
      <c r="F7" s="1">
        <v>0</v>
      </c>
      <c r="G7" s="1">
        <v>0</v>
      </c>
      <c r="H7" s="1">
        <v>10848</v>
      </c>
      <c r="I7" s="1">
        <v>0</v>
      </c>
      <c r="J7" s="1">
        <v>0</v>
      </c>
      <c r="K7" s="1">
        <v>8678</v>
      </c>
      <c r="L7" s="1">
        <v>0</v>
      </c>
      <c r="M7" s="1" t="str">
        <v>攻击</v>
      </c>
      <c r="N7" s="1" t="str">
        <v>破防</v>
      </c>
      <c r="O7" s="1">
        <v>0</v>
      </c>
      <c r="P7" s="1">
        <v>6</v>
      </c>
      <c r="Q7" s="1">
        <f>计算主页!$R$16</f>
        <v>8</v>
      </c>
      <c r="R7" s="1" cm="1">
        <f ca="1" t="array" ref="R7">_xlfn.XLOOKUP(B7,装备名称,装备品级)</f>
        <v>41400</v>
      </c>
      <c r="S7" s="1" t="b">
        <f>计算主页!O15&lt;&gt;"无"</f>
        <v>1</v>
      </c>
      <c r="T7" s="1" t="str" cm="1">
        <f ca="1" t="array" ref="T7">_xlfn.XLOOKUP(B7,装备名称,装备套装)</f>
        <v>校服</v>
      </c>
      <c r="V7" s="1">
        <v>5</v>
      </c>
      <c r="W7" s="1">
        <v>0.055</v>
      </c>
      <c r="Y7" s="1" t="s">
        <v>610</v>
      </c>
      <c r="Z7" s="1" t="b">
        <f ca="1">AND(S5,OR(R5&gt;常更新数据!$K$7,LEFT(计算主页!O13,1)&lt;&gt;"小"))</f>
        <v>1</v>
      </c>
      <c r="AE7" s="1" t="s">
        <v>22</v>
      </c>
      <c r="AF7" s="1">
        <v>0.899999803132708</v>
      </c>
      <c r="AJ7" s="1" t="s">
        <v>611</v>
      </c>
      <c r="AK7" s="1" t="b">
        <f>计算主页!$L$28=AJ7</f>
        <v>0</v>
      </c>
    </row>
    <row r="8" spans="1:37">
      <c r="A8" s="12" t="s">
        <v>50</v>
      </c>
      <c r="B8" s="1" t="str">
        <f>计算主页!H16</f>
        <v>神藏链(破防 无双 41400)</v>
      </c>
      <c r="C8" s="1" cm="1">
        <f ca="1" t="array" ref="C8:P8">_xlfn.LET(_xlpm.数值,_xlfn.XLOOKUP(B8,装备名称,装备数据),_xlpm.是否字符,ISERROR(VALUE(_xlpm.数值)),IF(_xlpm.是否字符,_xlpm.数值,VALUE(_xlpm.数值)))</f>
        <v>11364</v>
      </c>
      <c r="D8" s="1">
        <v>927</v>
      </c>
      <c r="E8" s="1">
        <v>2342</v>
      </c>
      <c r="F8" s="1">
        <v>0</v>
      </c>
      <c r="G8" s="1">
        <v>0</v>
      </c>
      <c r="H8" s="1">
        <v>7748</v>
      </c>
      <c r="I8" s="1">
        <v>0</v>
      </c>
      <c r="J8" s="1">
        <v>0</v>
      </c>
      <c r="K8" s="1">
        <v>6199</v>
      </c>
      <c r="L8" s="1">
        <v>0</v>
      </c>
      <c r="M8" s="1" t="str">
        <v>无双</v>
      </c>
      <c r="N8" s="1">
        <v>0</v>
      </c>
      <c r="O8" s="1">
        <v>0</v>
      </c>
      <c r="P8" s="1">
        <v>6</v>
      </c>
      <c r="Q8" s="1">
        <f>计算主页!$R$16</f>
        <v>8</v>
      </c>
      <c r="R8" s="1" cm="1">
        <f ca="1" t="array" ref="R8">_xlfn.XLOOKUP(B8,装备名称,装备品级)</f>
        <v>41400</v>
      </c>
      <c r="T8" s="1" t="str" cm="1">
        <f ca="1" t="array" ref="T8">_xlfn.XLOOKUP(B8,装备名称,装备套装)</f>
        <v>无</v>
      </c>
      <c r="V8" s="1">
        <v>6</v>
      </c>
      <c r="W8" s="1">
        <v>0.075</v>
      </c>
      <c r="Y8" s="1" t="s">
        <v>97</v>
      </c>
      <c r="Z8" s="1" t="b">
        <f ca="1">AND(S7,R7&lt;=常更新数据!$K$7,LEFT(计算主页!O15,1)="小")</f>
        <v>0</v>
      </c>
      <c r="AE8" s="1" t="s">
        <v>27</v>
      </c>
      <c r="AF8" s="1">
        <v>1</v>
      </c>
      <c r="AI8" s="1" t="s">
        <v>69</v>
      </c>
      <c r="AJ8" s="1" t="s">
        <v>78</v>
      </c>
      <c r="AK8" s="1" t="b">
        <f>计算主页!$L$28=AJ8</f>
        <v>1</v>
      </c>
    </row>
    <row r="9" spans="1:37">
      <c r="A9" s="12" t="s">
        <v>54</v>
      </c>
      <c r="B9" s="1" t="str">
        <f>计算主页!H17</f>
        <v>雨夜禅·橙•特效(破防 无双 37900)</v>
      </c>
      <c r="C9" s="1" cm="1">
        <f ca="1" t="array" ref="C9:P9">_xlfn.LET(_xlpm.数值,_xlfn.XLOOKUP(B9,装备名称,装备数据),_xlpm.是否字符,ISERROR(VALUE(_xlpm.数值)),IF(_xlpm.是否字符,_xlpm.数值,VALUE(_xlpm.数值)))</f>
        <v>11560</v>
      </c>
      <c r="D9" s="1">
        <v>943</v>
      </c>
      <c r="E9" s="1">
        <v>2381</v>
      </c>
      <c r="F9" s="1">
        <v>0</v>
      </c>
      <c r="G9" s="1">
        <v>0</v>
      </c>
      <c r="H9" s="1">
        <v>7882</v>
      </c>
      <c r="I9" s="1">
        <v>0</v>
      </c>
      <c r="J9" s="1">
        <v>0</v>
      </c>
      <c r="K9" s="1">
        <v>6305</v>
      </c>
      <c r="L9" s="1">
        <v>0</v>
      </c>
      <c r="M9" s="1" t="str">
        <v>破防</v>
      </c>
      <c r="N9" s="1">
        <v>0</v>
      </c>
      <c r="O9" s="1">
        <v>0</v>
      </c>
      <c r="P9" s="1">
        <v>8</v>
      </c>
      <c r="Q9" s="1">
        <f>计算主页!$R$16</f>
        <v>8</v>
      </c>
      <c r="R9" s="1" cm="1">
        <f ca="1" t="array" ref="R9">_xlfn.XLOOKUP(B9,装备名称,装备品级)</f>
        <v>37900</v>
      </c>
      <c r="T9" s="1" t="str" cm="1">
        <f ca="1" t="array" ref="T9">_xlfn.XLOOKUP(B9,装备名称,装备套装)</f>
        <v>414腰坠</v>
      </c>
      <c r="V9" s="1">
        <v>7</v>
      </c>
      <c r="W9" s="1">
        <v>0.098</v>
      </c>
      <c r="Y9" s="1" t="s">
        <v>612</v>
      </c>
      <c r="Z9" s="1" t="b">
        <f ca="1">AND(S7,OR(R7&gt;常更新数据!$K$7,LEFT(计算主页!O15,1)&lt;&gt;"小"))</f>
        <v>1</v>
      </c>
      <c r="AE9" s="1" t="s">
        <v>33</v>
      </c>
      <c r="AF9" s="1">
        <v>0.699993987119989</v>
      </c>
      <c r="AI9" s="1" t="s">
        <v>70</v>
      </c>
      <c r="AJ9" s="1" t="s">
        <v>79</v>
      </c>
      <c r="AK9" s="1" t="b">
        <f>计算主页!M28=AJ9</f>
        <v>1</v>
      </c>
    </row>
    <row r="10" spans="1:37">
      <c r="A10" s="12" t="s">
        <v>56</v>
      </c>
      <c r="B10" s="1" t="str">
        <f>计算主页!H18</f>
        <v>梦冷星•特效(会心 会效 无双 41400)</v>
      </c>
      <c r="C10" s="1" cm="1">
        <f ca="1" t="array" ref="C10:P10">_xlfn.LET(_xlpm.数值,_xlfn.XLOOKUP(B10,装备名称,装备数据),_xlpm.是否字符,ISERROR(VALUE(_xlpm.数值)),IF(_xlpm.是否字符,_xlpm.数值,VALUE(_xlpm.数值)))</f>
        <v>11364</v>
      </c>
      <c r="D10" s="1">
        <v>0</v>
      </c>
      <c r="E10" s="1">
        <v>4527</v>
      </c>
      <c r="F10" s="1">
        <v>9298</v>
      </c>
      <c r="G10" s="1">
        <v>3875</v>
      </c>
      <c r="H10" s="1">
        <v>0</v>
      </c>
      <c r="I10" s="1">
        <v>0</v>
      </c>
      <c r="J10" s="1">
        <v>0</v>
      </c>
      <c r="K10" s="1">
        <v>3875</v>
      </c>
      <c r="L10" s="1">
        <v>0</v>
      </c>
      <c r="M10" s="1">
        <v>0</v>
      </c>
      <c r="N10" s="1">
        <v>0</v>
      </c>
      <c r="O10" s="1">
        <v>0</v>
      </c>
      <c r="P10" s="1">
        <v>6</v>
      </c>
      <c r="Q10" s="1">
        <f>计算主页!$R$16</f>
        <v>8</v>
      </c>
      <c r="R10" s="1" cm="1">
        <f ca="1" t="array" ref="R10">_xlfn.XLOOKUP(B10,装备名称,装备品级)</f>
        <v>41400</v>
      </c>
      <c r="T10" s="1" t="str" cm="1">
        <f ca="1" t="array" ref="T10">_xlfn.XLOOKUP(B10,装备名称,装备套装)</f>
        <v>414戒会心</v>
      </c>
      <c r="V10" s="1">
        <v>8</v>
      </c>
      <c r="W10" s="1">
        <v>0.124</v>
      </c>
      <c r="Y10" s="1" t="s">
        <v>613</v>
      </c>
      <c r="Z10" s="1" t="b">
        <f ca="1">AND(S4,R4&lt;=常更新数据!$K$7,LEFT(计算主页!O12,1)="小")</f>
        <v>0</v>
      </c>
      <c r="AE10" s="1" t="s">
        <v>38</v>
      </c>
      <c r="AF10" s="1">
        <f>AF9</f>
        <v>0.699993987119989</v>
      </c>
      <c r="AI10" s="1" t="s">
        <v>71</v>
      </c>
      <c r="AJ10" s="1" t="s">
        <v>80</v>
      </c>
      <c r="AK10" s="1" t="b">
        <f>计算主页!$N$28=AJ10</f>
        <v>1</v>
      </c>
    </row>
    <row r="11" spans="1:37">
      <c r="A11" s="12" t="s">
        <v>56</v>
      </c>
      <c r="B11" s="1" t="str">
        <f>计算主页!H19</f>
        <v>梦冷星•特效(会心 会效 无双 41400)</v>
      </c>
      <c r="C11" s="1" cm="1">
        <f ca="1" t="array" ref="C11:P11">_xlfn.LET(_xlpm.数值,_xlfn.XLOOKUP(B11,装备名称,装备数据),_xlpm.是否字符,ISERROR(VALUE(_xlpm.数值)),IF(_xlpm.是否字符,_xlpm.数值,VALUE(_xlpm.数值)))</f>
        <v>11364</v>
      </c>
      <c r="D11" s="1">
        <v>0</v>
      </c>
      <c r="E11" s="1">
        <v>4527</v>
      </c>
      <c r="F11" s="1">
        <v>9298</v>
      </c>
      <c r="G11" s="1">
        <v>3875</v>
      </c>
      <c r="H11" s="1">
        <v>0</v>
      </c>
      <c r="I11" s="1">
        <v>0</v>
      </c>
      <c r="J11" s="1">
        <v>0</v>
      </c>
      <c r="K11" s="1">
        <v>3875</v>
      </c>
      <c r="L11" s="1">
        <v>0</v>
      </c>
      <c r="M11" s="1">
        <v>0</v>
      </c>
      <c r="N11" s="1">
        <v>0</v>
      </c>
      <c r="O11" s="1">
        <v>0</v>
      </c>
      <c r="P11" s="1">
        <v>6</v>
      </c>
      <c r="Q11" s="1">
        <f>计算主页!$R$16</f>
        <v>8</v>
      </c>
      <c r="R11" s="1" cm="1">
        <f ca="1" t="array" ref="R11">_xlfn.XLOOKUP(B11,装备名称,装备品级)</f>
        <v>41400</v>
      </c>
      <c r="T11" s="1" t="str" cm="1">
        <f ca="1" t="array" ref="T11">_xlfn.XLOOKUP(B11,装备名称,装备套装)</f>
        <v>414戒会心</v>
      </c>
      <c r="V11" s="1">
        <v>9</v>
      </c>
      <c r="W11" s="1">
        <v>0.153</v>
      </c>
      <c r="Y11" s="1" t="s">
        <v>614</v>
      </c>
      <c r="Z11" s="1" t="b">
        <f ca="1">AND(S4,OR(R4&gt;常更新数据!$K$7,LEFT(计算主页!O12,1)&lt;&gt;"小"))</f>
        <v>1</v>
      </c>
      <c r="AE11" s="1" t="s">
        <v>45</v>
      </c>
      <c r="AF11" s="1">
        <f>AF9</f>
        <v>0.699993987119989</v>
      </c>
      <c r="AI11" s="1" t="s">
        <v>72</v>
      </c>
      <c r="AJ11" s="1" t="s">
        <v>81</v>
      </c>
      <c r="AK11" s="1" t="b">
        <f>COUNTIF(计算主页!$P$28:$R$28,AJ11)&gt;0</f>
        <v>1</v>
      </c>
    </row>
    <row r="12" spans="1:37">
      <c r="A12" s="12" t="s">
        <v>61</v>
      </c>
      <c r="B12" s="1" t="str">
        <f>计算主页!H20</f>
        <v>玄脉囊(会心 无双 41400)</v>
      </c>
      <c r="C12" s="1" cm="1">
        <f ca="1" t="array" ref="C12:P12">_xlfn.LET(_xlpm.数值,_xlfn.XLOOKUP(B12,装备名称,装备数据),_xlpm.是否字符,ISERROR(VALUE(_xlpm.数值)),IF(_xlpm.是否字符,_xlpm.数值,VALUE(_xlpm.数值)))</f>
        <v>13637</v>
      </c>
      <c r="D12" s="1">
        <v>1112</v>
      </c>
      <c r="E12" s="1">
        <v>2810</v>
      </c>
      <c r="F12" s="1">
        <v>9298</v>
      </c>
      <c r="G12" s="1">
        <v>0</v>
      </c>
      <c r="H12" s="1">
        <v>0</v>
      </c>
      <c r="I12" s="1">
        <v>0</v>
      </c>
      <c r="J12" s="1">
        <v>0</v>
      </c>
      <c r="K12" s="1">
        <v>7438</v>
      </c>
      <c r="L12" s="1">
        <v>0</v>
      </c>
      <c r="M12" s="1" t="str">
        <v>会心</v>
      </c>
      <c r="N12" s="1">
        <v>0</v>
      </c>
      <c r="O12" s="1">
        <v>0</v>
      </c>
      <c r="P12" s="1">
        <v>6</v>
      </c>
      <c r="Q12" s="1">
        <f>计算主页!$R$16</f>
        <v>8</v>
      </c>
      <c r="R12" s="1" cm="1">
        <f ca="1" t="array" ref="R12">_xlfn.XLOOKUP(B12,装备名称,装备品级)</f>
        <v>41400</v>
      </c>
      <c r="T12" s="1" t="str" cm="1">
        <f ca="1" t="array" ref="T12">_xlfn.XLOOKUP(B12,装备名称,装备套装)</f>
        <v>无</v>
      </c>
      <c r="V12" s="1">
        <v>10</v>
      </c>
      <c r="W12" s="1">
        <v>0.185</v>
      </c>
      <c r="AE12" s="1" t="s">
        <v>43</v>
      </c>
      <c r="AF12" s="1">
        <v>1</v>
      </c>
      <c r="AJ12" s="1" t="s">
        <v>83</v>
      </c>
      <c r="AK12" s="1" t="b">
        <f>COUNTIF(计算主页!$P$28:$R$28,AJ12)&gt;0</f>
        <v>1</v>
      </c>
    </row>
    <row r="13" spans="1:37">
      <c r="A13" s="12" t="s">
        <v>64</v>
      </c>
      <c r="B13" s="1" t="str">
        <f>计算主页!H21</f>
        <v>照梦枝(会心 破防 加速 39750)</v>
      </c>
      <c r="C13" s="1" cm="1">
        <f ca="1" t="array" ref="C13:P13">_xlfn.LET(_xlpm.数值,_xlfn.XLOOKUP(B13,装备名称,装备数据),_xlpm.是否字符,ISERROR(VALUE(_xlpm.数值)),IF(_xlpm.是否字符,_xlpm.数值,VALUE(_xlpm.数值)))</f>
        <v>29097</v>
      </c>
      <c r="D13" s="1">
        <v>2373</v>
      </c>
      <c r="E13" s="1">
        <v>13201</v>
      </c>
      <c r="F13" s="1">
        <v>13888</v>
      </c>
      <c r="G13" s="1">
        <v>0</v>
      </c>
      <c r="H13" s="1">
        <v>14549</v>
      </c>
      <c r="I13" s="1">
        <v>7274</v>
      </c>
      <c r="J13" s="1">
        <v>0</v>
      </c>
      <c r="K13" s="1">
        <v>0</v>
      </c>
      <c r="L13" s="1">
        <v>0</v>
      </c>
      <c r="M13" s="1" t="str">
        <v>攻击</v>
      </c>
      <c r="N13" s="1" t="str">
        <v>根骨</v>
      </c>
      <c r="O13" s="1" t="str">
        <v>破防</v>
      </c>
      <c r="P13" s="1">
        <v>8</v>
      </c>
      <c r="Q13" s="1">
        <f>计算主页!$R$16</f>
        <v>8</v>
      </c>
      <c r="R13" s="1" cm="1">
        <f ca="1" t="array" ref="R13">_xlfn.XLOOKUP(B13,装备名称,装备品级)</f>
        <v>39750</v>
      </c>
      <c r="T13" s="1" t="str" cm="1">
        <f ca="1" t="array" ref="T13">_xlfn.XLOOKUP(B13,装备名称,装备套装)</f>
        <v>小橙武</v>
      </c>
      <c r="V13" s="1" t="str">
        <f ca="1">"装分 "&amp;V15</f>
        <v>装分 820991</v>
      </c>
      <c r="Y13" s="1" t="s">
        <v>615</v>
      </c>
      <c r="Z13" s="1" t="s">
        <v>616</v>
      </c>
      <c r="AE13" s="1" t="s">
        <v>50</v>
      </c>
      <c r="AF13" s="1">
        <v>0.499987208881165</v>
      </c>
      <c r="AJ13" s="1" t="s">
        <v>82</v>
      </c>
      <c r="AK13" s="1" t="b">
        <f>COUNTIF(计算主页!$P$28:$R$28,AJ13)&gt;0</f>
        <v>1</v>
      </c>
    </row>
    <row r="14" spans="1:37">
      <c r="U14" s="1" t="s">
        <v>19</v>
      </c>
      <c r="V14" s="1" t="s">
        <v>12</v>
      </c>
      <c r="W14" s="1" t="s">
        <v>617</v>
      </c>
      <c r="X14" s="1" t="s">
        <v>445</v>
      </c>
      <c r="Y14" s="1" t="s">
        <v>88</v>
      </c>
      <c r="Z14" s="1" t="s">
        <v>618</v>
      </c>
      <c r="AE14" s="1" t="s">
        <v>54</v>
      </c>
      <c r="AF14" s="1">
        <v>0.499987208881165</v>
      </c>
      <c r="AJ14" s="1" t="s">
        <v>435</v>
      </c>
      <c r="AK14" s="1" t="b">
        <f>COUNTIF(计算主页!$P$28:$R$28,AJ14)&gt;0</f>
        <v>0</v>
      </c>
    </row>
    <row r="15" spans="1:37">
      <c r="A15" s="1" t="s">
        <v>59</v>
      </c>
      <c r="U15" s="1" t="s">
        <v>619</v>
      </c>
      <c r="V15" s="1">
        <f ca="1">I56</f>
        <v>820991</v>
      </c>
      <c r="W15" s="1">
        <f>计算主页!$L$41</f>
        <v>800000</v>
      </c>
      <c r="X15" s="1">
        <f>计算主页!$L$41</f>
        <v>800000</v>
      </c>
      <c r="Y15" s="1">
        <f>计算主页!$L$41</f>
        <v>800000</v>
      </c>
      <c r="Z15" s="1" cm="1">
        <f ca="1" t="array" ref="Z15">_xlfn.XLOOKUP($Z$26,$V$26:$Y$26,V15:Y15)</f>
        <v>820991</v>
      </c>
      <c r="AE15" s="1" t="s">
        <v>56</v>
      </c>
      <c r="AF15" s="1">
        <v>0.499987208881165</v>
      </c>
      <c r="AJ15" s="1" t="s">
        <v>620</v>
      </c>
      <c r="AK15" s="1" t="b">
        <f>COUNTIF(计算主页!$P$28:$R$28,AJ15)&gt;0</f>
        <v>0</v>
      </c>
    </row>
    <row r="16" spans="1:37">
      <c r="A16" s="12" t="s">
        <v>22</v>
      </c>
      <c r="B16" s="1" t="str">
        <f t="shared" ref="B16:B27" si="0">B2</f>
        <v>玄阙帽·校服(破防 无双 41400)</v>
      </c>
      <c r="C16" s="1" cm="1">
        <f ca="1" t="array" ref="C16:L16">ROUND(C2:L2*SUMIFS($W$2:$W$12,$V$2:$V$12,MIN(P2,计算主页!$R$19)),0)</f>
        <v>1534</v>
      </c>
      <c r="D16" s="1">
        <v>125</v>
      </c>
      <c r="E16" s="1">
        <v>316</v>
      </c>
      <c r="F16" s="1">
        <v>0</v>
      </c>
      <c r="G16" s="1">
        <v>0</v>
      </c>
      <c r="H16" s="1">
        <v>1046</v>
      </c>
      <c r="I16" s="1">
        <v>0</v>
      </c>
      <c r="J16" s="1">
        <v>0</v>
      </c>
      <c r="K16" s="1">
        <v>837</v>
      </c>
      <c r="L16" s="1">
        <v>0</v>
      </c>
      <c r="U16" s="1" t="s">
        <v>145</v>
      </c>
      <c r="V16" s="1">
        <f ca="1">(常更新数据!AE20+C51)</f>
        <v>219216</v>
      </c>
      <c r="Z16" s="1" cm="1">
        <f ca="1" t="array" ref="Z16">_xlfn.XLOOKUP($Z$26,$V$26:$Y$26,V16:Y16)</f>
        <v>219216</v>
      </c>
      <c r="AE16" s="1" t="s">
        <v>61</v>
      </c>
      <c r="AF16" s="1">
        <v>0.599983226614409</v>
      </c>
    </row>
    <row r="17" spans="1:39">
      <c r="A17" s="12" t="s">
        <v>27</v>
      </c>
      <c r="B17" s="1" t="str">
        <f t="shared" si="0"/>
        <v>玄阙衣·校服(加速 无双 41400)</v>
      </c>
      <c r="C17" s="1" cm="1">
        <f ca="1" t="array" ref="C17:L17">ROUND(C3:L3*SUMIFS($W$2:$W$12,$V$2:$V$12,MIN(P3,计算主页!$R$19)),0)</f>
        <v>1705</v>
      </c>
      <c r="D17" s="1">
        <v>139</v>
      </c>
      <c r="E17" s="1">
        <v>351</v>
      </c>
      <c r="F17" s="1">
        <v>0</v>
      </c>
      <c r="G17" s="1">
        <v>0</v>
      </c>
      <c r="H17" s="1">
        <v>0</v>
      </c>
      <c r="I17" s="1">
        <v>1162</v>
      </c>
      <c r="J17" s="1">
        <v>0</v>
      </c>
      <c r="K17" s="1">
        <v>930</v>
      </c>
      <c r="L17" s="1">
        <v>0</v>
      </c>
      <c r="U17" s="1" t="s">
        <v>227</v>
      </c>
      <c r="V17" s="1">
        <f ca="1">FLOOR((常更新数据!AE11+V16*常更新数据!AE7)*(1+常更新数据!AE8),1)</f>
        <v>2917767</v>
      </c>
      <c r="X17" s="1">
        <f>魔盒API调用!B11</f>
        <v>1887486</v>
      </c>
      <c r="Y17" s="57" t="str">
        <f>IFERROR(MID(计算主页!H43,FIND(魔盒API调用!A11,计算主页!H43)+LEN(魔盒API调用!A11)+2,FIND(",",计算主页!H43,FIND(魔盒API调用!A11,计算主页!H43)+LEN(魔盒API调用!A11)+2)-FIND(魔盒API调用!A11,计算主页!H43)-LEN(魔盒API调用!A11)-2),"")</f>
        <v>1887486</v>
      </c>
      <c r="Z17" s="1">
        <f ca="1" t="array" ref="Z17">_xlfn.XLOOKUP($Z$26,$V$26:$Y$26,V17:Y17)</f>
        <v>2917767</v>
      </c>
      <c r="AE17" s="1" t="s">
        <v>64</v>
      </c>
      <c r="AF17" s="1">
        <v>1</v>
      </c>
    </row>
    <row r="18" spans="1:39">
      <c r="A18" s="12" t="s">
        <v>33</v>
      </c>
      <c r="B18" s="1" t="str">
        <f t="shared" si="0"/>
        <v>玄阙腰·校服(会心 无双 41400)</v>
      </c>
      <c r="C18" s="1" cm="1">
        <f ca="1" t="array" ref="C18:L18">ROUND(C4:L4*SUMIFS($W$2:$W$12,$V$2:$V$12,MIN(P4,计算主页!$R$19)),0)</f>
        <v>1193</v>
      </c>
      <c r="D18" s="1">
        <v>97</v>
      </c>
      <c r="E18" s="1">
        <v>246</v>
      </c>
      <c r="F18" s="1">
        <v>814</v>
      </c>
      <c r="G18" s="1">
        <v>0</v>
      </c>
      <c r="H18" s="1">
        <v>0</v>
      </c>
      <c r="I18" s="1">
        <v>0</v>
      </c>
      <c r="J18" s="1">
        <v>0</v>
      </c>
      <c r="K18" s="1">
        <v>651</v>
      </c>
      <c r="L18" s="1">
        <v>0</v>
      </c>
      <c r="U18" s="1" t="s">
        <v>91</v>
      </c>
      <c r="V18" s="1">
        <f ca="1">D51+常更新数据!AE12</f>
        <v>12876</v>
      </c>
      <c r="W18" s="61">
        <f>计算主页!F35</f>
        <v>11152</v>
      </c>
      <c r="X18" s="61">
        <f>魔盒API调用!B6</f>
        <v>7872</v>
      </c>
      <c r="Y18" s="62" t="str">
        <f>IFERROR(MID(计算主页!H43,FIND("Spirit",计算主页!H43)+8,FIND(",",计算主页!H43,FIND("Spirit",计算主页!H43)+8)-FIND("Spirit",计算主页!H43)-8),"")</f>
        <v>7872</v>
      </c>
      <c r="Z18" s="1">
        <f ca="1" t="array" ref="Z18">_xlfn.XLOOKUP($Z$26,$V$26:$Y$26,V18:Y18)</f>
        <v>12876</v>
      </c>
    </row>
    <row r="19" spans="1:39">
      <c r="A19" s="12" t="s">
        <v>38</v>
      </c>
      <c r="B19" s="1" t="str">
        <f t="shared" si="0"/>
        <v>寒鸦啼血•特效(会心 会效 无双 41400)</v>
      </c>
      <c r="C19" s="1" cm="1">
        <f ca="1" t="array" ref="C19:L19">ROUND(C5:L5*SUMIFS($W$2:$W$12,$V$2:$V$12,MIN(P5,计算主页!$R$19)),0)</f>
        <v>1193</v>
      </c>
      <c r="D19" s="1">
        <v>0</v>
      </c>
      <c r="E19" s="1">
        <v>475</v>
      </c>
      <c r="F19" s="1">
        <v>976</v>
      </c>
      <c r="G19" s="1">
        <v>407</v>
      </c>
      <c r="H19" s="1">
        <v>0</v>
      </c>
      <c r="I19" s="1">
        <v>0</v>
      </c>
      <c r="J19" s="1">
        <v>0</v>
      </c>
      <c r="K19" s="1">
        <v>407</v>
      </c>
      <c r="L19" s="1">
        <v>0</v>
      </c>
      <c r="U19" s="1" t="s">
        <v>95</v>
      </c>
      <c r="V19" s="1">
        <f ca="1">E51+常更新数据!AE13</f>
        <v>78402</v>
      </c>
      <c r="W19" s="61">
        <f>计算主页!F36+IF(AA4,常更新数据!K4,0)+IF(AA5,常更新数据!K5,0)</f>
        <v>72063</v>
      </c>
      <c r="X19" s="63">
        <f>魔盒API调用!B56</f>
        <v>45976</v>
      </c>
      <c r="Y19" s="62" t="str">
        <f>IFERROR(MID(计算主页!H43,FIND("LunarAttackPowerBase",计算主页!H43)+22,FIND(",",计算主页!H43,FIND("LunarAttackPowerBase",计算主页!H43)+22)-FIND("LunarAttackPowerBase",计算主页!H43)-22),"")</f>
        <v>45976</v>
      </c>
      <c r="Z19" s="1">
        <f ca="1" t="array" ref="Z19">_xlfn.XLOOKUP($Z$26,$V$26:$Y$26,V19:Y19)</f>
        <v>78402</v>
      </c>
      <c r="AE19" s="4" t="s">
        <v>581</v>
      </c>
      <c r="AF19" s="1" t="s">
        <v>621</v>
      </c>
      <c r="AI19" s="1" t="s">
        <v>622</v>
      </c>
      <c r="AJ19" s="1" t="s">
        <v>623</v>
      </c>
      <c r="AK19" s="1" t="b">
        <f>TRUE()</f>
        <v>1</v>
      </c>
      <c r="AL19" s="1" t="s">
        <v>624</v>
      </c>
    </row>
    <row r="20" spans="1:39">
      <c r="A20" s="12" t="s">
        <v>43</v>
      </c>
      <c r="B20" s="1" t="str">
        <f t="shared" si="0"/>
        <v>秋映月•特效(会心 破招 破防 无双 41400)</v>
      </c>
      <c r="C20" s="1" cm="1">
        <f ca="1" t="array" ref="C20:L20">ROUND(C6:L6*SUMIFS($W$2:$W$12,$V$2:$V$12,MIN(P6,计算主页!$R$19)),0)</f>
        <v>1705</v>
      </c>
      <c r="D20" s="1">
        <v>0</v>
      </c>
      <c r="E20" s="1">
        <v>550</v>
      </c>
      <c r="F20" s="1">
        <v>775</v>
      </c>
      <c r="G20" s="1">
        <v>0</v>
      </c>
      <c r="H20" s="1">
        <v>775</v>
      </c>
      <c r="I20" s="1">
        <v>0</v>
      </c>
      <c r="J20" s="1">
        <v>775</v>
      </c>
      <c r="K20" s="1">
        <v>775</v>
      </c>
      <c r="L20" s="1">
        <v>0</v>
      </c>
      <c r="U20" s="1" t="s">
        <v>98</v>
      </c>
      <c r="V20" s="23">
        <f ca="1">(F51+V18*常更新数据!AE6)/常更新数据!AE32</f>
        <v>0.560717035148683</v>
      </c>
      <c r="W20" s="64">
        <f>计算主页!F37</f>
        <v>0.476</v>
      </c>
      <c r="X20" s="64">
        <f>魔盒API调用!B75</f>
        <v>0.140862809365564</v>
      </c>
      <c r="Y20" s="65" t="str">
        <f>IFERROR(ROUND(MID(计算主页!H43,FIND("LunarCriticalStrikeRate",计算主页!H43)+25,FIND(",",计算主页!H43,FIND("LunarCriticalStrikeRate",计算主页!H43)+25)-FIND("LunarCriticalStrikeRate",计算主页!H43)-25)*10000,0)/100&amp;"%","")</f>
        <v>14.09%</v>
      </c>
      <c r="Z20" s="23">
        <f ca="1" t="array" ref="Z20">_xlfn.XLOOKUP($Z$26,$V$26:$Y$26,V20:Y20)</f>
        <v>0.560717035148683</v>
      </c>
      <c r="AE20" s="1" t="s">
        <v>625</v>
      </c>
      <c r="AF20" s="1">
        <v>1.8</v>
      </c>
      <c r="AI20" s="1" t="s">
        <v>626</v>
      </c>
      <c r="AJ20" s="1" t="s">
        <v>627</v>
      </c>
      <c r="AK20" s="1" t="b">
        <f t="shared" ref="AK20:AK27" si="1">TRUE()</f>
        <v>1</v>
      </c>
      <c r="AL20" s="1" t="s">
        <v>628</v>
      </c>
    </row>
    <row r="21" spans="1:39">
      <c r="A21" s="12" t="s">
        <v>45</v>
      </c>
      <c r="B21" s="1" t="str">
        <f t="shared" si="0"/>
        <v>玄阙鞋·校服(破防 无双 41400)</v>
      </c>
      <c r="C21" s="1" cm="1">
        <f ca="1" t="array" ref="C21:L21">ROUND(C7:L7*SUMIFS($W$2:$W$12,$V$2:$V$12,MIN(P7,计算主页!$R$19)),0)</f>
        <v>1193</v>
      </c>
      <c r="D21" s="1">
        <v>97</v>
      </c>
      <c r="E21" s="1">
        <v>246</v>
      </c>
      <c r="F21" s="1">
        <v>0</v>
      </c>
      <c r="G21" s="1">
        <v>0</v>
      </c>
      <c r="H21" s="1">
        <v>814</v>
      </c>
      <c r="I21" s="1">
        <v>0</v>
      </c>
      <c r="J21" s="1">
        <v>0</v>
      </c>
      <c r="K21" s="1">
        <v>651</v>
      </c>
      <c r="L21" s="1">
        <v>0</v>
      </c>
      <c r="U21" s="1" t="s">
        <v>102</v>
      </c>
      <c r="V21" s="23">
        <f ca="1">G51/常更新数据!AE34+常更新数据!AE14</f>
        <v>2.064740226401</v>
      </c>
      <c r="W21" s="64">
        <f>计算主页!F38</f>
        <v>2.0333</v>
      </c>
      <c r="X21" s="64">
        <f>魔盒API调用!B89</f>
        <v>1.75</v>
      </c>
      <c r="Y21" s="62" t="str">
        <f>IFERROR(ROUND(MID(计算主页!H43,FIND("LunarCriticalDamagePowerPercent",计算主页!H43)+33,FIND(",",计算主页!H43,FIND("LunarCriticalDamagePowerPercent",计算主页!H43)+33)-FIND("LunarCriticalDamagePowerPercent",计算主页!H43)-33)*10000,0)/100&amp;"%","")</f>
        <v>175%</v>
      </c>
      <c r="Z21" s="23">
        <f ca="1" t="array" ref="Z21">_xlfn.XLOOKUP($Z$26,$V$26:$Y$26,V21:Y21)</f>
        <v>2.064740226401</v>
      </c>
      <c r="AE21" s="1" t="s">
        <v>629</v>
      </c>
      <c r="AF21" s="1">
        <v>2.16</v>
      </c>
      <c r="AJ21" s="1" t="s">
        <v>630</v>
      </c>
      <c r="AK21" s="1" t="b">
        <f t="shared" si="1"/>
        <v>1</v>
      </c>
      <c r="AL21" s="1" t="s">
        <v>628</v>
      </c>
    </row>
    <row r="22" spans="1:39">
      <c r="A22" s="12" t="s">
        <v>50</v>
      </c>
      <c r="B22" s="1" t="str">
        <f t="shared" si="0"/>
        <v>神藏链(破防 无双 41400)</v>
      </c>
      <c r="C22" s="1" cm="1">
        <f ca="1" t="array" ref="C22:L22">ROUND(C8:L8*SUMIFS($W$2:$W$12,$V$2:$V$12,MIN(P8,计算主页!$R$19)),0)</f>
        <v>852</v>
      </c>
      <c r="D22" s="1">
        <v>70</v>
      </c>
      <c r="E22" s="1">
        <v>176</v>
      </c>
      <c r="F22" s="1">
        <v>0</v>
      </c>
      <c r="G22" s="1">
        <v>0</v>
      </c>
      <c r="H22" s="1">
        <v>581</v>
      </c>
      <c r="I22" s="1">
        <v>0</v>
      </c>
      <c r="J22" s="1">
        <v>0</v>
      </c>
      <c r="K22" s="1">
        <v>465</v>
      </c>
      <c r="L22" s="1">
        <v>0</v>
      </c>
      <c r="U22" s="1" t="s">
        <v>24</v>
      </c>
      <c r="V22" s="1">
        <f ca="1">I51</f>
        <v>32213</v>
      </c>
      <c r="W22" s="61">
        <f>计算主页!F39</f>
        <v>37029</v>
      </c>
      <c r="X22" s="63">
        <f>魔盒API调用!B3</f>
        <v>10422</v>
      </c>
      <c r="Y22" s="66">
        <f>VALUE(IFERROR(MID(计算主页!H43,FIND(Z13,计算主页!H43)+7,FIND(",",计算主页!H43,FIND(Z13,计算主页!H43)+7)-FIND(Z13,计算主页!H43)-7),""))</f>
        <v>10422</v>
      </c>
      <c r="Z22" s="1">
        <f ca="1" t="array" ref="Z22">_xlfn.XLOOKUP($Z$26,$V$26:$Y$26,V22:Y22)</f>
        <v>32213</v>
      </c>
      <c r="AE22" s="1" t="s">
        <v>631</v>
      </c>
      <c r="AF22" s="1">
        <f>3/1.25</f>
        <v>2.4</v>
      </c>
      <c r="AJ22" s="1" t="s">
        <v>632</v>
      </c>
      <c r="AK22" s="1" t="b">
        <f t="shared" si="1"/>
        <v>1</v>
      </c>
      <c r="AL22" s="1" t="s">
        <v>628</v>
      </c>
    </row>
    <row r="23" spans="1:39">
      <c r="A23" s="12" t="s">
        <v>54</v>
      </c>
      <c r="B23" s="1" t="str">
        <f t="shared" si="0"/>
        <v>雨夜禅·橙•特效(破防 无双 37900)</v>
      </c>
      <c r="C23" s="1" cm="1">
        <f ca="1" t="array" ref="C23:L23">ROUND(C9:L9*SUMIFS($W$2:$W$12,$V$2:$V$12,MIN(P9,计算主页!$R$19)),0)</f>
        <v>1433</v>
      </c>
      <c r="D23" s="1">
        <v>117</v>
      </c>
      <c r="E23" s="1">
        <v>295</v>
      </c>
      <c r="F23" s="1">
        <v>0</v>
      </c>
      <c r="G23" s="1">
        <v>0</v>
      </c>
      <c r="H23" s="1">
        <v>977</v>
      </c>
      <c r="I23" s="1">
        <v>0</v>
      </c>
      <c r="J23" s="1">
        <v>0</v>
      </c>
      <c r="K23" s="1">
        <v>782</v>
      </c>
      <c r="L23" s="1">
        <v>0</v>
      </c>
      <c r="U23" s="1" t="s">
        <v>32</v>
      </c>
      <c r="V23" s="23">
        <f ca="1">(H51+常更新数据!AE15)/常更新数据!AE33</f>
        <v>0.369370182724547</v>
      </c>
      <c r="W23" s="64">
        <f>计算主页!F40+(IF(AA2,常更新数据!K2,0)+IF(AA3,常更新数据!K3,0))/常更新数据!AE33</f>
        <v>0.1282</v>
      </c>
      <c r="X23" s="64">
        <f>魔盒API调用!B57</f>
        <v>0.204463138217081</v>
      </c>
      <c r="Y23" s="67">
        <f>IFERROR(MID(计算主页!H43,FIND("LunarOvercomePercent",计算主页!H43)+22,FIND(",",计算主页!H43,FIND("LunarOvercomePercent",计算主页!H43)+22)-FIND("LunarOvercomePercent",计算主页!H43)-22)*1,"")</f>
        <v>0.204463138217081</v>
      </c>
      <c r="Z23" s="23" cm="1">
        <f ca="1" t="array" ref="Z23">_xlfn.XLOOKUP($Z$26,$V$26:$Y$26,V23:Y23)</f>
        <v>0.369370182724547</v>
      </c>
      <c r="AE23" s="1" t="s">
        <v>633</v>
      </c>
      <c r="AF23" s="1">
        <v>2</v>
      </c>
      <c r="AJ23" s="1" t="s">
        <v>634</v>
      </c>
      <c r="AK23" s="1" t="b">
        <f t="shared" si="1"/>
        <v>1</v>
      </c>
      <c r="AL23" s="1" t="s">
        <v>628</v>
      </c>
    </row>
    <row r="24" spans="1:39">
      <c r="A24" s="12" t="s">
        <v>56</v>
      </c>
      <c r="B24" s="1" t="str">
        <f t="shared" si="0"/>
        <v>梦冷星•特效(会心 会效 无双 41400)</v>
      </c>
      <c r="C24" s="1" cm="1">
        <f ca="1" t="array" ref="C24:L24">ROUND(C10:L10*SUMIFS($W$2:$W$12,$V$2:$V$12,MIN(P10,计算主页!$R$19)),0)</f>
        <v>852</v>
      </c>
      <c r="D24" s="1">
        <v>0</v>
      </c>
      <c r="E24" s="1">
        <v>340</v>
      </c>
      <c r="F24" s="1">
        <v>697</v>
      </c>
      <c r="G24" s="1">
        <v>291</v>
      </c>
      <c r="H24" s="1">
        <v>0</v>
      </c>
      <c r="I24" s="1">
        <v>0</v>
      </c>
      <c r="J24" s="1">
        <v>0</v>
      </c>
      <c r="K24" s="1">
        <v>291</v>
      </c>
      <c r="L24" s="1">
        <v>0</v>
      </c>
      <c r="U24" s="1" t="s">
        <v>37</v>
      </c>
      <c r="V24" s="23">
        <f ca="1">K51/常更新数据!AE35</f>
        <v>0.788025788025788</v>
      </c>
      <c r="W24" s="64">
        <f>计算主页!F41</f>
        <v>0.749</v>
      </c>
      <c r="X24" s="64">
        <f>魔盒API调用!B27</f>
        <v>0.696308196308196</v>
      </c>
      <c r="Y24" s="65">
        <f>IFERROR(MID(计算主页!H43,FIND("StrainPercent",计算主页!H43)+15,FIND(",",计算主页!H43,FIND("StrainPercent",计算主页!H43)+15)-FIND("StrainPercent",计算主页!H43)-15)*1,"")</f>
        <v>0.696308196308196</v>
      </c>
      <c r="Z24" s="23">
        <f ca="1" t="array" ref="Z24">_xlfn.XLOOKUP($Z$26,$V$26:$Y$26,V24:Y24)</f>
        <v>0.788025788025788</v>
      </c>
      <c r="AI24" s="1" t="s">
        <v>635</v>
      </c>
      <c r="AJ24" s="1" t="s">
        <v>636</v>
      </c>
    </row>
    <row r="25" spans="1:39">
      <c r="A25" s="12" t="s">
        <v>56</v>
      </c>
      <c r="B25" s="1" t="str">
        <f t="shared" si="0"/>
        <v>梦冷星•特效(会心 会效 无双 41400)</v>
      </c>
      <c r="C25" s="1" cm="1">
        <f ca="1" t="array" ref="C25:L25">ROUND(C11:L11*SUMIFS($W$2:$W$12,$V$2:$V$12,MIN(P11,计算主页!$R$19)),0)</f>
        <v>852</v>
      </c>
      <c r="D25" s="1">
        <v>0</v>
      </c>
      <c r="E25" s="1">
        <v>340</v>
      </c>
      <c r="F25" s="1">
        <v>697</v>
      </c>
      <c r="G25" s="1">
        <v>291</v>
      </c>
      <c r="H25" s="1">
        <v>0</v>
      </c>
      <c r="I25" s="1">
        <v>0</v>
      </c>
      <c r="J25" s="1">
        <v>0</v>
      </c>
      <c r="K25" s="1">
        <v>291</v>
      </c>
      <c r="L25" s="1">
        <v>0</v>
      </c>
      <c r="U25" s="1" t="s">
        <v>110</v>
      </c>
      <c r="V25" s="1">
        <f ca="1">J51</f>
        <v>13740</v>
      </c>
      <c r="W25" s="61">
        <f>计算主页!F42</f>
        <v>25061</v>
      </c>
      <c r="X25" s="63">
        <f>魔盒API调用!B21</f>
        <v>56029</v>
      </c>
      <c r="Y25" s="62" t="str">
        <f>IFERROR(MID(计算主页!H43,FIND("SurplusValue",计算主页!H43)+14,FIND(",",计算主页!H43,FIND("SurplusValue",计算主页!H43)+14)-FIND("SurplusValue",计算主页!H43)-14),"")</f>
        <v>56029</v>
      </c>
      <c r="Z25" s="1" cm="1">
        <f ca="1" t="array" ref="Z25">_xlfn.XLOOKUP($Z$26,$V$26:$Y$26,V25:Y25)</f>
        <v>13740</v>
      </c>
      <c r="AI25" s="1" t="s">
        <v>127</v>
      </c>
      <c r="AJ25" s="1" t="s">
        <v>637</v>
      </c>
      <c r="AK25" s="1" t="b">
        <f t="shared" si="1"/>
        <v>1</v>
      </c>
    </row>
    <row r="26" spans="1:39">
      <c r="A26" s="12" t="s">
        <v>61</v>
      </c>
      <c r="B26" s="1" t="str">
        <f t="shared" si="0"/>
        <v>玄脉囊(会心 无双 41400)</v>
      </c>
      <c r="C26" s="1" cm="1">
        <f ca="1" t="array" ref="C26:L26">ROUND(C12:L12*SUMIFS($W$2:$W$12,$V$2:$V$12,MIN(P12,计算主页!$R$19)),0)</f>
        <v>1023</v>
      </c>
      <c r="D26" s="1">
        <v>83</v>
      </c>
      <c r="E26" s="1">
        <v>211</v>
      </c>
      <c r="F26" s="1">
        <v>697</v>
      </c>
      <c r="G26" s="1">
        <v>0</v>
      </c>
      <c r="H26" s="1">
        <v>0</v>
      </c>
      <c r="I26" s="1">
        <v>0</v>
      </c>
      <c r="J26" s="1">
        <v>0</v>
      </c>
      <c r="K26" s="1">
        <v>558</v>
      </c>
      <c r="L26" s="1">
        <v>0</v>
      </c>
      <c r="Q26" s="34"/>
      <c r="U26" s="1" t="s">
        <v>638</v>
      </c>
      <c r="V26" s="1">
        <v>4</v>
      </c>
      <c r="W26" s="1">
        <v>1</v>
      </c>
      <c r="X26" s="1">
        <v>2</v>
      </c>
      <c r="Y26" s="1">
        <v>3</v>
      </c>
      <c r="Z26" s="68" cm="1">
        <f t="array" ref="Z26">_xlfn.IFS(计算主页!K6=V14,4,计算主页!K6=W14,1,计算主页!K6=Y14,3)</f>
        <v>4</v>
      </c>
      <c r="AA26" s="69"/>
      <c r="AJ26" s="1" t="s">
        <v>639</v>
      </c>
      <c r="AK26" s="1" t="b">
        <f t="shared" si="1"/>
        <v>1</v>
      </c>
      <c r="AL26" s="1" t="s">
        <v>640</v>
      </c>
      <c r="AM26" s="1" t="b">
        <f>FALSE()</f>
        <v>0</v>
      </c>
    </row>
    <row r="27" spans="1:39">
      <c r="A27" s="12" t="s">
        <v>64</v>
      </c>
      <c r="B27" s="1" t="str">
        <f t="shared" si="0"/>
        <v>照梦枝(会心 破防 加速 39750)</v>
      </c>
      <c r="C27" s="1" cm="1">
        <f ca="1" t="array" ref="C27:L27">ROUND(C13:L13*SUMIFS($W$2:$W$12,$V$2:$V$12,MIN(P13,计算主页!$R$19)),0)</f>
        <v>3608</v>
      </c>
      <c r="D27" s="1">
        <v>294</v>
      </c>
      <c r="E27" s="1">
        <v>1637</v>
      </c>
      <c r="F27" s="1">
        <v>1722</v>
      </c>
      <c r="G27" s="1">
        <v>0</v>
      </c>
      <c r="H27" s="1">
        <v>1804</v>
      </c>
      <c r="I27" s="1">
        <v>902</v>
      </c>
      <c r="J27" s="1">
        <v>0</v>
      </c>
      <c r="K27" s="1">
        <v>0</v>
      </c>
      <c r="L27" s="1">
        <v>0</v>
      </c>
      <c r="AJ27" s="1" t="s">
        <v>641</v>
      </c>
      <c r="AK27" s="1" t="b">
        <f t="shared" si="1"/>
        <v>1</v>
      </c>
    </row>
    <row r="28" spans="1:39">
      <c r="AJ28" s="1" t="s">
        <v>642</v>
      </c>
      <c r="AK28" s="1" t="b">
        <f>AJ24=AJ28</f>
        <v>0</v>
      </c>
    </row>
    <row r="29" spans="1:39">
      <c r="A29" s="1" t="s">
        <v>126</v>
      </c>
      <c r="AJ29" s="1" t="s">
        <v>636</v>
      </c>
      <c r="AK29" s="1" t="b">
        <f>AJ24=AJ29</f>
        <v>1</v>
      </c>
    </row>
    <row r="30" spans="1:39">
      <c r="A30" s="12" t="s">
        <v>22</v>
      </c>
      <c r="B30" s="1" t="str">
        <f t="shared" ref="B30:B41" si="2">B2</f>
        <v>玄阙帽·校服(破防 无双 41400)</v>
      </c>
      <c r="D30" s="1" cm="1">
        <f ca="1" t="array" ref="D30">IF(OR(D1=$M$2:$O$2),_xlfn.XLOOKUP($Q$2,常更新数据!$R$2:$R$4,常更新数据!$S$2:$S$4),0)</f>
        <v>168</v>
      </c>
      <c r="E30" s="1">
        <f ca="1">IF(OR($E$1=M2,$E$1=N2,$E$1=O2),SUMIFS(常更新数据!$T$2:$T$4,常更新数据!$R$2:$R$4,Q2),0)</f>
        <v>0</v>
      </c>
      <c r="F30" s="1">
        <f ca="1">IF(OR($F$1=M2,$F$1=N2,$F$1=O2),SUMIFS(常更新数据!$U$2:$U$4,常更新数据!$R$2:$R$4,Q2),0)</f>
        <v>0</v>
      </c>
      <c r="G30" s="1">
        <f ca="1">IF(OR($G$1=M2,$G$1=N2,$G$1=O2),SUMIFS(常更新数据!$V$2:$V$4,常更新数据!$R$2:$R$4,Q2),0)</f>
        <v>0</v>
      </c>
      <c r="H30" s="1">
        <f ca="1">IF(OR($H$1=M2,$H$1=N2,$H$1=O2),SUMIFS(常更新数据!$W$2:$W$4,常更新数据!$R$2:$R$4,Q2),0)</f>
        <v>1317</v>
      </c>
      <c r="J30" s="1">
        <f ca="1">IF(OR($J$1=M2,$J$1=N2,$J$1=O2),SUMIFS(常更新数据!$Y$2:$Y$4,常更新数据!$R$2:$R$4,Q2),0)</f>
        <v>0</v>
      </c>
      <c r="K30" s="1">
        <f ca="1">IF(OR($K$1=M2,$K$1=N2,$K$1=O2),SUMIFS(常更新数据!$Z$2:$Z$4,常更新数据!$R$2:$R$4,Q2),0)</f>
        <v>0</v>
      </c>
      <c r="L30" s="1">
        <f ca="1">IF(OR($L$1=M2,$L$1=N2,$L$1=O2),SUMIFS(常更新数据!$AA$2:$AA$4,常更新数据!$R$2:$R$4,Q2),0)</f>
        <v>0</v>
      </c>
    </row>
    <row r="31" spans="1:39">
      <c r="A31" s="12" t="s">
        <v>27</v>
      </c>
      <c r="B31" s="1" t="str">
        <f t="shared" si="2"/>
        <v>玄阙衣·校服(加速 无双 41400)</v>
      </c>
      <c r="D31" s="1">
        <f ca="1">IF(OR($D$1=M3,$D$1=N3,$D$1=O3),SUMIFS(常更新数据!$S$2:$S$4,常更新数据!$R$2:$R$4,Q3),0)</f>
        <v>0</v>
      </c>
      <c r="E31" s="1">
        <f ca="1">IF(OR($E$1=M3,$E$1=N3,$E$1=O3),SUMIFS(常更新数据!$T$2:$T$4,常更新数据!$R$2:$R$4,Q3),0)</f>
        <v>0</v>
      </c>
      <c r="F31" s="1">
        <f ca="1">IF(OR($F$1=M3,$F$1=N3,$F$1=O3),SUMIFS(常更新数据!$U$2:$U$4,常更新数据!$R$2:$R$4,Q3),0)</f>
        <v>1317</v>
      </c>
      <c r="G31" s="1">
        <f ca="1">IF(OR($G$1=M3,$G$1=N3,$G$1=O3),SUMIFS(常更新数据!$V$2:$V$4,常更新数据!$R$2:$R$4,Q3),0)</f>
        <v>0</v>
      </c>
      <c r="H31" s="1">
        <f ca="1">IF(OR($H$1=M3,$H$1=N3,$H$1=O3),SUMIFS(常更新数据!$W$2:$W$4,常更新数据!$R$2:$R$4,Q3),0)</f>
        <v>0</v>
      </c>
      <c r="J31" s="1">
        <f ca="1">IF(OR($J$1=M3,$J$1=N3,$J$1=O3),SUMIFS(常更新数据!$Y$2:$Y$4,常更新数据!$R$2:$R$4,Q3),0)</f>
        <v>1317</v>
      </c>
      <c r="K31" s="1">
        <f ca="1">IF(OR($K$1=M3,$K$1=N3,$K$1=O3),SUMIFS(常更新数据!$Z$2:$Z$4,常更新数据!$R$2:$R$4,Q3),0)</f>
        <v>0</v>
      </c>
      <c r="L31" s="1">
        <f ca="1">IF(OR($L$1=M3,$L$1=N3,$L$1=O3),SUMIFS(常更新数据!$AA$2:$AA$4,常更新数据!$R$2:$R$4,Q3),0)</f>
        <v>0</v>
      </c>
      <c r="U31" s="1" t="s">
        <v>89</v>
      </c>
    </row>
    <row r="32" spans="1:39">
      <c r="A32" s="12" t="s">
        <v>33</v>
      </c>
      <c r="B32" s="1" t="str">
        <f t="shared" si="2"/>
        <v>玄阙腰·校服(会心 无双 41400)</v>
      </c>
      <c r="D32" s="1">
        <f ca="1">IF(OR($D$1=M4,$D$1=N4,$D$1=O4),SUMIFS(常更新数据!$S$2:$S$4,常更新数据!$R$2:$R$4,Q4),0)</f>
        <v>0</v>
      </c>
      <c r="E32" s="1">
        <f ca="1">IF(OR($E$1=M4,$E$1=N4,$E$1=O4),SUMIFS(常更新数据!$T$2:$T$4,常更新数据!$R$2:$R$4,Q4),0)</f>
        <v>398</v>
      </c>
      <c r="F32" s="1">
        <f ca="1">IF(OR($F$1=M4,$F$1=N4,$F$1=O4),SUMIFS(常更新数据!$U$2:$U$4,常更新数据!$R$2:$R$4,Q4),0)</f>
        <v>1317</v>
      </c>
      <c r="G32" s="1">
        <f ca="1">IF(OR($G$1=M4,$G$1=N4,$G$1=O4),SUMIFS(常更新数据!$V$2:$V$4,常更新数据!$R$2:$R$4,Q4),0)</f>
        <v>0</v>
      </c>
      <c r="H32" s="1">
        <f ca="1">IF(OR($H$1=M4,$H$1=N4,$H$1=O4),SUMIFS(常更新数据!$W$2:$W$4,常更新数据!$R$2:$R$4,Q4),0)</f>
        <v>0</v>
      </c>
      <c r="J32" s="1">
        <f ca="1">IF(OR($J$1=M4,$J$1=N4,$J$1=O4),SUMIFS(常更新数据!$Y$2:$Y$4,常更新数据!$R$2:$R$4,Q4),0)</f>
        <v>0</v>
      </c>
      <c r="K32" s="1">
        <f ca="1">IF(OR($K$1=M4,$K$1=N4,$K$1=O4),SUMIFS(常更新数据!$Z$2:$Z$4,常更新数据!$R$2:$R$4,Q4),0)</f>
        <v>0</v>
      </c>
      <c r="L32" s="1">
        <f ca="1">IF(OR($L$1=M4,$L$1=N4,$L$1=O4),SUMIFS(常更新数据!$AA$2:$AA$4,常更新数据!$R$2:$R$4,Q4),0)</f>
        <v>0</v>
      </c>
      <c r="U32" s="1" t="s">
        <v>369</v>
      </c>
      <c r="V32" s="1" t="b">
        <f ca="1">OR(COUNTIF(T2:T13,"校服")&gt;=4)</f>
        <v>1</v>
      </c>
      <c r="W32" s="60" t="b">
        <f>计算主页!L35="有"</f>
        <v>0</v>
      </c>
      <c r="X32" s="60"/>
      <c r="Y32" s="60"/>
      <c r="Z32" s="1" t="b">
        <f ca="1">IF($Z$26&lt;$V$26,W32,V32)</f>
        <v>1</v>
      </c>
      <c r="AI32" s="1" t="s">
        <v>128</v>
      </c>
    </row>
    <row r="33" spans="1:42">
      <c r="A33" s="12" t="s">
        <v>38</v>
      </c>
      <c r="B33" s="1" t="str">
        <f t="shared" si="2"/>
        <v>寒鸦啼血•特效(会心 会效 无双 41400)</v>
      </c>
      <c r="D33" s="1">
        <f ca="1">IF(OR($D$1=M5,$D$1=N5,$D$1=O5),SUMIFS(常更新数据!$S$2:$S$4,常更新数据!$R$2:$R$4,Q5),0)</f>
        <v>0</v>
      </c>
      <c r="E33" s="1">
        <f ca="1">IF(OR($E$1=M5,$E$1=N5,$E$1=O5),SUMIFS(常更新数据!$T$2:$T$4,常更新数据!$R$2:$R$4,Q5),0)</f>
        <v>0</v>
      </c>
      <c r="F33" s="1">
        <f ca="1">IF(OR($F$1=M5,$F$1=N5,$F$1=O5),SUMIFS(常更新数据!$U$2:$U$4,常更新数据!$R$2:$R$4,Q5),0)</f>
        <v>0</v>
      </c>
      <c r="G33" s="1">
        <f ca="1">IF(OR($G$1=M5,$G$1=N5,$G$1=O5),SUMIFS(常更新数据!$V$2:$V$4,常更新数据!$R$2:$R$4,Q5),0)</f>
        <v>0</v>
      </c>
      <c r="H33" s="1">
        <f ca="1">IF(OR($H$1=M5,$H$1=N5,$H$1=O5),SUMIFS(常更新数据!$W$2:$W$4,常更新数据!$R$2:$R$4,Q5),0)</f>
        <v>1317</v>
      </c>
      <c r="J33" s="1">
        <f ca="1">IF(OR($J$1=M5,$J$1=N5,$J$1=O5),SUMIFS(常更新数据!$Y$2:$Y$4,常更新数据!$R$2:$R$4,Q5),0)</f>
        <v>0</v>
      </c>
      <c r="K33" s="1">
        <f ca="1">IF(OR($K$1=M5,$K$1=N5,$K$1=O5),SUMIFS(常更新数据!$Z$2:$Z$4,常更新数据!$R$2:$R$4,Q5),0)</f>
        <v>1317</v>
      </c>
      <c r="L33" s="1">
        <f ca="1">IF(OR($L$1=M5,$L$1=N5,$L$1=O5),SUMIFS(常更新数据!$AA$2:$AA$4,常更新数据!$R$2:$R$4,Q5),0)</f>
        <v>0</v>
      </c>
      <c r="U33" s="1" t="s">
        <v>643</v>
      </c>
      <c r="V33" s="1" t="b">
        <f ca="1">OR(COUNTIF(T2:T13,"校服")&gt;=2)</f>
        <v>1</v>
      </c>
      <c r="AI33" s="12" t="s">
        <v>130</v>
      </c>
      <c r="AJ33" s="12" t="b">
        <v>1</v>
      </c>
      <c r="AK33" s="12" t="b">
        <v>1</v>
      </c>
      <c r="AL33" s="12" t="b">
        <v>1</v>
      </c>
      <c r="AM33" s="12"/>
      <c r="AN33" s="12"/>
      <c r="AO33" s="12"/>
    </row>
    <row r="34" spans="1:42">
      <c r="A34" s="12" t="s">
        <v>43</v>
      </c>
      <c r="B34" s="1" t="str">
        <f t="shared" si="2"/>
        <v>秋映月•特效(会心 破招 破防 无双 41400)</v>
      </c>
      <c r="D34" s="1">
        <f ca="1">IF(OR($D$1=M6,$D$1=N6,$D$1=O6),SUMIFS(常更新数据!$S$2:$S$4,常更新数据!$R$2:$R$4,Q6),0)</f>
        <v>0</v>
      </c>
      <c r="E34" s="1">
        <f ca="1">IF(OR($E$1=M6,$E$1=N6,$E$1=O6),SUMIFS(常更新数据!$T$2:$T$4,常更新数据!$R$2:$R$4,Q6),0)</f>
        <v>0</v>
      </c>
      <c r="F34" s="1">
        <f ca="1">IF(OR($F$1=M6,$F$1=N6,$F$1=O6),SUMIFS(常更新数据!$U$2:$U$4,常更新数据!$R$2:$R$4,Q6),0)</f>
        <v>1317</v>
      </c>
      <c r="G34" s="1">
        <f ca="1">IF(OR($G$1=M6,$G$1=N6,$G$1=O6),SUMIFS(常更新数据!$V$2:$V$4,常更新数据!$R$2:$R$4,Q6),0)</f>
        <v>0</v>
      </c>
      <c r="H34" s="1">
        <f ca="1">IF(OR($H$1=M6,$H$1=N6,$H$1=O6),SUMIFS(常更新数据!$W$2:$W$4,常更新数据!$R$2:$R$4,Q6),0)</f>
        <v>0</v>
      </c>
      <c r="J34" s="1">
        <f ca="1">IF(OR($J$1=M6,$J$1=N6,$J$1=O6),SUMIFS(常更新数据!$Y$2:$Y$4,常更新数据!$R$2:$R$4,Q6),0)</f>
        <v>1317</v>
      </c>
      <c r="K34" s="1">
        <f ca="1">IF(OR($K$1=M6,$K$1=N6,$K$1=O6),SUMIFS(常更新数据!$Z$2:$Z$4,常更新数据!$R$2:$R$4,Q6),0)</f>
        <v>0</v>
      </c>
      <c r="L34" s="1">
        <f ca="1">IF(OR($L$1=M6,$L$1=N6,$L$1=O6),SUMIFS(常更新数据!$AA$2:$AA$4,常更新数据!$R$2:$R$4,Q6),0)</f>
        <v>0</v>
      </c>
      <c r="U34" s="1" t="s">
        <v>644</v>
      </c>
      <c r="V34" s="1" t="b">
        <f ca="1" t="shared" ref="V34:V40" si="3">COUNTIF($T$2:$T$13,U34)=1</f>
        <v>0</v>
      </c>
      <c r="W34" s="60" t="b">
        <f>U34=计算主页!$N$40</f>
        <v>0</v>
      </c>
      <c r="X34" s="60"/>
      <c r="Y34" s="60"/>
      <c r="Z34" s="1" t="b">
        <f ca="1" t="shared" ref="Z34:Z40" si="4">IF($Z$26&lt;$V$26,W34,V34)</f>
        <v>0</v>
      </c>
      <c r="AI34" s="12" t="s">
        <v>137</v>
      </c>
      <c r="AJ34" s="12" t="b">
        <f>NOT(计算主页!K3="破气玳")</f>
        <v>1</v>
      </c>
      <c r="AK34" s="12" t="b">
        <v>1</v>
      </c>
      <c r="AL34" s="12" t="b">
        <v>1</v>
      </c>
      <c r="AM34" s="12" t="b">
        <v>1</v>
      </c>
      <c r="AN34" s="12" t="b">
        <v>0</v>
      </c>
      <c r="AO34" s="12">
        <f>IF(AJ34,1,0)+IF(AK34,1,0)+IF(AL34,1,0)+IF(AM34,1,0)+IF(AN34,1,0)</f>
        <v>4</v>
      </c>
      <c r="AP34" s="58" t="str">
        <f>IF(角色属性!AO34&gt;4,"(最多四本)","")</f>
        <v/>
      </c>
    </row>
    <row r="35" spans="1:42">
      <c r="A35" s="12" t="s">
        <v>45</v>
      </c>
      <c r="B35" s="1" t="str">
        <f t="shared" si="2"/>
        <v>玄阙鞋·校服(破防 无双 41400)</v>
      </c>
      <c r="D35" s="1">
        <f ca="1">IF(OR($D$1=M7,$D$1=N7,$D$1=O7),SUMIFS(常更新数据!$S$2:$S$4,常更新数据!$R$2:$R$4,Q7),0)</f>
        <v>0</v>
      </c>
      <c r="E35" s="1">
        <f ca="1">IF(OR($E$1=M7,$E$1=N7,$E$1=O7),SUMIFS(常更新数据!$T$2:$T$4,常更新数据!$R$2:$R$4,Q7),0)</f>
        <v>398</v>
      </c>
      <c r="F35" s="1">
        <f ca="1">IF(OR($F$1=M7,$F$1=N7,$F$1=O7),SUMIFS(常更新数据!$U$2:$U$4,常更新数据!$R$2:$R$4,Q7),0)</f>
        <v>0</v>
      </c>
      <c r="G35" s="1">
        <f ca="1">IF(OR($G$1=M7,$G$1=N7,$G$1=O7),SUMIFS(常更新数据!$V$2:$V$4,常更新数据!$R$2:$R$4,Q7),0)</f>
        <v>0</v>
      </c>
      <c r="H35" s="1">
        <f ca="1">IF(OR($H$1=M7,$H$1=N7,$H$1=O7),SUMIFS(常更新数据!$W$2:$W$4,常更新数据!$R$2:$R$4,Q7),0)</f>
        <v>1317</v>
      </c>
      <c r="J35" s="1">
        <f ca="1">IF(OR($J$1=M7,$J$1=N7,$J$1=O7),SUMIFS(常更新数据!$Y$2:$Y$4,常更新数据!$R$2:$R$4,Q7),0)</f>
        <v>0</v>
      </c>
      <c r="K35" s="1">
        <f ca="1">IF(OR($K$1=M7,$K$1=N7,$K$1=O7),SUMIFS(常更新数据!$Z$2:$Z$4,常更新数据!$R$2:$R$4,Q7),0)</f>
        <v>0</v>
      </c>
      <c r="L35" s="1">
        <f ca="1">IF(OR($L$1=M7,$L$1=N7,$L$1=O7),SUMIFS(常更新数据!$AA$2:$AA$4,常更新数据!$R$2:$R$4,Q7),0)</f>
        <v>0</v>
      </c>
      <c r="U35" s="1" t="s">
        <v>645</v>
      </c>
      <c r="V35" s="1" t="b">
        <f ca="1" t="shared" si="3"/>
        <v>1</v>
      </c>
      <c r="W35" s="60" t="b">
        <f>U35=计算主页!$N$40</f>
        <v>0</v>
      </c>
      <c r="X35" s="60"/>
      <c r="Y35" s="60"/>
      <c r="Z35" s="1" t="b">
        <f ca="1" t="shared" si="4"/>
        <v>1</v>
      </c>
      <c r="AI35" s="12" t="s">
        <v>147</v>
      </c>
      <c r="AJ35" s="12" t="b">
        <v>1</v>
      </c>
      <c r="AK35" s="12" t="b">
        <v>1</v>
      </c>
      <c r="AL35" s="12" t="b">
        <v>1</v>
      </c>
      <c r="AM35" s="12" t="b">
        <v>1</v>
      </c>
      <c r="AN35" s="12"/>
      <c r="AO35" s="12"/>
    </row>
    <row r="36" spans="1:42">
      <c r="A36" s="12" t="s">
        <v>50</v>
      </c>
      <c r="B36" s="1" t="str">
        <f t="shared" si="2"/>
        <v>神藏链(破防 无双 41400)</v>
      </c>
      <c r="D36" s="1">
        <f ca="1">IF(OR($D$1=M8,$D$1=N8,$D$1=O8),SUMIFS(常更新数据!$S$2:$S$4,常更新数据!$R$2:$R$4,Q8),0)</f>
        <v>0</v>
      </c>
      <c r="E36" s="1">
        <f ca="1">IF(OR($E$1=M8,$E$1=N8,$E$1=O8),SUMIFS(常更新数据!$T$2:$T$4,常更新数据!$R$2:$R$4,Q8),0)</f>
        <v>0</v>
      </c>
      <c r="F36" s="1">
        <f ca="1">IF(OR($F$1=M8,$F$1=N8,$F$1=O8),SUMIFS(常更新数据!$U$2:$U$4,常更新数据!$R$2:$R$4,Q8),0)</f>
        <v>0</v>
      </c>
      <c r="G36" s="1">
        <f ca="1">IF(OR($G$1=M8,$G$1=N8,$G$1=O8),SUMIFS(常更新数据!$V$2:$V$4,常更新数据!$R$2:$R$4,Q8),0)</f>
        <v>0</v>
      </c>
      <c r="H36" s="1">
        <f ca="1">IF(OR($H$1=M8,$H$1=N8,$H$1=O8),SUMIFS(常更新数据!$W$2:$W$4,常更新数据!$R$2:$R$4,Q8),0)</f>
        <v>0</v>
      </c>
      <c r="J36" s="1">
        <f ca="1">IF(OR($J$1=M8,$J$1=N8,$J$1=O8),SUMIFS(常更新数据!$Y$2:$Y$4,常更新数据!$R$2:$R$4,Q8),0)</f>
        <v>0</v>
      </c>
      <c r="K36" s="1">
        <f ca="1">IF(OR($K$1=M8,$K$1=N8,$K$1=O8),SUMIFS(常更新数据!$Z$2:$Z$4,常更新数据!$R$2:$R$4,Q8),0)</f>
        <v>1317</v>
      </c>
      <c r="L36" s="1">
        <f ca="1">IF(OR($L$1=M8,$L$1=N8,$L$1=O8),SUMIFS(常更新数据!$AA$2:$AA$4,常更新数据!$R$2:$R$4,Q8),0)</f>
        <v>0</v>
      </c>
      <c r="U36" s="1" t="s">
        <v>646</v>
      </c>
      <c r="V36" s="1" t="b">
        <f ca="1" t="shared" si="3"/>
        <v>0</v>
      </c>
      <c r="W36" s="60" t="b">
        <f>U36=计算主页!$L$37</f>
        <v>0</v>
      </c>
      <c r="X36" s="60"/>
      <c r="Y36" s="60"/>
      <c r="Z36" s="1" t="b">
        <f ca="1" t="shared" si="4"/>
        <v>0</v>
      </c>
    </row>
    <row r="37" spans="1:42">
      <c r="A37" s="12" t="s">
        <v>54</v>
      </c>
      <c r="B37" s="1" t="str">
        <f t="shared" si="2"/>
        <v>雨夜禅·橙•特效(破防 无双 37900)</v>
      </c>
      <c r="D37" s="1">
        <f ca="1">IF(OR($D$1=M9,$D$1=N9,$D$1=O9),SUMIFS(常更新数据!$S$2:$S$4,常更新数据!$R$2:$R$4,Q9),0)</f>
        <v>0</v>
      </c>
      <c r="E37" s="1">
        <f ca="1">IF(OR($E$1=M9,$E$1=N9,$E$1=O9),SUMIFS(常更新数据!$T$2:$T$4,常更新数据!$R$2:$R$4,Q9),0)</f>
        <v>0</v>
      </c>
      <c r="F37" s="1">
        <f ca="1">IF(OR($F$1=M9,$F$1=N9,$F$1=O9),SUMIFS(常更新数据!$U$2:$U$4,常更新数据!$R$2:$R$4,Q9),0)</f>
        <v>0</v>
      </c>
      <c r="G37" s="1">
        <f ca="1">IF(OR($G$1=M9,$G$1=N9,$G$1=O9),SUMIFS(常更新数据!$V$2:$V$4,常更新数据!$R$2:$R$4,Q9),0)</f>
        <v>0</v>
      </c>
      <c r="H37" s="1">
        <f ca="1">IF(OR($H$1=M9,$H$1=N9,$H$1=O9),SUMIFS(常更新数据!$W$2:$W$4,常更新数据!$R$2:$R$4,Q9),0)</f>
        <v>1317</v>
      </c>
      <c r="J37" s="1">
        <f ca="1">IF(OR($J$1=M9,$J$1=N9,$J$1=O9),SUMIFS(常更新数据!$Y$2:$Y$4,常更新数据!$R$2:$R$4,Q9),0)</f>
        <v>0</v>
      </c>
      <c r="K37" s="1">
        <f ca="1">IF(OR($K$1=M9,$K$1=N9,$K$1=O9),SUMIFS(常更新数据!$Z$2:$Z$4,常更新数据!$R$2:$R$4,Q9),0)</f>
        <v>0</v>
      </c>
      <c r="L37" s="1">
        <f ca="1">IF(OR($L$1=M9,$L$1=N9,$L$1=O9),SUMIFS(常更新数据!$AA$2:$AA$4,常更新数据!$R$2:$R$4,Q9),0)</f>
        <v>0</v>
      </c>
      <c r="U37" s="1" t="s">
        <v>647</v>
      </c>
      <c r="V37" s="1" t="b">
        <f ca="1" t="shared" si="3"/>
        <v>0</v>
      </c>
      <c r="W37" s="60" t="b">
        <f>U37=计算主页!$L$37</f>
        <v>0</v>
      </c>
      <c r="X37" s="60"/>
      <c r="Y37" s="60"/>
      <c r="Z37" s="1" t="b">
        <f ca="1" t="shared" si="4"/>
        <v>0</v>
      </c>
    </row>
    <row r="38" spans="1:42">
      <c r="A38" s="12" t="s">
        <v>56</v>
      </c>
      <c r="B38" s="1" t="str">
        <f t="shared" si="2"/>
        <v>梦冷星•特效(会心 会效 无双 41400)</v>
      </c>
      <c r="D38" s="1">
        <f ca="1">IF(OR($D$1=M10,$D$1=N10,$D$1=O10),SUMIFS(常更新数据!$S$2:$S$4,常更新数据!$R$2:$R$4,Q10),0)</f>
        <v>0</v>
      </c>
      <c r="E38" s="1">
        <f ca="1">IF(OR($E$1=M10,$E$1=N10,$E$1=O10),SUMIFS(常更新数据!$T$2:$T$4,常更新数据!$R$2:$R$4,Q10),0)</f>
        <v>0</v>
      </c>
      <c r="F38" s="1">
        <f ca="1">IF(OR($F$1=M10,$F$1=N10,$F$1=O10),SUMIFS(常更新数据!$U$2:$U$4,常更新数据!$R$2:$R$4,Q10),0)</f>
        <v>0</v>
      </c>
      <c r="G38" s="1">
        <f ca="1">IF(OR($G$1=M10,$G$1=N10,$G$1=O10),SUMIFS(常更新数据!$V$2:$V$4,常更新数据!$R$2:$R$4,Q10),0)</f>
        <v>0</v>
      </c>
      <c r="H38" s="1">
        <f ca="1">IF(OR($H$1=M10,$H$1=N10,$H$1=O10),SUMIFS(常更新数据!$W$2:$W$4,常更新数据!$R$2:$R$4,Q10),0)</f>
        <v>0</v>
      </c>
      <c r="J38" s="1">
        <f ca="1">IF(OR($J$1=M10,$J$1=N10,$J$1=O10),SUMIFS(常更新数据!$Y$2:$Y$4,常更新数据!$R$2:$R$4,Q10),0)</f>
        <v>0</v>
      </c>
      <c r="K38" s="1">
        <f ca="1">IF(OR($K$1=M10,$K$1=N10,$K$1=O10),SUMIFS(常更新数据!$Z$2:$Z$4,常更新数据!$R$2:$R$4,Q10),0)</f>
        <v>0</v>
      </c>
      <c r="L38" s="1">
        <f ca="1">IF(OR($L$1=M10,$L$1=N10,$L$1=O10),SUMIFS(常更新数据!$AA$2:$AA$4,常更新数据!$R$2:$R$4,Q10),0)</f>
        <v>0</v>
      </c>
      <c r="U38" s="1" t="s">
        <v>648</v>
      </c>
      <c r="V38" s="1" t="b">
        <f ca="1" t="shared" si="3"/>
        <v>0</v>
      </c>
      <c r="W38" s="60" t="b">
        <f>U38=计算主页!$L$37</f>
        <v>0</v>
      </c>
      <c r="X38" s="60"/>
      <c r="Y38" s="60"/>
      <c r="Z38" s="1" t="b">
        <f ca="1" t="shared" si="4"/>
        <v>0</v>
      </c>
      <c r="AA38" s="1" t="b">
        <f ca="1">OR(Z38:Z39)</f>
        <v>0</v>
      </c>
    </row>
    <row r="39" spans="1:42">
      <c r="A39" s="12" t="s">
        <v>56</v>
      </c>
      <c r="B39" s="1" t="str">
        <f t="shared" si="2"/>
        <v>梦冷星•特效(会心 会效 无双 41400)</v>
      </c>
      <c r="D39" s="1">
        <f ca="1">IF(OR($D$1=M11,$D$1=N11,$D$1=O11),SUMIFS(常更新数据!$S$2:$S$4,常更新数据!$R$2:$R$4,Q11),0)</f>
        <v>0</v>
      </c>
      <c r="E39" s="1">
        <f ca="1">IF(OR($E$1=M11,$E$1=N11,$E$1=O11),SUMIFS(常更新数据!$T$2:$T$4,常更新数据!$R$2:$R$4,Q11),0)</f>
        <v>0</v>
      </c>
      <c r="F39" s="1">
        <f ca="1">IF(OR($F$1=M11,$F$1=N11,$F$1=O11),SUMIFS(常更新数据!$U$2:$U$4,常更新数据!$R$2:$R$4,Q11),0)</f>
        <v>0</v>
      </c>
      <c r="G39" s="1">
        <f ca="1">IF(OR($G$1=M11,$G$1=N11,$G$1=O11),SUMIFS(常更新数据!$V$2:$V$4,常更新数据!$R$2:$R$4,Q11),0)</f>
        <v>0</v>
      </c>
      <c r="H39" s="1">
        <f ca="1">IF(OR($H$1=M11,$H$1=N11,$H$1=O11),SUMIFS(常更新数据!$W$2:$W$4,常更新数据!$R$2:$R$4,Q11),0)</f>
        <v>0</v>
      </c>
      <c r="J39" s="1">
        <f ca="1">IF(OR($J$1=M11,$J$1=N11,$J$1=O11),SUMIFS(常更新数据!$Y$2:$Y$4,常更新数据!$R$2:$R$4,Q11),0)</f>
        <v>0</v>
      </c>
      <c r="K39" s="1">
        <f ca="1">IF(OR($K$1=M11,$K$1=N11,$K$1=O11),SUMIFS(常更新数据!$Z$2:$Z$4,常更新数据!$R$2:$R$4,Q11),0)</f>
        <v>0</v>
      </c>
      <c r="L39" s="1">
        <f ca="1">IF(OR($L$1=M11,$L$1=N11,$L$1=O11),SUMIFS(常更新数据!$AA$2:$AA$4,常更新数据!$R$2:$R$4,Q11),0)</f>
        <v>0</v>
      </c>
      <c r="U39" s="1" t="s">
        <v>649</v>
      </c>
      <c r="V39" s="1" t="b">
        <f ca="1" t="shared" si="3"/>
        <v>0</v>
      </c>
      <c r="W39" s="60" t="b">
        <f>U39=计算主页!$L$37</f>
        <v>0</v>
      </c>
      <c r="X39" s="60"/>
      <c r="Y39" s="60"/>
      <c r="Z39" s="1" t="b">
        <f ca="1" t="shared" si="4"/>
        <v>0</v>
      </c>
    </row>
    <row r="40" spans="1:42">
      <c r="A40" s="12" t="s">
        <v>61</v>
      </c>
      <c r="B40" s="1" t="str">
        <f t="shared" si="2"/>
        <v>玄脉囊(会心 无双 41400)</v>
      </c>
      <c r="D40" s="1">
        <f ca="1">IF(OR($D$1=M12,$D$1=N12,$D$1=O12),SUMIFS(常更新数据!$S$2:$S$4,常更新数据!$R$2:$R$4,Q12),0)</f>
        <v>0</v>
      </c>
      <c r="E40" s="1">
        <f ca="1">IF(OR($E$1=M12,$E$1=N12,$E$1=O12),SUMIFS(常更新数据!$T$2:$T$4,常更新数据!$R$2:$R$4,Q12),0)</f>
        <v>0</v>
      </c>
      <c r="F40" s="1">
        <f ca="1">IF(OR($F$1=M12,$F$1=N12,$F$1=O12),SUMIFS(常更新数据!$U$2:$U$4,常更新数据!$R$2:$R$4,Q12),0)</f>
        <v>1317</v>
      </c>
      <c r="G40" s="1">
        <f ca="1">IF(OR($G$1=M12,$G$1=N12,$G$1=O12),SUMIFS(常更新数据!$V$2:$V$4,常更新数据!$R$2:$R$4,Q12),0)</f>
        <v>0</v>
      </c>
      <c r="H40" s="1">
        <f ca="1">IF(OR($H$1=M12,$H$1=N12,$H$1=O12),SUMIFS(常更新数据!$W$2:$W$4,常更新数据!$R$2:$R$4,Q12),0)</f>
        <v>0</v>
      </c>
      <c r="J40" s="1">
        <f ca="1">IF(OR($J$1=M12,$J$1=N12,$J$1=O12),SUMIFS(常更新数据!$Y$2:$Y$4,常更新数据!$R$2:$R$4,Q12),0)</f>
        <v>0</v>
      </c>
      <c r="K40" s="1">
        <f ca="1">IF(OR($K$1=M12,$K$1=N12,$K$1=O12),SUMIFS(常更新数据!$Z$2:$Z$4,常更新数据!$R$2:$R$4,Q12),0)</f>
        <v>0</v>
      </c>
      <c r="L40" s="1">
        <f ca="1">IF(OR($L$1=M12,$L$1=N12,$L$1=O12),SUMIFS(常更新数据!$AA$2:$AA$4,常更新数据!$R$2:$R$4,Q12),0)</f>
        <v>0</v>
      </c>
      <c r="U40" s="1" t="s">
        <v>100</v>
      </c>
      <c r="V40" s="1" t="b">
        <f ca="1" t="shared" si="3"/>
        <v>1</v>
      </c>
      <c r="W40" s="60" t="b">
        <f>U40=计算主页!$L$37</f>
        <v>1</v>
      </c>
      <c r="X40" s="60"/>
      <c r="Y40" s="60"/>
      <c r="Z40" s="1" t="b">
        <f ca="1" t="shared" si="4"/>
        <v>1</v>
      </c>
    </row>
    <row r="41" spans="1:42">
      <c r="A41" s="12" t="s">
        <v>64</v>
      </c>
      <c r="B41" s="1" t="str">
        <f t="shared" si="2"/>
        <v>照梦枝(会心 破防 加速 39750)</v>
      </c>
      <c r="D41" s="1">
        <f ca="1">IF(OR($D$1=M13,$D$1=N13,$D$1=O13),SUMIFS(常更新数据!$S$2:$S$4,常更新数据!$R$2:$R$4,Q13),0)</f>
        <v>168</v>
      </c>
      <c r="E41" s="1">
        <f ca="1">IF(OR($E$1=M13,$E$1=N13,$E$1=O13),SUMIFS(常更新数据!$T$2:$T$4,常更新数据!$R$2:$R$4,Q13),0)</f>
        <v>398</v>
      </c>
      <c r="F41" s="1">
        <f ca="1">IF(OR($F$1=M13,$F$1=N13,$F$1=O13),SUMIFS(常更新数据!$U$2:$U$4,常更新数据!$R$2:$R$4,Q13),0)</f>
        <v>0</v>
      </c>
      <c r="G41" s="1">
        <f ca="1">IF(OR($G$1=M13,$G$1=N13,$G$1=O13),SUMIFS(常更新数据!$V$2:$V$4,常更新数据!$R$2:$R$4,Q13),0)</f>
        <v>0</v>
      </c>
      <c r="H41" s="1">
        <f ca="1">IF(OR($H$1=M13,$H$1=N13,$H$1=O13),SUMIFS(常更新数据!$W$2:$W$4,常更新数据!$R$2:$R$4,Q13),0)</f>
        <v>1317</v>
      </c>
      <c r="J41" s="1">
        <f ca="1">IF(OR($J$1=M13,$J$1=N13,$J$1=O13),SUMIFS(常更新数据!$Y$2:$Y$4,常更新数据!$R$2:$R$4,Q13),0)</f>
        <v>0</v>
      </c>
      <c r="K41" s="1">
        <f ca="1">IF(OR($K$1=M13,$K$1=N13,$K$1=O13),SUMIFS(常更新数据!$Z$2:$Z$4,常更新数据!$R$2:$R$4,Q13),0)</f>
        <v>0</v>
      </c>
      <c r="L41" s="1">
        <f ca="1">IF(OR($L$1=M13,$L$1=N13,$L$1=O13),SUMIFS(常更新数据!$AA$2:$AA$4,常更新数据!$R$2:$R$4,Q13),0)</f>
        <v>0</v>
      </c>
      <c r="U41" s="1" t="s">
        <v>650</v>
      </c>
      <c r="V41" s="1" t="b">
        <f ca="1">COUNTIF(T2:T13,U41)-IF(COUNTIF(T10:T11,U41)=2,1,0)&gt;=2</f>
        <v>0</v>
      </c>
    </row>
    <row r="42" spans="1:42">
      <c r="U42" s="1" t="s">
        <v>651</v>
      </c>
      <c r="V42" s="1" t="b">
        <f ca="1">COUNTIF($T$2:$T$13,U42)=1</f>
        <v>0</v>
      </c>
      <c r="W42" s="60" t="b">
        <f>U42=计算主页!$L$37</f>
        <v>0</v>
      </c>
      <c r="X42" s="60"/>
      <c r="Y42" s="60"/>
      <c r="Z42" s="1" t="b">
        <f ca="1" t="shared" ref="Z42:Z49" si="5">IF($Z$26&lt;$V$26,W42,V42)</f>
        <v>0</v>
      </c>
    </row>
    <row r="43" spans="1:42">
      <c r="A43" s="1" t="s">
        <v>652</v>
      </c>
      <c r="C43" s="1">
        <f>角色属性!B72*角色属性!B73</f>
        <v>0</v>
      </c>
      <c r="D43" s="1">
        <f ca="1">角色属性!C72*角色属性!C73+M72+C76*C77</f>
        <v>0</v>
      </c>
      <c r="E43" s="1">
        <f ca="1">角色属性!D72*角色属性!D73+N72+D76*D77</f>
        <v>4472</v>
      </c>
      <c r="F43" s="1">
        <f ca="1">角色属性!E72*角色属性!E73+O72+E76*E77</f>
        <v>0</v>
      </c>
      <c r="G43" s="1">
        <f>角色属性!F72*角色属性!F73</f>
        <v>0</v>
      </c>
      <c r="H43" s="1">
        <f ca="1">角色属性!G72*角色属性!G73+P72+F76*F77</f>
        <v>0</v>
      </c>
      <c r="I43" s="1">
        <f ca="1">角色属性!H72*角色属性!H73+Q72+G76*G77</f>
        <v>7378</v>
      </c>
      <c r="J43" s="1">
        <f>角色属性!I72*角色属性!I73+H76*H77</f>
        <v>0</v>
      </c>
      <c r="K43" s="1">
        <f>角色属性!J72*角色属性!J73+角色属性!L72*角色属性!L73</f>
        <v>8514</v>
      </c>
      <c r="U43" s="1" t="s">
        <v>653</v>
      </c>
      <c r="V43" s="1" t="b">
        <f ca="1">COUNTIF(T2:T13,U43)&gt;=1</f>
        <v>0</v>
      </c>
      <c r="W43" s="60" t="b">
        <f>U43=计算主页!$L$37</f>
        <v>0</v>
      </c>
      <c r="X43" s="60"/>
      <c r="Y43" s="60"/>
      <c r="Z43" s="1" t="b">
        <f ca="1" t="shared" si="5"/>
        <v>0</v>
      </c>
    </row>
    <row r="44" spans="1:42">
      <c r="A44" s="1" t="s">
        <v>26</v>
      </c>
      <c r="B44" s="1" t="s">
        <v>31</v>
      </c>
      <c r="D44" s="1">
        <f>IF(计算主页!$R$11=常更新数据!S10,常更新数据!S11,0)</f>
        <v>0</v>
      </c>
      <c r="E44" s="1">
        <f>IF(计算主页!$R$11=常更新数据!T10,常更新数据!T11,0)</f>
        <v>0</v>
      </c>
      <c r="F44" s="1">
        <f>IF(计算主页!$R$11=常更新数据!U10,常更新数据!U11,0)</f>
        <v>0</v>
      </c>
      <c r="G44" s="1">
        <f>IF(计算主页!$R$11=常更新数据!V10,常更新数据!V11,0)</f>
        <v>0</v>
      </c>
      <c r="H44" s="1">
        <f>IF(计算主页!$R$11=常更新数据!W10,常更新数据!W11,0)</f>
        <v>1463</v>
      </c>
      <c r="I44" s="1">
        <f>IF(计算主页!$R$11=常更新数据!X10,常更新数据!X11,0)</f>
        <v>0</v>
      </c>
      <c r="J44" s="1">
        <f>IF(计算主页!$R$11=常更新数据!Y10,常更新数据!Y11,0)</f>
        <v>0</v>
      </c>
      <c r="K44" s="1">
        <f>IF(计算主页!$R$11=常更新数据!Z10,常更新数据!Z11,0)</f>
        <v>0</v>
      </c>
      <c r="U44" s="1" t="s">
        <v>654</v>
      </c>
      <c r="V44" s="1" t="b">
        <f ca="1" t="shared" ref="V44:V54" si="6">COUNTIF($T$2:$T$13,U44)&gt;=1</f>
        <v>1</v>
      </c>
      <c r="W44" s="60" t="b">
        <f>计算主页!$L$38=U44</f>
        <v>0</v>
      </c>
      <c r="X44" s="60"/>
      <c r="Y44" s="60"/>
      <c r="Z44" s="1" t="b">
        <f ca="1" t="shared" si="5"/>
        <v>1</v>
      </c>
    </row>
    <row r="45" spans="1:42">
      <c r="B45" s="1" t="s">
        <v>36</v>
      </c>
      <c r="D45" s="1">
        <f>IF(计算主页!$R$12=常更新数据!S10,常更新数据!S12,0)</f>
        <v>0</v>
      </c>
      <c r="E45" s="1">
        <f>IF(计算主页!$R$12=常更新数据!T10,常更新数据!T12,0)</f>
        <v>0</v>
      </c>
      <c r="F45" s="1">
        <f>IF(计算主页!$R$12=常更新数据!U10,常更新数据!U12,0)</f>
        <v>0</v>
      </c>
      <c r="G45" s="1">
        <f>IF(计算主页!$R$12=常更新数据!V10,常更新数据!V12,0)</f>
        <v>0</v>
      </c>
      <c r="H45" s="1">
        <f>IF(计算主页!$R$12=常更新数据!W10,常更新数据!W12,0)</f>
        <v>0</v>
      </c>
      <c r="I45" s="1">
        <f>IF(计算主页!$R$12=常更新数据!X10,常更新数据!X12,0)</f>
        <v>0</v>
      </c>
      <c r="J45" s="1">
        <f>IF(计算主页!$R$12=常更新数据!Y10,常更新数据!Y12,0)</f>
        <v>0</v>
      </c>
      <c r="K45" s="1">
        <f>IF(计算主页!$R$12=常更新数据!Z10,常更新数据!Z12,0)</f>
        <v>2925</v>
      </c>
      <c r="U45" s="1" t="s">
        <v>655</v>
      </c>
      <c r="V45" s="1" t="b">
        <f ca="1" t="shared" si="6"/>
        <v>0</v>
      </c>
      <c r="W45" s="60" t="b">
        <f>U45=计算主页!$N$38</f>
        <v>0</v>
      </c>
      <c r="X45" s="60"/>
      <c r="Y45" s="60"/>
      <c r="Z45" s="1" t="b">
        <f ca="1" t="shared" si="5"/>
        <v>0</v>
      </c>
    </row>
    <row r="46" spans="1:42">
      <c r="B46" s="1" t="s">
        <v>41</v>
      </c>
      <c r="D46" s="1">
        <f>IF(计算主页!$R$13=常更新数据!S10,常更新数据!S13,0)</f>
        <v>0</v>
      </c>
      <c r="E46" s="1">
        <f>IF(计算主页!$R$13=常更新数据!T10,常更新数据!T13,0)</f>
        <v>0</v>
      </c>
      <c r="F46" s="1">
        <f>IF(计算主页!$R$13=常更新数据!U10,常更新数据!U13,0)</f>
        <v>0</v>
      </c>
      <c r="G46" s="1">
        <f>IF(计算主页!$R$13=常更新数据!V10,常更新数据!V13,0)</f>
        <v>5850</v>
      </c>
      <c r="H46" s="1">
        <f>IF(计算主页!$R$13=常更新数据!W10,常更新数据!W13,0)</f>
        <v>0</v>
      </c>
      <c r="I46" s="1">
        <f>IF(计算主页!$R$13=常更新数据!X10,常更新数据!X13,0)</f>
        <v>0</v>
      </c>
      <c r="J46" s="1">
        <f>IF(计算主页!$R$13=常更新数据!Y10,常更新数据!Y13,0)</f>
        <v>0</v>
      </c>
      <c r="K46" s="1">
        <f>IF(计算主页!$R$13=常更新数据!Z10,常更新数据!Z13,0)</f>
        <v>0</v>
      </c>
      <c r="U46" s="1" t="s">
        <v>656</v>
      </c>
      <c r="V46" s="1" t="b">
        <f ca="1" t="shared" si="6"/>
        <v>0</v>
      </c>
      <c r="W46" s="60" t="b">
        <f>计算主页!$N$38=U46</f>
        <v>0</v>
      </c>
      <c r="X46" s="60"/>
      <c r="Y46" s="60"/>
      <c r="Z46" s="1" t="b">
        <f ca="1" t="shared" si="5"/>
        <v>0</v>
      </c>
    </row>
    <row r="47" spans="1:42">
      <c r="A47" s="1" t="s">
        <v>96</v>
      </c>
      <c r="E47" s="1">
        <f ca="1">SUMIFS(常更新数据!K4:K5,Z4:Z5,TRUE())</f>
        <v>1243</v>
      </c>
      <c r="H47" s="1">
        <f ca="1">SUMIFS(常更新数据!K2:K3,Z2:Z3,TRUE())</f>
        <v>4099</v>
      </c>
      <c r="U47" s="1" t="s">
        <v>657</v>
      </c>
      <c r="V47" s="1" t="b">
        <f ca="1" t="shared" si="6"/>
        <v>1</v>
      </c>
      <c r="W47" s="60" t="b">
        <f>计算主页!$P$38=U47</f>
        <v>0</v>
      </c>
      <c r="X47" s="60"/>
      <c r="Y47" s="60"/>
      <c r="Z47" s="1" t="b">
        <f ca="1" t="shared" si="5"/>
        <v>1</v>
      </c>
    </row>
    <row r="48" spans="1:42">
      <c r="A48" s="1" t="s">
        <v>658</v>
      </c>
      <c r="F48" s="1">
        <f ca="1">SUMIFS(常更新数据!O2:O3,AC2:AC3,TRUE())+IF(V33,常更新数据!F35,0)</f>
        <v>7908</v>
      </c>
      <c r="G48" s="1">
        <f ca="1">IF(V33,常更新数据!G35,0)</f>
        <v>2914</v>
      </c>
      <c r="K48" s="1">
        <f>SUMIFS(常更新数据!O4:O5,AC4:AC5,TRUE())</f>
        <v>0</v>
      </c>
      <c r="U48" s="1" t="s">
        <v>659</v>
      </c>
      <c r="V48" s="1" t="b">
        <f ca="1" t="shared" si="6"/>
        <v>0</v>
      </c>
      <c r="W48" s="60" t="b">
        <f>U48=计算主页!$P$38</f>
        <v>0</v>
      </c>
      <c r="X48" s="60"/>
      <c r="Y48" s="60"/>
      <c r="Z48" s="1" t="b">
        <f ca="1" t="shared" si="5"/>
        <v>0</v>
      </c>
    </row>
    <row r="49" spans="1:27">
      <c r="A49" s="1" t="s">
        <v>650</v>
      </c>
      <c r="F49" s="1">
        <f ca="1">IF(V41,常更新数据!O6,0)</f>
        <v>0</v>
      </c>
      <c r="G49" s="1">
        <f ca="1">IF(V41,常更新数据!P6,0)</f>
        <v>0</v>
      </c>
      <c r="U49" s="1" t="s">
        <v>660</v>
      </c>
      <c r="V49" s="1" t="b">
        <f ca="1" t="shared" si="6"/>
        <v>0</v>
      </c>
      <c r="W49" s="60" t="b">
        <f>计算主页!$P$38=U49</f>
        <v>0</v>
      </c>
      <c r="X49" s="60"/>
      <c r="Y49" s="60"/>
      <c r="Z49" s="1" t="b">
        <f ca="1" t="shared" si="5"/>
        <v>0</v>
      </c>
    </row>
    <row r="50" spans="1:27">
      <c r="A50" s="1" t="s">
        <v>661</v>
      </c>
      <c r="J50" s="1">
        <f ca="1">L51*常更新数据!K12</f>
        <v>0</v>
      </c>
      <c r="K50" s="1">
        <f ca="1">L51*常更新数据!K13</f>
        <v>0</v>
      </c>
      <c r="U50" s="1" t="s">
        <v>662</v>
      </c>
      <c r="V50" s="1" t="b">
        <f ca="1" t="shared" si="6"/>
        <v>1</v>
      </c>
      <c r="W50" s="1" t="b">
        <f>U50=计算主页!$P$40</f>
        <v>0</v>
      </c>
      <c r="X50" s="1" t="b">
        <f>计算主页!$R$40=U50</f>
        <v>0</v>
      </c>
      <c r="Y50" s="1" t="b">
        <f>OR(W50:X50)</f>
        <v>0</v>
      </c>
      <c r="Z50" s="1" t="b">
        <f ca="1">IF($Z$26&lt;$V$26,Y50,V50)</f>
        <v>1</v>
      </c>
      <c r="AA50" s="1">
        <f ca="1">IF($Z$26&lt;$V$26,COUNTIF(W50:X50,TRUE()),COUNTIF($T$2:$T$13,U50))</f>
        <v>2</v>
      </c>
    </row>
    <row r="51" spans="1:27">
      <c r="A51" s="1" t="s">
        <v>663</v>
      </c>
      <c r="C51" s="1">
        <f ca="1">SUM(C2:C50)</f>
        <v>219171</v>
      </c>
      <c r="D51" s="1">
        <f ca="1" t="shared" ref="D51:L51" si="7">SUM(D2:D50)</f>
        <v>12832</v>
      </c>
      <c r="E51" s="1">
        <f ca="1" t="shared" si="7"/>
        <v>71008</v>
      </c>
      <c r="F51" s="1">
        <f ca="1" t="shared" si="7"/>
        <v>95533</v>
      </c>
      <c r="G51" s="1">
        <f ca="1" t="shared" si="7"/>
        <v>22927</v>
      </c>
      <c r="H51" s="1">
        <f ca="1" t="shared" si="7"/>
        <v>83449</v>
      </c>
      <c r="I51" s="1">
        <f ca="1" t="shared" si="7"/>
        <v>32213</v>
      </c>
      <c r="J51" s="1">
        <f ca="1" t="shared" si="7"/>
        <v>13740</v>
      </c>
      <c r="K51" s="1">
        <f ca="1" t="shared" si="7"/>
        <v>105070</v>
      </c>
      <c r="L51" s="1">
        <f ca="1" t="shared" si="7"/>
        <v>0</v>
      </c>
      <c r="U51" s="1" t="s">
        <v>664</v>
      </c>
      <c r="V51" s="1" t="b">
        <f ca="1" t="shared" si="6"/>
        <v>0</v>
      </c>
      <c r="W51" s="1" t="b">
        <f>U51=计算主页!$P$40</f>
        <v>0</v>
      </c>
      <c r="X51" s="1" t="b">
        <f>计算主页!$R$40=U51</f>
        <v>0</v>
      </c>
      <c r="Y51" s="1" t="b">
        <f>OR(W51:X51)</f>
        <v>0</v>
      </c>
      <c r="Z51" s="1" t="b">
        <f ca="1">IF($Z$26&lt;$V$26,Y51,V51)</f>
        <v>0</v>
      </c>
      <c r="AA51" s="1">
        <f ca="1">IF($Z$26&lt;$V$26,COUNTIF(W51:X51,TRUE()),COUNTIF($T$2:$T$13,U51))</f>
        <v>0</v>
      </c>
    </row>
    <row r="52" spans="1:27">
      <c r="U52" s="1" t="s">
        <v>665</v>
      </c>
      <c r="V52" s="1" t="b">
        <f ca="1" t="shared" si="6"/>
        <v>0</v>
      </c>
      <c r="W52" s="1" t="b">
        <f>U52=计算主页!$P$40</f>
        <v>0</v>
      </c>
      <c r="X52" s="1" t="b">
        <f>计算主页!$R$40=U52</f>
        <v>0</v>
      </c>
      <c r="Y52" s="1" t="b">
        <f>OR(W52:X52)</f>
        <v>0</v>
      </c>
      <c r="Z52" s="1" t="b">
        <f ca="1">IF($Z$26&lt;$V$26,Y52,V52)</f>
        <v>0</v>
      </c>
      <c r="AA52" s="1">
        <f ca="1">IF($Z$26&lt;$V$26,COUNTIF(W52:X52,TRUE()),COUNTIF($T$2:$T$13,U52))</f>
        <v>0</v>
      </c>
    </row>
    <row r="53" spans="1:27">
      <c r="U53" s="1" t="s">
        <v>666</v>
      </c>
      <c r="V53" s="1" t="b">
        <f ca="1" t="shared" si="6"/>
        <v>0</v>
      </c>
      <c r="W53" s="1" t="b">
        <f>U53=计算主页!$P$40</f>
        <v>0</v>
      </c>
      <c r="X53" s="1" t="b">
        <f>计算主页!$R$40=U53</f>
        <v>0</v>
      </c>
      <c r="Y53" s="1" t="b">
        <f>OR(W53:X53)</f>
        <v>0</v>
      </c>
      <c r="Z53" s="1" t="b">
        <f ca="1">IF($Z$26&lt;$V$26,Y53,V53)</f>
        <v>0</v>
      </c>
      <c r="AA53" s="1">
        <f ca="1">IF($Z$26&lt;$V$26,COUNTIF(W53:X53,TRUE()),COUNTIF($T$2:$T$13,U53))</f>
        <v>0</v>
      </c>
    </row>
    <row r="54" spans="1:27">
      <c r="U54" s="1" t="s">
        <v>667</v>
      </c>
      <c r="V54" s="1" t="b">
        <f ca="1" t="shared" si="6"/>
        <v>0</v>
      </c>
      <c r="W54" s="60" t="b">
        <f>OR(计算主页!$L$38=U54,U54=计算主页!$N$38)</f>
        <v>0</v>
      </c>
      <c r="X54" s="60"/>
      <c r="Y54" s="60"/>
      <c r="Z54" s="1" t="b">
        <f ca="1">IF($Z$26&lt;$V$26,Y54,V54)</f>
        <v>0</v>
      </c>
    </row>
    <row r="55" spans="1:27">
      <c r="A55" s="1" t="s">
        <v>619</v>
      </c>
      <c r="C55" s="1" t="s">
        <v>668</v>
      </c>
      <c r="D55" s="1" t="s">
        <v>669</v>
      </c>
      <c r="E55" s="1" t="s">
        <v>670</v>
      </c>
      <c r="F55" s="1" t="s">
        <v>26</v>
      </c>
      <c r="G55" s="1" t="s">
        <v>652</v>
      </c>
      <c r="H55" s="1" t="s">
        <v>96</v>
      </c>
      <c r="I55" s="1" t="s">
        <v>671</v>
      </c>
      <c r="U55" s="1" t="s">
        <v>672</v>
      </c>
      <c r="V55" s="1" t="b">
        <f ca="1" t="shared" ref="V55:V65" si="8">COUNTIF($T$2:$T$13,U55)&gt;=1</f>
        <v>0</v>
      </c>
      <c r="W55" s="60" t="b">
        <f>计算主页!$L$38=U55</f>
        <v>0</v>
      </c>
      <c r="X55" s="60"/>
      <c r="Y55" s="60"/>
      <c r="Z55" s="1" t="b">
        <f ca="1" t="shared" ref="Z55:Z60" si="9">IF($Z$26&lt;$V$26,W55,V55)</f>
        <v>0</v>
      </c>
    </row>
    <row r="56" spans="1:27">
      <c r="A56" s="12" t="s">
        <v>22</v>
      </c>
      <c r="B56" s="1" t="str">
        <f t="shared" ref="B56:B67" si="10">B2</f>
        <v>玄阙帽·校服(破防 无双 41400)</v>
      </c>
      <c r="C56" s="1">
        <f ca="1">ROUNDUP(_xlfn.XLOOKUP(A56,角色属性!$AE$7:$AE$17,角色属性!$AF$7:$AF$17,0)*角色属性!$AF$20*R2,0)</f>
        <v>67068</v>
      </c>
      <c r="D56" s="1">
        <f ca="1" t="shared" ref="D56:D67" si="11">ROUND(0.5*C56*P2*(0.003*P2+0.007),0)</f>
        <v>5030</v>
      </c>
      <c r="E56" s="1">
        <f ca="1" t="shared" ref="E56:E67" si="12">ROUND(1.3*(0.65*Q2-3.2)*$AF$2*$AF$3*$AF$5,0)*(3-COUNTIF(M2:O2,0))</f>
        <v>2312</v>
      </c>
      <c r="G56" s="1" cm="1">
        <f t="array" ref="G56">_xlfn.IFS(计算主页!N10="无",0,TRUE(),常更新数据!$O$9)</f>
        <v>3368</v>
      </c>
      <c r="H56" s="1" cm="1">
        <f ca="1" t="array" ref="H56">SUMPRODUCT(常更新数据!O11:O15,常更新数据!P11:P15*1)</f>
        <v>33283</v>
      </c>
      <c r="I56" s="1">
        <f ca="1">SUM(C56:H67)</f>
        <v>820991</v>
      </c>
      <c r="U56" s="1" t="s">
        <v>673</v>
      </c>
      <c r="V56" s="1" t="b">
        <f ca="1" t="shared" si="8"/>
        <v>0</v>
      </c>
      <c r="W56" s="60" t="b">
        <f>U56=计算主页!$N$38</f>
        <v>0</v>
      </c>
      <c r="X56" s="60"/>
      <c r="Y56" s="60"/>
      <c r="Z56" s="1" t="b">
        <f ca="1" t="shared" si="9"/>
        <v>0</v>
      </c>
    </row>
    <row r="57" spans="1:27">
      <c r="A57" s="12" t="s">
        <v>27</v>
      </c>
      <c r="B57" s="1" t="str">
        <f t="shared" si="10"/>
        <v>玄阙衣·校服(加速 无双 41400)</v>
      </c>
      <c r="C57" s="1">
        <f ca="1">ROUNDUP(_xlfn.XLOOKUP(A57,角色属性!$AE$7:$AE$17,角色属性!$AF$7:$AF$17,0)*角色属性!$AF$20*R3,0)</f>
        <v>74520</v>
      </c>
      <c r="D57" s="1">
        <f ca="1" t="shared" si="11"/>
        <v>5589</v>
      </c>
      <c r="E57" s="1">
        <f ca="1" t="shared" si="12"/>
        <v>2312</v>
      </c>
      <c r="G57" s="1" cm="1">
        <f t="array" ref="G57">_xlfn.IFS(计算主页!N11="无",0,计算主页!N11="节日无双",常更新数据!$O$10,TRUE(),常更新数据!$O$9)</f>
        <v>1341</v>
      </c>
      <c r="U57" s="1" t="s">
        <v>674</v>
      </c>
      <c r="V57" s="1" t="b">
        <f ca="1" t="shared" si="8"/>
        <v>0</v>
      </c>
      <c r="W57" s="60" t="b">
        <f>计算主页!$N$38=U57</f>
        <v>0</v>
      </c>
      <c r="X57" s="60"/>
      <c r="Y57" s="60"/>
      <c r="Z57" s="1" t="b">
        <f ca="1" t="shared" si="9"/>
        <v>0</v>
      </c>
    </row>
    <row r="58" spans="1:27">
      <c r="A58" s="12" t="s">
        <v>33</v>
      </c>
      <c r="B58" s="1" t="str">
        <f t="shared" si="10"/>
        <v>玄阙腰·校服(会心 无双 41400)</v>
      </c>
      <c r="C58" s="1">
        <f ca="1">ROUNDUP(_xlfn.XLOOKUP(A58,角色属性!$AE$7:$AE$17,角色属性!$AF$7:$AF$17,0)*角色属性!$AF$20*R4,0)</f>
        <v>52164</v>
      </c>
      <c r="D58" s="1">
        <f ca="1" t="shared" si="11"/>
        <v>3912</v>
      </c>
      <c r="E58" s="1">
        <f ca="1" t="shared" si="12"/>
        <v>2312</v>
      </c>
      <c r="G58" s="1" cm="1">
        <f t="array" ref="G58">_xlfn.IFS(计算主页!N12="无",0,计算主页!N12="节日无双",常更新数据!$O$10,TRUE(),常更新数据!$O$9)</f>
        <v>1341</v>
      </c>
      <c r="U58" s="1" t="s">
        <v>675</v>
      </c>
      <c r="V58" s="1" t="b">
        <f ca="1" t="shared" si="8"/>
        <v>0</v>
      </c>
      <c r="W58" s="60" t="b">
        <f>计算主页!$P$38=U58</f>
        <v>0</v>
      </c>
      <c r="X58" s="60"/>
      <c r="Y58" s="60"/>
      <c r="Z58" s="1" t="b">
        <f ca="1" t="shared" si="9"/>
        <v>0</v>
      </c>
    </row>
    <row r="59" spans="1:27">
      <c r="A59" s="12" t="s">
        <v>38</v>
      </c>
      <c r="B59" s="1" t="str">
        <f t="shared" si="10"/>
        <v>寒鸦啼血•特效(会心 会效 无双 41400)</v>
      </c>
      <c r="C59" s="1">
        <f ca="1">ROUNDUP(_xlfn.XLOOKUP(A59,角色属性!$AE$7:$AE$17,角色属性!$AF$7:$AF$17,0)*角色属性!$AF$20*R5,0)</f>
        <v>52164</v>
      </c>
      <c r="D59" s="1">
        <f ca="1" t="shared" si="11"/>
        <v>3912</v>
      </c>
      <c r="E59" s="1">
        <f ca="1" t="shared" si="12"/>
        <v>2312</v>
      </c>
      <c r="G59" s="1" cm="1">
        <f t="array" ref="G59">_xlfn.IFS(计算主页!N13="无",0,TRUE(),常更新数据!$O$9)</f>
        <v>3368</v>
      </c>
      <c r="U59" s="1" t="s">
        <v>676</v>
      </c>
      <c r="V59" s="1" t="b">
        <f ca="1" t="shared" si="8"/>
        <v>0</v>
      </c>
      <c r="W59" s="60" t="b">
        <f>U59=计算主页!$P$38</f>
        <v>0</v>
      </c>
      <c r="X59" s="60"/>
      <c r="Y59" s="60"/>
      <c r="Z59" s="1" t="b">
        <f ca="1" t="shared" si="9"/>
        <v>0</v>
      </c>
    </row>
    <row r="60" spans="1:27">
      <c r="A60" s="12" t="s">
        <v>43</v>
      </c>
      <c r="B60" s="1" t="str">
        <f t="shared" si="10"/>
        <v>秋映月•特效(会心 破招 破防 无双 41400)</v>
      </c>
      <c r="C60" s="1">
        <f ca="1">ROUNDUP(_xlfn.XLOOKUP(A60,角色属性!$AE$7:$AE$17,角色属性!$AF$7:$AF$17,0)*角色属性!$AF$20*R6,0)</f>
        <v>74520</v>
      </c>
      <c r="D60" s="1">
        <f ca="1" t="shared" si="11"/>
        <v>5589</v>
      </c>
      <c r="E60" s="1">
        <f ca="1" t="shared" si="12"/>
        <v>2312</v>
      </c>
      <c r="G60" s="1" cm="1">
        <f t="array" ref="G60">_xlfn.IFS(计算主页!N14="无",0,TRUE(),常更新数据!$O$9)</f>
        <v>3368</v>
      </c>
      <c r="U60" s="1" t="s">
        <v>677</v>
      </c>
      <c r="V60" s="1" t="b">
        <f ca="1" t="shared" si="8"/>
        <v>0</v>
      </c>
      <c r="W60" s="60" t="b">
        <f>计算主页!$P$38=U60</f>
        <v>0</v>
      </c>
      <c r="X60" s="60"/>
      <c r="Y60" s="60"/>
      <c r="Z60" s="1" t="b">
        <f ca="1" t="shared" si="9"/>
        <v>0</v>
      </c>
    </row>
    <row r="61" spans="1:27">
      <c r="A61" s="12" t="s">
        <v>45</v>
      </c>
      <c r="B61" s="1" t="str">
        <f t="shared" si="10"/>
        <v>玄阙鞋·校服(破防 无双 41400)</v>
      </c>
      <c r="C61" s="1">
        <f ca="1">ROUNDUP(_xlfn.XLOOKUP(A61,角色属性!$AE$7:$AE$17,角色属性!$AF$7:$AF$17,0)*角色属性!$AF$20*R7,0)</f>
        <v>52164</v>
      </c>
      <c r="D61" s="1">
        <f ca="1" t="shared" si="11"/>
        <v>3912</v>
      </c>
      <c r="E61" s="1">
        <f ca="1" t="shared" si="12"/>
        <v>2312</v>
      </c>
      <c r="G61" s="1" cm="1">
        <f t="array" ref="G61">_xlfn.IFS(计算主页!N15="无",0,TRUE(),常更新数据!$O$9)</f>
        <v>3368</v>
      </c>
      <c r="U61" s="1" t="s">
        <v>678</v>
      </c>
      <c r="V61" s="1" t="b">
        <f ca="1" t="shared" si="8"/>
        <v>0</v>
      </c>
      <c r="W61" s="1" t="b">
        <f>U61=计算主页!$P$40</f>
        <v>0</v>
      </c>
      <c r="X61" s="1" t="b">
        <f>计算主页!$R$40=U61</f>
        <v>0</v>
      </c>
      <c r="Y61" s="1" t="b">
        <f>OR(W61:X61)</f>
        <v>0</v>
      </c>
      <c r="Z61" s="1" t="b">
        <f ca="1">IF($Z$26&lt;$V$26,Y61,V61)</f>
        <v>0</v>
      </c>
      <c r="AA61" s="1">
        <f ca="1">IF($Z$26&lt;$V$26,COUNTIF(W61:X61,TRUE()),COUNTIF($T$2:$T$13,U61))</f>
        <v>0</v>
      </c>
    </row>
    <row r="62" spans="1:27">
      <c r="A62" s="12" t="s">
        <v>50</v>
      </c>
      <c r="B62" s="1" t="str">
        <f t="shared" si="10"/>
        <v>神藏链(破防 无双 41400)</v>
      </c>
      <c r="C62" s="1">
        <f ca="1">ROUNDUP(_xlfn.XLOOKUP(A62,角色属性!$AE$7:$AE$17,角色属性!$AF$7:$AF$17,0)*角色属性!$AF$20*R8,0)</f>
        <v>37260</v>
      </c>
      <c r="D62" s="1">
        <f ca="1" t="shared" si="11"/>
        <v>2795</v>
      </c>
      <c r="E62" s="1">
        <f ca="1" t="shared" si="12"/>
        <v>1156</v>
      </c>
      <c r="G62" s="1" cm="1">
        <f ca="1" t="array" ref="G62">_xlfn.IFS(计算主页!N16="无",0,LEFT(计算主页!N16,2)="挑战",IF(R8&gt;常更新数据!$K$7,常更新数据!$P$16,常更新数据!$O$16),LEFT(计算主页!N16,2)="阆风",常更新数据!O17,TRUE(),常更新数据!$O$9)</f>
        <v>3907</v>
      </c>
      <c r="U62" s="1" t="s">
        <v>679</v>
      </c>
      <c r="V62" s="1" t="b">
        <f ca="1" t="shared" si="8"/>
        <v>0</v>
      </c>
      <c r="W62" s="1" t="b">
        <f>U62=计算主页!$P$40</f>
        <v>0</v>
      </c>
      <c r="X62" s="1" t="b">
        <f>计算主页!$R$40=U62</f>
        <v>0</v>
      </c>
      <c r="Y62" s="1" t="b">
        <f>OR(W62:X62)</f>
        <v>0</v>
      </c>
      <c r="Z62" s="1" t="b">
        <f ca="1">IF($Z$26&lt;$V$26,Y62,V62)</f>
        <v>0</v>
      </c>
      <c r="AA62" s="1">
        <f ca="1">IF($Z$26&lt;$V$26,COUNTIF(W62:X62,TRUE()),COUNTIF($T$2:$T$13,U62))</f>
        <v>0</v>
      </c>
    </row>
    <row r="63" spans="1:27">
      <c r="A63" s="12" t="s">
        <v>54</v>
      </c>
      <c r="B63" s="1" t="str">
        <f t="shared" si="10"/>
        <v>雨夜禅·橙•特效(破防 无双 37900)</v>
      </c>
      <c r="C63" s="1">
        <f ca="1">ROUNDUP(_xlfn.XLOOKUP(A63,角色属性!$AE$7:$AE$17,角色属性!$AF$7:$AF$17,0)*IF(P9&gt;6,AF23,角色属性!$AF$20)*R9,0)</f>
        <v>37900</v>
      </c>
      <c r="D63" s="1">
        <f ca="1" t="shared" si="11"/>
        <v>4700</v>
      </c>
      <c r="E63" s="1">
        <f ca="1" t="shared" si="12"/>
        <v>1156</v>
      </c>
      <c r="G63" s="1" cm="1">
        <f ca="1" t="array" ref="G63">_xlfn.IFS(计算主页!N17="无",0,LEFT(计算主页!N17,2)="挑战",IF(R9&gt;常更新数据!$K$7,常更新数据!$P$16,常更新数据!$O$16),LEFT(计算主页!N17,2)="阆风",常更新数据!O17,TRUE(),常更新数据!$O$9)</f>
        <v>3907</v>
      </c>
      <c r="U63" s="1" t="s">
        <v>680</v>
      </c>
      <c r="V63" s="1" t="b">
        <f ca="1" t="shared" si="8"/>
        <v>0</v>
      </c>
      <c r="W63" s="1" t="b">
        <f>U63=计算主页!$P$40</f>
        <v>0</v>
      </c>
      <c r="X63" s="1" t="b">
        <f>计算主页!$R$40=U63</f>
        <v>0</v>
      </c>
      <c r="Y63" s="1" t="b">
        <f>OR(W63:X63)</f>
        <v>0</v>
      </c>
      <c r="Z63" s="1" t="b">
        <f ca="1">IF($Z$26&lt;$V$26,Y63,V63)</f>
        <v>0</v>
      </c>
      <c r="AA63" s="1">
        <f ca="1">IF($Z$26&lt;$V$26,COUNTIF(W63:X63,TRUE()),COUNTIF($T$2:$T$13,U63))</f>
        <v>0</v>
      </c>
    </row>
    <row r="64" spans="1:27">
      <c r="A64" s="12" t="s">
        <v>56</v>
      </c>
      <c r="B64" s="1" t="str">
        <f t="shared" si="10"/>
        <v>梦冷星•特效(会心 会效 无双 41400)</v>
      </c>
      <c r="C64" s="1">
        <f ca="1">ROUNDUP(_xlfn.XLOOKUP(A64,角色属性!$AE$7:$AE$17,角色属性!$AF$7:$AF$17,0)*角色属性!$AF$20*R10,0)</f>
        <v>37260</v>
      </c>
      <c r="D64" s="1">
        <f ca="1" t="shared" si="11"/>
        <v>2795</v>
      </c>
      <c r="E64" s="1">
        <f ca="1" t="shared" si="12"/>
        <v>0</v>
      </c>
      <c r="G64" s="1" cm="1">
        <f ca="1" t="array" ref="G64">_xlfn.IFS(计算主页!N18="无",0,LEFT(计算主页!N18,2)="挑战",IF(R10&gt;常更新数据!$K$7,常更新数据!$P$16,常更新数据!$O$16),LEFT(计算主页!N18,2)="阆风",常更新数据!O17,TRUE(),常更新数据!$O$9)</f>
        <v>3907</v>
      </c>
      <c r="U64" s="1" t="s">
        <v>681</v>
      </c>
      <c r="V64" s="1" t="b">
        <f ca="1" t="shared" si="8"/>
        <v>0</v>
      </c>
      <c r="W64" s="1" t="b">
        <f>U64=计算主页!$P$40</f>
        <v>0</v>
      </c>
      <c r="X64" s="1" t="b">
        <f>计算主页!$R$40=U64</f>
        <v>0</v>
      </c>
      <c r="Y64" s="1" t="b">
        <f>OR(W64:X64)</f>
        <v>0</v>
      </c>
      <c r="Z64" s="1" t="b">
        <f ca="1">IF($Z$26&lt;$V$26,Y64,V64)</f>
        <v>0</v>
      </c>
      <c r="AA64" s="1">
        <f ca="1">IF($Z$26&lt;$V$26,COUNTIF(W64:X64,TRUE()),COUNTIF($T$2:$T$13,U64))</f>
        <v>0</v>
      </c>
    </row>
    <row r="65" spans="1:27">
      <c r="A65" s="12" t="s">
        <v>56</v>
      </c>
      <c r="B65" s="1" t="str">
        <f t="shared" si="10"/>
        <v>梦冷星•特效(会心 会效 无双 41400)</v>
      </c>
      <c r="C65" s="1">
        <f ca="1">ROUNDUP(_xlfn.XLOOKUP(A65,角色属性!$AE$7:$AE$17,角色属性!$AF$7:$AF$17,0)*角色属性!$AF$20*R11,0)</f>
        <v>37260</v>
      </c>
      <c r="D65" s="1">
        <f ca="1" t="shared" si="11"/>
        <v>2795</v>
      </c>
      <c r="E65" s="1">
        <f ca="1" t="shared" si="12"/>
        <v>0</v>
      </c>
      <c r="G65" s="1" cm="1">
        <f ca="1" t="array" ref="G65">_xlfn.IFS(计算主页!N19="无",0,LEFT(计算主页!N19,2)="挑战",IF(R11&gt;常更新数据!$K$7,常更新数据!$P$16,常更新数据!$O$16),LEFT(计算主页!N19,2)="阆风",常更新数据!O17,TRUE(),常更新数据!$O$9)</f>
        <v>3907</v>
      </c>
      <c r="U65" s="1" t="s">
        <v>682</v>
      </c>
      <c r="V65" s="1" t="b">
        <f ca="1" t="shared" si="8"/>
        <v>0</v>
      </c>
      <c r="W65" s="60" t="b">
        <f>OR(计算主页!$L$38=U65,U65=计算主页!$N$38)</f>
        <v>0</v>
      </c>
      <c r="X65" s="60"/>
      <c r="Y65" s="60"/>
      <c r="Z65" s="1" t="b">
        <f ca="1">IF($Z$26&lt;$V$26,Y65,V65)</f>
        <v>0</v>
      </c>
    </row>
    <row r="66" spans="1:27">
      <c r="A66" s="12" t="s">
        <v>61</v>
      </c>
      <c r="B66" s="1" t="str">
        <f t="shared" si="10"/>
        <v>玄脉囊(会心 无双 41400)</v>
      </c>
      <c r="C66" s="1">
        <f ca="1">ROUNDUP(_xlfn.XLOOKUP(A66,角色属性!$AE$7:$AE$17,角色属性!$AF$7:$AF$17,0)*角色属性!$AF$20*R12,0)</f>
        <v>44711</v>
      </c>
      <c r="D66" s="1">
        <f ca="1" t="shared" si="11"/>
        <v>3353</v>
      </c>
      <c r="E66" s="1">
        <f ca="1" t="shared" si="12"/>
        <v>1156</v>
      </c>
      <c r="G66" s="1" cm="1">
        <f ca="1" t="array" ref="G66">_xlfn.IFS(计算主页!N20="无",0,LEFT(计算主页!N20,2)="挑战",IF(R12&gt;常更新数据!$K$7,常更新数据!$P$16,常更新数据!$O$16),LEFT(计算主页!N20,2)="阆风",常更新数据!O17,TRUE(),常更新数据!$O$9)</f>
        <v>3907</v>
      </c>
    </row>
    <row r="67" spans="1:27">
      <c r="A67" s="12" t="s">
        <v>64</v>
      </c>
      <c r="B67" s="1" t="str">
        <f t="shared" si="10"/>
        <v>照梦枝(会心 破防 加速 39750)</v>
      </c>
      <c r="C67" s="1">
        <f ca="1">ROUNDUP(_xlfn.XLOOKUP(A67,角色属性!$AE$7:$AE$17,角色属性!$AF$7:$AF$17,0)*IF(P13&gt;6,角色属性!AF22,角色属性!AF21)*R13,0)</f>
        <v>95400</v>
      </c>
      <c r="D67" s="1">
        <f ca="1" t="shared" si="11"/>
        <v>11830</v>
      </c>
      <c r="E67" s="1">
        <f ca="1" t="shared" si="12"/>
        <v>3468</v>
      </c>
      <c r="F67" s="1">
        <f>3.5*AF2*AF4*6</f>
        <v>9240</v>
      </c>
      <c r="G67" s="1" cm="1">
        <f t="array" ref="G67">_xlfn.IFS(计算主页!N21="无",0,TRUE(),常更新数据!$O$9)</f>
        <v>3368</v>
      </c>
      <c r="U67" s="1" t="s">
        <v>96</v>
      </c>
    </row>
    <row r="68" spans="1:27">
      <c r="U68" s="1" t="s">
        <v>610</v>
      </c>
      <c r="V68" s="1" t="b">
        <f ca="1">Z7</f>
        <v>1</v>
      </c>
      <c r="W68" s="60" t="b">
        <f>AND(计算主页!L36="大伤腕")</f>
        <v>0</v>
      </c>
      <c r="X68" s="60"/>
      <c r="Y68" s="60"/>
      <c r="Z68" s="1" t="b">
        <f ca="1">IF($Z$26&lt;$V$26,W68,V68)</f>
        <v>1</v>
      </c>
      <c r="AA68" s="60" t="b">
        <f ca="1">OR(Z68:Z69)</f>
        <v>1</v>
      </c>
    </row>
    <row r="69" spans="1:27">
      <c r="U69" s="1" t="s">
        <v>608</v>
      </c>
      <c r="V69" s="1" t="b">
        <f ca="1">Z6</f>
        <v>0</v>
      </c>
      <c r="W69" s="60" t="b">
        <f>AND(计算主页!L36="小伤腕")</f>
        <v>0</v>
      </c>
      <c r="X69" s="60"/>
      <c r="Y69" s="60"/>
      <c r="Z69" s="1" t="b">
        <f ca="1">IF($Z$26&lt;$V$26,W69,V69)</f>
        <v>0</v>
      </c>
      <c r="AA69" s="60"/>
    </row>
    <row r="70" spans="1:27">
      <c r="U70" s="1" t="s">
        <v>612</v>
      </c>
      <c r="V70" s="1" t="b">
        <f ca="1">Z9</f>
        <v>1</v>
      </c>
      <c r="W70" s="60" t="b">
        <f>AND(计算主页!N36="大伤鞋")</f>
        <v>0</v>
      </c>
      <c r="X70" s="60"/>
      <c r="Y70" s="60"/>
      <c r="Z70" s="1" t="b">
        <f ca="1">IF($Z$26&lt;$V$26,W70,V70)</f>
        <v>1</v>
      </c>
      <c r="AA70" s="60" t="b">
        <f ca="1">OR(Z70:Z71)</f>
        <v>1</v>
      </c>
    </row>
    <row r="71" spans="1:27">
      <c r="A71" s="4" t="s">
        <v>652</v>
      </c>
      <c r="B71" s="4" t="s">
        <v>145</v>
      </c>
      <c r="C71" s="4" t="s">
        <v>91</v>
      </c>
      <c r="D71" s="4" t="s">
        <v>47</v>
      </c>
      <c r="E71" s="4" t="s">
        <v>98</v>
      </c>
      <c r="F71" s="4" t="s">
        <v>42</v>
      </c>
      <c r="G71" s="4" t="s">
        <v>32</v>
      </c>
      <c r="H71" s="4" t="s">
        <v>24</v>
      </c>
      <c r="I71" s="4" t="s">
        <v>110</v>
      </c>
      <c r="J71" s="4" t="s">
        <v>37</v>
      </c>
      <c r="K71" s="1" t="s">
        <v>265</v>
      </c>
      <c r="L71" s="1" t="s">
        <v>29</v>
      </c>
      <c r="M71" s="1" t="s">
        <v>278</v>
      </c>
      <c r="N71" s="1" t="s">
        <v>259</v>
      </c>
      <c r="O71" s="1" t="s">
        <v>282</v>
      </c>
      <c r="P71" s="1" t="s">
        <v>683</v>
      </c>
      <c r="Q71" s="1" t="s">
        <v>286</v>
      </c>
      <c r="U71" s="1" t="s">
        <v>97</v>
      </c>
      <c r="V71" s="1" t="b">
        <f ca="1">Z8</f>
        <v>0</v>
      </c>
      <c r="W71" s="60" t="b">
        <f>AND(计算主页!N36="小伤鞋")</f>
        <v>1</v>
      </c>
      <c r="X71" s="60"/>
      <c r="Y71" s="60"/>
      <c r="Z71" s="1" t="b">
        <f ca="1">IF($Z$26&lt;$V$26,W71,V71)</f>
        <v>0</v>
      </c>
      <c r="AA71" s="60"/>
    </row>
    <row r="72" spans="1:27">
      <c r="A72" s="1" t="s">
        <v>20</v>
      </c>
      <c r="B72" s="1">
        <f>常更新数据!F9</f>
        <v>889</v>
      </c>
      <c r="C72" s="1">
        <f>常更新数据!F3</f>
        <v>420</v>
      </c>
      <c r="D72" s="1">
        <f>常更新数据!F2</f>
        <v>994</v>
      </c>
      <c r="E72" s="1">
        <f>常更新数据!F4</f>
        <v>3279</v>
      </c>
      <c r="F72" s="1">
        <f>E72</f>
        <v>3279</v>
      </c>
      <c r="G72" s="1">
        <f>E72</f>
        <v>3279</v>
      </c>
      <c r="H72" s="1">
        <f>E72</f>
        <v>3279</v>
      </c>
      <c r="I72" s="1">
        <f>E72</f>
        <v>3279</v>
      </c>
      <c r="J72" s="1">
        <f>E72</f>
        <v>3279</v>
      </c>
      <c r="L72" s="1">
        <f>常更新数据!F10</f>
        <v>978</v>
      </c>
      <c r="M72" s="1">
        <f ca="1">IF(计算主页!N16=M71,IF(R8&gt;常更新数据!K7,常更新数据!G11,常更新数据!F11),0)+IF(计算主页!N18=M71,IF(R10&gt;常更新数据!K7,常更新数据!G11,常更新数据!F11),0)+IF(计算主页!N19=M71,IF(R11&gt;常更新数据!K7,常更新数据!G11,常更新数据!F11),0)+IF(计算主页!N20=M71,IF(R12&gt;常更新数据!K7,常更新数据!G11,常更新数据!F11),0)</f>
        <v>0</v>
      </c>
      <c r="N72" s="1">
        <f ca="1">IF(计算主页!N18=N71,IF(R10&gt;常更新数据!K7,常更新数据!G13,常更新数据!F13),0)+IF(计算主页!N19=N71,IF(R11&gt;常更新数据!K7,常更新数据!G13,常更新数据!F13),0)</f>
        <v>0</v>
      </c>
      <c r="O72" s="1">
        <f ca="1">IF(计算主页!N17=O71,IF(R9&gt;常更新数据!K7,常更新数据!G12,常更新数据!F12),0)</f>
        <v>0</v>
      </c>
      <c r="P72" s="1">
        <f ca="1">IF(计算主页!N20=P71,IF(R12&gt;常更新数据!K7,常更新数据!G12,常更新数据!F12),0)</f>
        <v>0</v>
      </c>
      <c r="Q72" s="1">
        <f ca="1">IF(计算主页!N20=Q71,IF(R12&gt;常更新数据!K7,常更新数据!G12,常更新数据!F12),0)</f>
        <v>0</v>
      </c>
      <c r="U72" s="1" t="s">
        <v>35</v>
      </c>
      <c r="V72" s="1" t="b">
        <f>S4</f>
        <v>1</v>
      </c>
      <c r="W72" s="60" t="b">
        <f>AND(计算主页!P36="伤腰")</f>
        <v>1</v>
      </c>
      <c r="X72" s="60"/>
      <c r="Y72" s="60"/>
      <c r="Z72" s="1" t="b">
        <f>IF($Z$26&lt;$V$26,W72,V72)</f>
        <v>1</v>
      </c>
    </row>
    <row r="73" spans="1:27">
      <c r="A73" s="1" t="s">
        <v>684</v>
      </c>
      <c r="B73" s="1">
        <f>COUNTIF(计算主页!$N$10:$N$21,B71)</f>
        <v>0</v>
      </c>
      <c r="C73" s="1">
        <f>COUNTIF(计算主页!$N$10:$N$21,C71)</f>
        <v>0</v>
      </c>
      <c r="D73" s="1">
        <f>COUNTIF(计算主页!$N$10:$N$21,D71)</f>
        <v>2</v>
      </c>
      <c r="E73" s="1">
        <f>COUNTIF(计算主页!$N$10:$N$21,E71)</f>
        <v>0</v>
      </c>
      <c r="F73" s="1">
        <f>COUNTIF(计算主页!$N$10:$N$21,F71)</f>
        <v>0</v>
      </c>
      <c r="G73" s="1">
        <f>COUNTIF(计算主页!$N$10:$N$21,G71)</f>
        <v>0</v>
      </c>
      <c r="H73" s="1">
        <f>COUNTIF(计算主页!$N$10:$N$21,H71)</f>
        <v>1</v>
      </c>
      <c r="I73" s="1">
        <f>COUNTIF(计算主页!$N$10:$N$21,I71)</f>
        <v>0</v>
      </c>
      <c r="J73" s="1">
        <f>COUNTIF(计算主页!$N$10:$N$21,J71)</f>
        <v>2</v>
      </c>
      <c r="K73" s="1">
        <f>COUNTIF(计算主页!$N$10:$N$21,K71)</f>
        <v>0</v>
      </c>
      <c r="L73" s="1">
        <f>COUNTIF(计算主页!$N$10:$N$21,L71)</f>
        <v>2</v>
      </c>
    </row>
    <row r="74" spans="1:27">
      <c r="U74" s="1" t="s">
        <v>685</v>
      </c>
    </row>
    <row r="75" spans="1:27">
      <c r="A75" s="1" t="s">
        <v>686</v>
      </c>
      <c r="B75" s="1" t="s">
        <v>52</v>
      </c>
      <c r="C75" s="1" t="s">
        <v>687</v>
      </c>
      <c r="D75" s="1" t="s">
        <v>58</v>
      </c>
      <c r="E75" s="1" t="s">
        <v>688</v>
      </c>
      <c r="F75" s="1" t="s">
        <v>689</v>
      </c>
      <c r="G75" s="1" t="s">
        <v>63</v>
      </c>
      <c r="H75" s="1" t="s">
        <v>262</v>
      </c>
      <c r="U75" s="1" t="s">
        <v>690</v>
      </c>
      <c r="V75" s="1" t="b">
        <f ca="1" t="shared" ref="V75:V98" si="13">COUNTIF($T$2:$T$13,U75)&gt;=1</f>
        <v>0</v>
      </c>
      <c r="W75" s="60" t="b">
        <f>AND(计算主页!$L$39=U75)</f>
        <v>0</v>
      </c>
      <c r="X75" s="60"/>
      <c r="Y75" s="60"/>
      <c r="Z75" s="1" t="b">
        <f ca="1" t="shared" ref="Z75:Z98" si="14">IF($Z$26&lt;$V$26,W75,V75)</f>
        <v>0</v>
      </c>
      <c r="AA75" s="60" t="b">
        <f ca="1">OR(Z75:Z77)</f>
        <v>0</v>
      </c>
    </row>
    <row r="76" spans="1:27">
      <c r="A76" s="1" t="s">
        <v>20</v>
      </c>
      <c r="B76" s="1">
        <v>0</v>
      </c>
      <c r="C76" s="1">
        <f>常更新数据!F14</f>
        <v>526</v>
      </c>
      <c r="D76" s="1">
        <f>常更新数据!F15</f>
        <v>1242</v>
      </c>
      <c r="E76" s="1">
        <f>常更新数据!F16</f>
        <v>4099</v>
      </c>
      <c r="F76" s="1">
        <f>常更新数据!F16</f>
        <v>4099</v>
      </c>
      <c r="G76" s="1">
        <f>常更新数据!F16</f>
        <v>4099</v>
      </c>
      <c r="H76" s="1">
        <f>常更新数据!F16</f>
        <v>4099</v>
      </c>
      <c r="U76" s="1" t="s">
        <v>691</v>
      </c>
      <c r="V76" s="1" t="b">
        <f ca="1" t="shared" si="13"/>
        <v>0</v>
      </c>
      <c r="W76" s="60" t="b">
        <f>AND(计算主页!$L$39=U76)</f>
        <v>0</v>
      </c>
      <c r="X76" s="60"/>
      <c r="Y76" s="60"/>
      <c r="Z76" s="1" t="b">
        <f ca="1" t="shared" si="14"/>
        <v>0</v>
      </c>
      <c r="AA76" s="60"/>
    </row>
    <row r="77" spans="1:27">
      <c r="A77" s="1" t="s">
        <v>684</v>
      </c>
      <c r="B77" s="1">
        <f>COUNTIF(计算主页!$N$10:$N$21,B75)</f>
        <v>2</v>
      </c>
      <c r="C77" s="1">
        <f>COUNTIF(计算主页!$N$10:$N$21,C75)</f>
        <v>0</v>
      </c>
      <c r="D77" s="1">
        <f>COUNTIF(计算主页!$N$10:$N$21,D75)</f>
        <v>2</v>
      </c>
      <c r="E77" s="1">
        <f>COUNTIF(计算主页!$N$10:$N$21,E75)</f>
        <v>0</v>
      </c>
      <c r="F77" s="1">
        <f>COUNTIF(计算主页!$N$10:$N$21,F75)</f>
        <v>0</v>
      </c>
      <c r="G77" s="1">
        <f>COUNTIF(计算主页!$N$10:$N$21,G75)</f>
        <v>1</v>
      </c>
      <c r="H77" s="1">
        <f>COUNTIF(计算主页!$N$10:$N$21,H75)</f>
        <v>0</v>
      </c>
      <c r="U77" s="1" t="s">
        <v>692</v>
      </c>
      <c r="V77" s="1" t="b">
        <f ca="1" t="shared" si="13"/>
        <v>0</v>
      </c>
      <c r="W77" s="60" t="b">
        <f>AND(计算主页!$L$39=U77)</f>
        <v>0</v>
      </c>
      <c r="X77" s="60"/>
      <c r="Y77" s="60"/>
      <c r="Z77" s="1" t="b">
        <f ca="1" t="shared" si="14"/>
        <v>0</v>
      </c>
      <c r="AA77" s="60"/>
    </row>
    <row r="78" spans="1:27">
      <c r="U78" s="1" t="s">
        <v>693</v>
      </c>
      <c r="V78" s="1" t="b">
        <f ca="1" t="shared" si="13"/>
        <v>0</v>
      </c>
      <c r="W78" s="60" t="b">
        <f>AND(计算主页!$N$39=U78)</f>
        <v>0</v>
      </c>
      <c r="X78" s="60"/>
      <c r="Y78" s="60"/>
      <c r="Z78" s="1" t="b">
        <f ca="1" t="shared" si="14"/>
        <v>0</v>
      </c>
      <c r="AA78" s="60" t="b">
        <f ca="1">OR(Z78:Z80)</f>
        <v>0</v>
      </c>
    </row>
    <row r="79" spans="1:27">
      <c r="U79" s="1" t="s">
        <v>694</v>
      </c>
      <c r="V79" s="1" t="b">
        <f ca="1" t="shared" si="13"/>
        <v>0</v>
      </c>
      <c r="W79" s="60" t="b">
        <f>AND(计算主页!$N$39=U79)</f>
        <v>0</v>
      </c>
      <c r="X79" s="60"/>
      <c r="Y79" s="60"/>
      <c r="Z79" s="1" t="b">
        <f ca="1" t="shared" si="14"/>
        <v>0</v>
      </c>
      <c r="AA79" s="60"/>
    </row>
    <row r="80" spans="1:27">
      <c r="U80" s="1" t="s">
        <v>106</v>
      </c>
      <c r="V80" s="1" t="b">
        <f ca="1" t="shared" si="13"/>
        <v>0</v>
      </c>
      <c r="W80" s="60" t="b">
        <f>AND(计算主页!$N$39=U80)</f>
        <v>1</v>
      </c>
      <c r="X80" s="60"/>
      <c r="Y80" s="60"/>
      <c r="Z80" s="1" t="b">
        <f ca="1" t="shared" si="14"/>
        <v>0</v>
      </c>
      <c r="AA80" s="60"/>
    </row>
    <row r="81" spans="21:27">
      <c r="U81" s="1" t="s">
        <v>107</v>
      </c>
      <c r="V81" s="1" t="b">
        <f ca="1" t="shared" si="13"/>
        <v>0</v>
      </c>
      <c r="W81" s="60" t="b">
        <f>AND(计算主页!$P$39=U81)</f>
        <v>1</v>
      </c>
      <c r="X81" s="60"/>
      <c r="Y81" s="60"/>
      <c r="Z81" s="1" t="b">
        <f ca="1" t="shared" si="14"/>
        <v>0</v>
      </c>
      <c r="AA81" s="60" t="b">
        <f ca="1">OR(Z81:Z86)</f>
        <v>0</v>
      </c>
    </row>
    <row r="82" spans="21:27">
      <c r="U82" s="1" t="s">
        <v>695</v>
      </c>
      <c r="V82" s="1" t="b">
        <f ca="1" t="shared" si="13"/>
        <v>0</v>
      </c>
      <c r="W82" s="60" t="b">
        <f>AND(计算主页!$P$39=U82)</f>
        <v>0</v>
      </c>
      <c r="X82" s="60"/>
      <c r="Y82" s="60"/>
      <c r="Z82" s="1" t="b">
        <f ca="1" t="shared" si="14"/>
        <v>0</v>
      </c>
      <c r="AA82" s="60"/>
    </row>
    <row r="83" spans="21:27">
      <c r="U83" s="1" t="s">
        <v>696</v>
      </c>
      <c r="V83" s="1" t="b">
        <f ca="1" t="shared" si="13"/>
        <v>0</v>
      </c>
      <c r="W83" s="60" t="b">
        <f>AND(计算主页!$P$39=U83)</f>
        <v>0</v>
      </c>
      <c r="X83" s="60"/>
      <c r="Y83" s="60"/>
      <c r="Z83" s="1" t="b">
        <f ca="1" t="shared" si="14"/>
        <v>0</v>
      </c>
      <c r="AA83" s="60"/>
    </row>
    <row r="84" spans="21:27">
      <c r="U84" s="1" t="s">
        <v>697</v>
      </c>
      <c r="V84" s="1" t="b">
        <f ca="1" t="shared" si="13"/>
        <v>0</v>
      </c>
      <c r="W84" s="60" t="b">
        <f>AND(计算主页!$P$39=U84)</f>
        <v>0</v>
      </c>
      <c r="X84" s="60"/>
      <c r="Y84" s="60"/>
      <c r="Z84" s="1" t="b">
        <f ca="1" t="shared" si="14"/>
        <v>0</v>
      </c>
    </row>
    <row r="85" spans="21:27">
      <c r="U85" s="1" t="s">
        <v>698</v>
      </c>
      <c r="V85" s="1" t="b">
        <f ca="1" t="shared" si="13"/>
        <v>0</v>
      </c>
      <c r="W85" s="60" t="b">
        <f>AND(计算主页!$P$39=U85)</f>
        <v>0</v>
      </c>
      <c r="X85" s="60"/>
      <c r="Y85" s="60"/>
      <c r="Z85" s="1" t="b">
        <f ca="1" t="shared" si="14"/>
        <v>0</v>
      </c>
    </row>
    <row r="86" spans="21:27">
      <c r="U86" s="1" t="s">
        <v>699</v>
      </c>
      <c r="V86" s="1" t="b">
        <f ca="1" t="shared" si="13"/>
        <v>0</v>
      </c>
      <c r="W86" s="60" t="b">
        <f>AND(计算主页!$P$39=U86)</f>
        <v>0</v>
      </c>
      <c r="X86" s="60"/>
      <c r="Y86" s="60"/>
      <c r="Z86" s="1" t="b">
        <f ca="1" t="shared" si="14"/>
        <v>0</v>
      </c>
    </row>
    <row r="87" spans="21:27">
      <c r="U87" s="1" t="s">
        <v>700</v>
      </c>
      <c r="V87" s="1" t="b">
        <f ca="1" t="shared" si="13"/>
        <v>0</v>
      </c>
      <c r="W87" s="60" t="b">
        <f>AND(计算主页!$L$40=U87)</f>
        <v>0</v>
      </c>
      <c r="X87" s="60"/>
      <c r="Y87" s="60"/>
      <c r="Z87" s="1" t="b">
        <f ca="1" t="shared" si="14"/>
        <v>0</v>
      </c>
      <c r="AA87" s="60" t="b">
        <f ca="1">OR(Z87:Z92)</f>
        <v>0</v>
      </c>
    </row>
    <row r="88" spans="21:27">
      <c r="U88" s="1" t="s">
        <v>701</v>
      </c>
      <c r="V88" s="1" t="b">
        <f ca="1" t="shared" si="13"/>
        <v>0</v>
      </c>
      <c r="W88" s="60" t="b">
        <f>AND(计算主页!$L$40=U88)</f>
        <v>0</v>
      </c>
      <c r="X88" s="60"/>
      <c r="Y88" s="60"/>
      <c r="Z88" s="1" t="b">
        <f ca="1" t="shared" si="14"/>
        <v>0</v>
      </c>
      <c r="AA88" s="60"/>
    </row>
    <row r="89" spans="21:27">
      <c r="U89" s="1" t="s">
        <v>702</v>
      </c>
      <c r="V89" s="1" t="b">
        <f ca="1" t="shared" si="13"/>
        <v>0</v>
      </c>
      <c r="W89" s="60" t="b">
        <f>AND(计算主页!$L$40=U89)</f>
        <v>0</v>
      </c>
      <c r="X89" s="60"/>
      <c r="Y89" s="60"/>
      <c r="Z89" s="1" t="b">
        <f ca="1" t="shared" si="14"/>
        <v>0</v>
      </c>
      <c r="AA89" s="60"/>
    </row>
    <row r="90" spans="21:27">
      <c r="U90" s="1" t="s">
        <v>703</v>
      </c>
      <c r="V90" s="1" t="b">
        <f ca="1" t="shared" si="13"/>
        <v>0</v>
      </c>
      <c r="W90" s="60" t="b">
        <f>AND(计算主页!$L$40=U90)</f>
        <v>0</v>
      </c>
      <c r="X90" s="60"/>
      <c r="Y90" s="60"/>
      <c r="Z90" s="1" t="b">
        <f ca="1" t="shared" si="14"/>
        <v>0</v>
      </c>
    </row>
    <row r="91" spans="21:27">
      <c r="U91" s="1" t="s">
        <v>704</v>
      </c>
      <c r="V91" s="1" t="b">
        <f ca="1" t="shared" si="13"/>
        <v>0</v>
      </c>
      <c r="W91" s="60" t="b">
        <f>AND(计算主页!$L$40=U91)</f>
        <v>0</v>
      </c>
      <c r="X91" s="60"/>
      <c r="Y91" s="60"/>
      <c r="Z91" s="1" t="b">
        <f ca="1" t="shared" si="14"/>
        <v>0</v>
      </c>
    </row>
    <row r="92" spans="21:27">
      <c r="U92" s="1" t="s">
        <v>705</v>
      </c>
      <c r="V92" s="1" t="b">
        <f ca="1" t="shared" si="13"/>
        <v>0</v>
      </c>
      <c r="W92" s="60" t="b">
        <f>AND(计算主页!$L$40=U92)</f>
        <v>0</v>
      </c>
      <c r="X92" s="60"/>
      <c r="Y92" s="60"/>
      <c r="Z92" s="1" t="b">
        <f ca="1" t="shared" si="14"/>
        <v>0</v>
      </c>
    </row>
    <row r="93" spans="21:27">
      <c r="U93" s="1" t="s">
        <v>706</v>
      </c>
      <c r="V93" s="1" t="b">
        <f ca="1" t="shared" si="13"/>
        <v>0</v>
      </c>
      <c r="W93" s="60" t="b">
        <f>AND(计算主页!$N$40=U93)</f>
        <v>0</v>
      </c>
      <c r="X93" s="60"/>
      <c r="Y93" s="60"/>
      <c r="Z93" s="1" t="b">
        <f ca="1" t="shared" si="14"/>
        <v>0</v>
      </c>
      <c r="AA93" s="60" t="b">
        <f ca="1">OR(Z93:Z98)</f>
        <v>0</v>
      </c>
    </row>
    <row r="94" spans="21:27">
      <c r="U94" s="1" t="s">
        <v>707</v>
      </c>
      <c r="V94" s="1" t="b">
        <f ca="1" t="shared" si="13"/>
        <v>0</v>
      </c>
      <c r="W94" s="60" t="b">
        <f>AND(计算主页!$N$40=U94)</f>
        <v>0</v>
      </c>
      <c r="X94" s="60"/>
      <c r="Y94" s="60"/>
      <c r="Z94" s="1" t="b">
        <f ca="1" t="shared" si="14"/>
        <v>0</v>
      </c>
      <c r="AA94" s="60"/>
    </row>
    <row r="95" spans="21:27">
      <c r="U95" s="1" t="s">
        <v>708</v>
      </c>
      <c r="V95" s="1" t="b">
        <f ca="1" t="shared" si="13"/>
        <v>0</v>
      </c>
      <c r="W95" s="60" t="b">
        <f>AND(计算主页!$N$40=U95)</f>
        <v>0</v>
      </c>
      <c r="X95" s="60"/>
      <c r="Y95" s="60"/>
      <c r="Z95" s="1" t="b">
        <f ca="1" t="shared" si="14"/>
        <v>0</v>
      </c>
      <c r="AA95" s="60"/>
    </row>
    <row r="96" spans="21:27">
      <c r="U96" s="1" t="s">
        <v>709</v>
      </c>
      <c r="V96" s="1" t="b">
        <f ca="1" t="shared" si="13"/>
        <v>0</v>
      </c>
      <c r="W96" s="60" t="b">
        <f>AND(计算主页!$N$40=U96)</f>
        <v>0</v>
      </c>
      <c r="X96" s="60"/>
      <c r="Y96" s="60"/>
      <c r="Z96" s="1" t="b">
        <f ca="1" t="shared" si="14"/>
        <v>0</v>
      </c>
    </row>
    <row r="97" spans="21:26">
      <c r="U97" s="1" t="s">
        <v>710</v>
      </c>
      <c r="V97" s="1" t="b">
        <f ca="1" t="shared" si="13"/>
        <v>0</v>
      </c>
      <c r="W97" s="60" t="b">
        <f>AND(计算主页!$N$40=U97)</f>
        <v>0</v>
      </c>
      <c r="X97" s="60"/>
      <c r="Y97" s="60"/>
      <c r="Z97" s="1" t="b">
        <f ca="1" t="shared" si="14"/>
        <v>0</v>
      </c>
    </row>
    <row r="98" spans="21:26">
      <c r="U98" s="1" t="s">
        <v>711</v>
      </c>
      <c r="V98" s="1" t="b">
        <f ca="1" t="shared" si="13"/>
        <v>0</v>
      </c>
      <c r="W98" s="60" t="b">
        <f>AND(计算主页!$N$40=U98)</f>
        <v>0</v>
      </c>
      <c r="X98" s="60"/>
      <c r="Y98" s="60"/>
      <c r="Z98" s="1" t="b">
        <f ca="1" t="shared" si="14"/>
        <v>0</v>
      </c>
    </row>
  </sheetData>
  <mergeCells count="55">
    <mergeCell ref="W32:Y32"/>
    <mergeCell ref="W34:Y34"/>
    <mergeCell ref="W35:Y35"/>
    <mergeCell ref="W36:Y36"/>
    <mergeCell ref="W37:Y37"/>
    <mergeCell ref="W38:Y38"/>
    <mergeCell ref="W39:Y39"/>
    <mergeCell ref="W40:Y40"/>
    <mergeCell ref="W42:Y42"/>
    <mergeCell ref="W43:Y43"/>
    <mergeCell ref="W44:Y44"/>
    <mergeCell ref="W45:Y45"/>
    <mergeCell ref="W46:Y46"/>
    <mergeCell ref="W47:Y47"/>
    <mergeCell ref="W48:Y48"/>
    <mergeCell ref="W49:Y49"/>
    <mergeCell ref="W54:Y54"/>
    <mergeCell ref="W55:Y55"/>
    <mergeCell ref="W56:Y56"/>
    <mergeCell ref="W57:Y57"/>
    <mergeCell ref="W58:Y58"/>
    <mergeCell ref="W59:Y59"/>
    <mergeCell ref="W60:Y60"/>
    <mergeCell ref="W65:Y65"/>
    <mergeCell ref="W68:Y68"/>
    <mergeCell ref="W69:Y69"/>
    <mergeCell ref="W70:Y70"/>
    <mergeCell ref="W71:Y71"/>
    <mergeCell ref="W72:Y72"/>
    <mergeCell ref="W75:Y75"/>
    <mergeCell ref="W76:Y76"/>
    <mergeCell ref="W77:Y77"/>
    <mergeCell ref="W78:Y78"/>
    <mergeCell ref="W79:Y79"/>
    <mergeCell ref="W80:Y80"/>
    <mergeCell ref="W81:Y81"/>
    <mergeCell ref="W82:Y82"/>
    <mergeCell ref="W83:Y83"/>
    <mergeCell ref="W84:Y84"/>
    <mergeCell ref="W85:Y85"/>
    <mergeCell ref="W86:Y86"/>
    <mergeCell ref="W87:Y87"/>
    <mergeCell ref="W88:Y88"/>
    <mergeCell ref="W89:Y89"/>
    <mergeCell ref="W90:Y90"/>
    <mergeCell ref="W91:Y91"/>
    <mergeCell ref="W92:Y92"/>
    <mergeCell ref="W93:Y93"/>
    <mergeCell ref="W94:Y94"/>
    <mergeCell ref="W95:Y95"/>
    <mergeCell ref="W96:Y96"/>
    <mergeCell ref="W97:Y97"/>
    <mergeCell ref="W98:Y98"/>
    <mergeCell ref="AA68:AA69"/>
    <mergeCell ref="AA70:AA71"/>
  </mergeCells>
  <conditionalFormatting sqref="AK2:AK16 AK18">
    <cfRule type="cellIs" dxfId="25" priority="1" operator="equal">
      <formula>$AK$2:$AK$26=TRUE()</formula>
    </cfRule>
  </conditionalFormatting>
  <dataValidations count="1">
    <dataValidation type="list" allowBlank="1" showInputMessage="1" showErrorMessage="1" sqref="AJ24">
      <formula1>"霜天剑泠·悟,合璧知意·悟"</formula1>
    </dataValidation>
  </dataValidations>
  <pageMargins left="0.75" right="0.75" top="1" bottom="1" header="0.5" footer="0.5"/>
  <headerFooter/>
  <ignoredErrors>
    <ignoredError sqref="H47" formulaRange="1"/>
  </ignoredErrors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AH59"/>
  <sheetViews>
    <sheetView workbookViewId="0">
      <selection activeCell="AG3" sqref="AG3"/>
    </sheetView>
  </sheetViews>
  <sheetFormatPr defaultColWidth="9" defaultRowHeight="14.25"/>
  <cols>
    <col min="1" max="1" width="10.625" style="1" customWidth="1"/>
    <col min="2" max="4" width="11.125" style="1"/>
    <col min="5" max="5" width="11" style="1" customWidth="1"/>
    <col min="6" max="7" width="11.125" style="1"/>
    <col min="8" max="9" width="9" style="1"/>
    <col min="10" max="10" width="9.875" style="1" customWidth="1"/>
    <col min="11" max="13" width="11.125" style="1"/>
    <col min="14" max="14" width="9" style="1"/>
    <col min="15" max="17" width="11.125" style="1"/>
    <col min="18" max="18" width="9.625" style="1" customWidth="1"/>
    <col min="19" max="21" width="9" style="1"/>
    <col min="22" max="22" width="11.125" style="1"/>
    <col min="23" max="24" width="9" style="1"/>
    <col min="25" max="26" width="11.125" style="1"/>
    <col min="27" max="29" width="9" style="1"/>
    <col min="30" max="30" width="11.375" style="1" customWidth="1"/>
    <col min="31" max="31" width="11.125" style="1"/>
    <col min="32" max="32" width="9" style="1"/>
    <col min="33" max="33" width="10.125" style="1"/>
    <col min="34" max="34" width="10.375" style="1"/>
    <col min="35" max="35" width="9" style="1"/>
    <col min="36" max="36" width="11.125" style="1"/>
    <col min="37" max="16384" width="9" style="1"/>
  </cols>
  <sheetData>
    <row r="1" spans="1:33">
      <c r="A1" s="12"/>
      <c r="B1" s="12" t="s">
        <v>712</v>
      </c>
      <c r="C1" s="12" t="s">
        <v>713</v>
      </c>
      <c r="E1" s="12" t="s">
        <v>714</v>
      </c>
      <c r="F1" s="50" t="s">
        <v>20</v>
      </c>
      <c r="J1" s="4" t="s">
        <v>590</v>
      </c>
      <c r="K1" s="57" t="s">
        <v>20</v>
      </c>
      <c r="L1" s="57" t="s">
        <v>715</v>
      </c>
      <c r="M1" s="57"/>
      <c r="N1" s="1" t="s">
        <v>592</v>
      </c>
      <c r="O1" s="1" t="s">
        <v>20</v>
      </c>
      <c r="R1" s="1" t="s">
        <v>126</v>
      </c>
      <c r="S1" s="4" t="s">
        <v>91</v>
      </c>
      <c r="T1" s="4" t="s">
        <v>47</v>
      </c>
      <c r="U1" s="4" t="s">
        <v>98</v>
      </c>
      <c r="V1" s="4" t="s">
        <v>42</v>
      </c>
      <c r="W1" s="4" t="s">
        <v>32</v>
      </c>
      <c r="X1" s="1" t="s">
        <v>24</v>
      </c>
      <c r="Y1" s="4" t="s">
        <v>110</v>
      </c>
      <c r="Z1" s="4" t="s">
        <v>37</v>
      </c>
      <c r="AA1" s="1" t="s">
        <v>582</v>
      </c>
      <c r="AB1" s="1" t="s">
        <v>716</v>
      </c>
      <c r="AD1" s="50" t="s">
        <v>717</v>
      </c>
      <c r="AE1" s="50"/>
    </row>
    <row r="2" spans="1:33">
      <c r="A2" s="12" t="s">
        <v>7</v>
      </c>
      <c r="B2" s="12">
        <f>VALUE(IF(全局设置!$D$2,WPS常更新数据!B2,Excel常更新数据!B3))</f>
        <v>946</v>
      </c>
      <c r="C2" s="12">
        <f>VALUE(IF(全局设置!$D$2,WPS常更新数据!C2,Excel常更新数据!C3))</f>
        <v>736</v>
      </c>
      <c r="E2" s="33" t="s">
        <v>47</v>
      </c>
      <c r="F2" s="12">
        <f>VALUE(IF(全局设置!$D$2,WPS常更新数据!B33,Excel常更新数据!B34))</f>
        <v>994</v>
      </c>
      <c r="J2" s="1" t="s">
        <v>597</v>
      </c>
      <c r="K2" s="12">
        <f>VALUE(IF(全局设置!$D$2,WPS常更新数据!B44,Excel常更新数据!B45))</f>
        <v>3501</v>
      </c>
      <c r="L2" s="1">
        <v>15436</v>
      </c>
      <c r="N2" s="1" t="s">
        <v>718</v>
      </c>
      <c r="O2" s="1">
        <f>VALUE(IF(全局设置!$D$2,WPS常更新数据!B79,Excel常更新数据!B80))</f>
        <v>4098</v>
      </c>
      <c r="R2" s="1">
        <v>6</v>
      </c>
      <c r="S2" s="1">
        <f>VALUE(IF(全局设置!$D$2,WPS常更新数据!B94,Excel常更新数据!B95))</f>
        <v>75</v>
      </c>
      <c r="T2" s="1">
        <f>VALUE(IF(全局设置!$D$2,WPS常更新数据!C94,Excel常更新数据!C95))</f>
        <v>179</v>
      </c>
      <c r="U2" s="1">
        <f>VALUE(IF(全局设置!$D$2,WPS常更新数据!D94,Excel常更新数据!D95))</f>
        <v>593</v>
      </c>
      <c r="V2" s="1">
        <f>VALUE(IF(全局设置!$D$2,WPS常更新数据!E94,Excel常更新数据!E95))</f>
        <v>593</v>
      </c>
      <c r="W2" s="1">
        <f>VALUE(IF(全局设置!$D$2,WPS常更新数据!F94,Excel常更新数据!F95))</f>
        <v>593</v>
      </c>
      <c r="X2" s="1">
        <f>VALUE(IF(全局设置!$D$2,WPS常更新数据!G94,Excel常更新数据!G95))</f>
        <v>0</v>
      </c>
      <c r="Y2" s="1">
        <f>VALUE(IF(全局设置!$D$2,WPS常更新数据!H94,Excel常更新数据!H95))</f>
        <v>593</v>
      </c>
      <c r="Z2" s="1">
        <f>VALUE(IF(全局设置!$D$2,WPS常更新数据!I94,Excel常更新数据!I95))</f>
        <v>593</v>
      </c>
      <c r="AA2" s="1">
        <f>VALUE(IF(全局设置!$D$2,WPS常更新数据!J94,Excel常更新数据!J95))</f>
        <v>253</v>
      </c>
      <c r="AD2" s="12" t="s">
        <v>719</v>
      </c>
      <c r="AE2" s="12">
        <f>VALUE(IF(全局设置!$D$2,WPS常更新数据!B108,Excel常更新数据!B109))</f>
        <v>130</v>
      </c>
      <c r="AG2" s="58" t="str">
        <f ca="1">IF(角色属性!Z22=实战面板!V2,"","实战加速"&amp;实战面板!V2)</f>
        <v/>
      </c>
    </row>
    <row r="3" spans="1:33">
      <c r="A3" s="12" t="s">
        <v>720</v>
      </c>
      <c r="B3" s="12">
        <f>VALUE(IF(全局设置!$D$2,WPS常更新数据!B3,Excel常更新数据!B4))</f>
        <v>473</v>
      </c>
      <c r="C3" s="12">
        <f>VALUE(IF(全局设置!$D$2,WPS常更新数据!C3,Excel常更新数据!C4))</f>
        <v>368</v>
      </c>
      <c r="E3" s="12" t="s">
        <v>91</v>
      </c>
      <c r="F3" s="12">
        <f>VALUE(IF(全局设置!$D$2,WPS常更新数据!B34,Excel常更新数据!B35))</f>
        <v>420</v>
      </c>
      <c r="J3" s="1" t="s">
        <v>600</v>
      </c>
      <c r="K3" s="12">
        <f>VALUE(IF(全局设置!$D$2,WPS常更新数据!B45,Excel常更新数据!B46))</f>
        <v>4099</v>
      </c>
      <c r="N3" s="1" t="s">
        <v>721</v>
      </c>
      <c r="O3" s="1">
        <f>VALUE(IF(全局设置!$D$2,WPS常更新数据!B80,Excel常更新数据!B81))</f>
        <v>3494</v>
      </c>
      <c r="R3" s="1">
        <v>7</v>
      </c>
      <c r="S3" s="1">
        <f>VALUE(IF(全局设置!$D$2,WPS常更新数据!B95,Excel常更新数据!B96))</f>
        <v>113</v>
      </c>
      <c r="T3" s="1">
        <f>VALUE(IF(全局设置!$D$2,WPS常更新数据!C95,Excel常更新数据!C96))</f>
        <v>268</v>
      </c>
      <c r="U3" s="1">
        <f>VALUE(IF(全局设置!$D$2,WPS常更新数据!D95,Excel常更新数据!D96))</f>
        <v>889</v>
      </c>
      <c r="V3" s="1">
        <f>VALUE(IF(全局设置!$D$2,WPS常更新数据!E95,Excel常更新数据!E96))</f>
        <v>889</v>
      </c>
      <c r="W3" s="1">
        <f>VALUE(IF(全局设置!$D$2,WPS常更新数据!F95,Excel常更新数据!F96))</f>
        <v>889</v>
      </c>
      <c r="X3" s="1">
        <f>VALUE(IF(全局设置!$D$2,WPS常更新数据!G95,Excel常更新数据!G96))</f>
        <v>0</v>
      </c>
      <c r="Y3" s="1">
        <f>VALUE(IF(全局设置!$D$2,WPS常更新数据!H95,Excel常更新数据!H96))</f>
        <v>889</v>
      </c>
      <c r="Z3" s="1">
        <f>VALUE(IF(全局设置!$D$2,WPS常更新数据!I95,Excel常更新数据!I96))</f>
        <v>889</v>
      </c>
      <c r="AA3" s="1">
        <f>VALUE(IF(全局设置!$D$2,WPS常更新数据!J95,Excel常更新数据!J96))</f>
        <v>380</v>
      </c>
      <c r="AD3" s="12" t="s">
        <v>722</v>
      </c>
      <c r="AE3" s="12">
        <f>VALUE(IF(全局设置!$D$2,WPS常更新数据!B109,Excel常更新数据!B110))</f>
        <v>2</v>
      </c>
      <c r="AG3" s="59">
        <f ca="1">伤害计算!AM3</f>
        <v>11713430.3166304</v>
      </c>
    </row>
    <row r="4" spans="1:33">
      <c r="A4" s="12" t="s">
        <v>723</v>
      </c>
      <c r="B4" s="12">
        <f>VALUE(IF(全局设置!$D$2,WPS常更新数据!B4,Excel常更新数据!B5))</f>
        <v>2236</v>
      </c>
      <c r="C4" s="12">
        <f>VALUE(IF(全局设置!$D$2,WPS常更新数据!C4,Excel常更新数据!C5))</f>
        <v>1739</v>
      </c>
      <c r="E4" s="12" t="s">
        <v>98</v>
      </c>
      <c r="F4" s="12">
        <f>VALUE(IF(全局设置!$D$2,WPS常更新数据!B35,Excel常更新数据!B36))</f>
        <v>3279</v>
      </c>
      <c r="J4" s="1" t="s">
        <v>250</v>
      </c>
      <c r="K4" s="12">
        <f>VALUE(IF(全局设置!$D$2,WPS常更新数据!B46,Excel常更新数据!B47))</f>
        <v>1061</v>
      </c>
      <c r="L4" s="1">
        <v>15413</v>
      </c>
      <c r="N4" s="1" t="s">
        <v>724</v>
      </c>
      <c r="O4" s="1">
        <f>VALUE(IF(全局设置!$D$2,WPS常更新数据!B81,Excel常更新数据!B82))</f>
        <v>4098</v>
      </c>
      <c r="R4" s="1">
        <v>8</v>
      </c>
      <c r="S4" s="1">
        <f>VALUE(IF(全局设置!$D$2,WPS常更新数据!B96,Excel常更新数据!B97))</f>
        <v>168</v>
      </c>
      <c r="T4" s="1">
        <f>VALUE(IF(全局设置!$D$2,WPS常更新数据!C96,Excel常更新数据!C97))</f>
        <v>398</v>
      </c>
      <c r="U4" s="1">
        <f>VALUE(IF(全局设置!$D$2,WPS常更新数据!D96,Excel常更新数据!D97))</f>
        <v>1317</v>
      </c>
      <c r="V4" s="1">
        <f>VALUE(IF(全局设置!$D$2,WPS常更新数据!E96,Excel常更新数据!E97))</f>
        <v>1317</v>
      </c>
      <c r="W4" s="1">
        <f>VALUE(IF(全局设置!$D$2,WPS常更新数据!F96,Excel常更新数据!F97))</f>
        <v>1317</v>
      </c>
      <c r="X4" s="1">
        <f>VALUE(IF(全局设置!$D$2,WPS常更新数据!G96,Excel常更新数据!G97))</f>
        <v>0</v>
      </c>
      <c r="Y4" s="1">
        <f>VALUE(IF(全局设置!$D$2,WPS常更新数据!H96,Excel常更新数据!H97))</f>
        <v>1317</v>
      </c>
      <c r="Z4" s="1">
        <f>VALUE(IF(全局设置!$D$2,WPS常更新数据!I96,Excel常更新数据!I97))</f>
        <v>1317</v>
      </c>
      <c r="AA4" s="1">
        <f>VALUE(IF(全局设置!$D$2,WPS常更新数据!J96,Excel常更新数据!J97))</f>
        <v>563</v>
      </c>
      <c r="AD4" s="12" t="s">
        <v>725</v>
      </c>
      <c r="AE4" s="12">
        <f>VALUE(IF(全局设置!$D$2,WPS常更新数据!B110,Excel常更新数据!B111))</f>
        <v>0.29</v>
      </c>
      <c r="AG4" s="59" t="str">
        <f>IF(全局设置!H2,"旗舰DPS参考","无界DPS参考")</f>
        <v>旗舰DPS参考</v>
      </c>
    </row>
    <row r="5" spans="1:33">
      <c r="A5" s="12" t="s">
        <v>726</v>
      </c>
      <c r="B5" s="12">
        <f>VALUE(IF(全局设置!$D$2,WPS常更新数据!B5,Excel常更新数据!B6))</f>
        <v>1118</v>
      </c>
      <c r="C5" s="12">
        <f>VALUE(IF(全局设置!$D$2,WPS常更新数据!C5,Excel常更新数据!C6))</f>
        <v>869</v>
      </c>
      <c r="E5" s="12" t="s">
        <v>42</v>
      </c>
      <c r="F5" s="12">
        <f>VALUE(IF(全局设置!$D$2,WPS常更新数据!B36,Excel常更新数据!B37))</f>
        <v>3279</v>
      </c>
      <c r="J5" s="1" t="s">
        <v>606</v>
      </c>
      <c r="K5" s="12">
        <f>VALUE(IF(全局设置!$D$2,WPS常更新数据!B47,Excel常更新数据!B48))</f>
        <v>1243</v>
      </c>
      <c r="N5" s="1" t="s">
        <v>727</v>
      </c>
      <c r="O5" s="1">
        <f>VALUE(IF(全局设置!$D$2,WPS常更新数据!B82,Excel常更新数据!B83))</f>
        <v>3494</v>
      </c>
      <c r="R5" s="4"/>
      <c r="AD5" s="12" t="s">
        <v>728</v>
      </c>
      <c r="AE5" s="12">
        <f>VALUE(IF(全局设置!$D$2,WPS常更新数据!B111,Excel常更新数据!B112))</f>
        <v>0.9</v>
      </c>
    </row>
    <row r="6" spans="1:33">
      <c r="A6" s="12" t="s">
        <v>729</v>
      </c>
      <c r="B6" s="12">
        <f>VALUE(IF(全局设置!$D$2,WPS常更新数据!B6,Excel常更新数据!B7))</f>
        <v>7379</v>
      </c>
      <c r="C6" s="12">
        <f>VALUE(IF(全局设置!$D$2,WPS常更新数据!C6,Excel常更新数据!C7))</f>
        <v>5739</v>
      </c>
      <c r="E6" s="12" t="s">
        <v>32</v>
      </c>
      <c r="F6" s="12">
        <f>VALUE(IF(全局设置!$D$2,WPS常更新数据!B37,Excel常更新数据!B38))</f>
        <v>3279</v>
      </c>
      <c r="K6" s="12"/>
      <c r="N6" s="1" t="s">
        <v>650</v>
      </c>
      <c r="O6" s="1">
        <f>VALUE(IF(全局设置!$D$2,WPS常更新数据!B83,Excel常更新数据!B84))</f>
        <v>2550</v>
      </c>
      <c r="P6" s="1">
        <f>INT(O6*K38/K37)</f>
        <v>466</v>
      </c>
      <c r="R6"/>
      <c r="S6"/>
      <c r="T6"/>
      <c r="U6"/>
      <c r="V6"/>
      <c r="W6"/>
      <c r="X6"/>
      <c r="Y6"/>
      <c r="Z6"/>
      <c r="AA6"/>
      <c r="AB6"/>
      <c r="AD6" s="12" t="s">
        <v>730</v>
      </c>
      <c r="AE6" s="12">
        <f>VALUE(IF(全局设置!$D$2,WPS常更新数据!B112,Excel常更新数据!B113))</f>
        <v>1.19</v>
      </c>
    </row>
    <row r="7" spans="1:33">
      <c r="A7" s="12" t="s">
        <v>731</v>
      </c>
      <c r="B7" s="12">
        <f>VALUE(IF(全局设置!$D$2,WPS常更新数据!B7,Excel常更新数据!B8))</f>
        <v>3689</v>
      </c>
      <c r="C7" s="12">
        <f>VALUE(IF(全局设置!$D$2,WPS常更新数据!C7,Excel常更新数据!C8))</f>
        <v>2869</v>
      </c>
      <c r="E7" s="12" t="s">
        <v>37</v>
      </c>
      <c r="F7" s="12">
        <f>VALUE(IF(全局设置!$D$2,WPS常更新数据!B38,Excel常更新数据!B39))</f>
        <v>3279</v>
      </c>
      <c r="J7" s="1" t="s">
        <v>732</v>
      </c>
      <c r="K7" s="12">
        <f>VALUE(IF(全局设置!$D$2,WPS常更新数据!B49,Excel常更新数据!B50))</f>
        <v>37400</v>
      </c>
      <c r="R7"/>
      <c r="S7"/>
      <c r="T7"/>
      <c r="U7"/>
      <c r="V7"/>
      <c r="W7"/>
      <c r="X7"/>
      <c r="Y7"/>
      <c r="Z7"/>
      <c r="AA7"/>
      <c r="AB7"/>
      <c r="AD7" s="12" t="s">
        <v>733</v>
      </c>
      <c r="AE7" s="12">
        <f>VALUE(IF(全局设置!$D$2,WPS常更新数据!B113,Excel常更新数据!B114))</f>
        <v>10</v>
      </c>
    </row>
    <row r="8" spans="1:33">
      <c r="A8" s="12"/>
      <c r="B8" s="12"/>
      <c r="C8" s="12"/>
      <c r="E8" s="12" t="s">
        <v>110</v>
      </c>
      <c r="F8" s="12">
        <f>VALUE(IF(全局设置!$D$2,WPS常更新数据!B39,Excel常更新数据!B40))</f>
        <v>3279</v>
      </c>
      <c r="K8" s="12"/>
      <c r="N8" s="1" t="s">
        <v>734</v>
      </c>
      <c r="R8"/>
      <c r="S8"/>
      <c r="T8"/>
      <c r="U8"/>
      <c r="V8"/>
      <c r="W8"/>
      <c r="X8"/>
      <c r="Y8"/>
      <c r="Z8"/>
      <c r="AA8"/>
      <c r="AB8"/>
      <c r="AD8" s="12" t="s">
        <v>735</v>
      </c>
      <c r="AE8" s="12">
        <f>VALUE(IF(全局设置!$D$2,WPS常更新数据!B114,Excel常更新数据!B115))</f>
        <v>0.24</v>
      </c>
    </row>
    <row r="9" spans="1:33">
      <c r="A9" s="12" t="s">
        <v>736</v>
      </c>
      <c r="B9" s="12">
        <f>VALUE(IF(全局设置!$D$2,WPS常更新数据!B9,Excel常更新数据!B10))</f>
        <v>882</v>
      </c>
      <c r="C9" s="12"/>
      <c r="E9" s="1" t="s">
        <v>145</v>
      </c>
      <c r="F9" s="12">
        <f>VALUE(IF(全局设置!$D$2,WPS常更新数据!B40,Excel常更新数据!B41))</f>
        <v>889</v>
      </c>
      <c r="K9" s="12"/>
      <c r="N9" s="1" t="s">
        <v>737</v>
      </c>
      <c r="O9" s="1">
        <f>VALUE(IF(全局设置!$D$2,WPS常更新数据!B87,Excel常更新数据!B88))</f>
        <v>3368</v>
      </c>
      <c r="R9" s="4"/>
      <c r="AD9" s="12" t="s">
        <v>738</v>
      </c>
      <c r="AE9" s="12">
        <f>VALUE(IF(全局设置!$D$2,WPS常更新数据!B115,Excel常更新数据!B116))</f>
        <v>8.53415</v>
      </c>
    </row>
    <row r="10" spans="1:33">
      <c r="A10" s="12" t="s">
        <v>739</v>
      </c>
      <c r="B10" s="12">
        <f>VALUE(IF(全局设置!$D$2,WPS常更新数据!B10,Excel常更新数据!B11))</f>
        <v>2922</v>
      </c>
      <c r="C10" s="12"/>
      <c r="E10" s="1" t="s">
        <v>29</v>
      </c>
      <c r="F10" s="12">
        <f>VALUE(IF(全局设置!$D$2,WPS常更新数据!B41,Excel常更新数据!B42))</f>
        <v>978</v>
      </c>
      <c r="K10" s="12"/>
      <c r="N10" s="1" t="s">
        <v>29</v>
      </c>
      <c r="O10" s="1">
        <f>VALUE(IF(全局设置!$D$2,WPS常更新数据!B88,Excel常更新数据!B89))</f>
        <v>1341</v>
      </c>
      <c r="R10" s="4" t="s">
        <v>26</v>
      </c>
      <c r="S10" s="4" t="s">
        <v>91</v>
      </c>
      <c r="T10" s="4" t="s">
        <v>47</v>
      </c>
      <c r="U10" s="4" t="s">
        <v>98</v>
      </c>
      <c r="V10" s="4" t="s">
        <v>42</v>
      </c>
      <c r="W10" s="4" t="s">
        <v>32</v>
      </c>
      <c r="X10" s="4" t="s">
        <v>24</v>
      </c>
      <c r="Y10" s="4" t="s">
        <v>110</v>
      </c>
      <c r="Z10" s="4" t="s">
        <v>37</v>
      </c>
      <c r="AD10" s="12" t="s">
        <v>740</v>
      </c>
      <c r="AE10" s="1">
        <f>VALUE(IF(全局设置!$D$2,WPS常更新数据!B116,Excel常更新数据!B117))</f>
        <v>0.24</v>
      </c>
    </row>
    <row r="11" spans="1:33">
      <c r="B11" s="12"/>
      <c r="C11" s="12"/>
      <c r="E11" s="1" t="s">
        <v>278</v>
      </c>
      <c r="F11" s="1">
        <f>VALUE(IF(全局设置!$D$2,WPS常更新数据!M99,Excel常更新数据!M100))</f>
        <v>628</v>
      </c>
      <c r="G11" s="1">
        <f>VALUE(IF(全局设置!$D$2,WPS常更新数据!P99,Excel常更新数据!P100))</f>
        <v>736</v>
      </c>
      <c r="J11" s="1" t="s">
        <v>741</v>
      </c>
      <c r="K11" s="12"/>
      <c r="N11" s="1" t="s">
        <v>25</v>
      </c>
      <c r="O11" s="1">
        <f ca="1">IF(角色属性!Z3,C34,B34)</f>
        <v>7488</v>
      </c>
      <c r="P11" s="1" t="b">
        <f>角色属性!S2</f>
        <v>1</v>
      </c>
      <c r="R11" s="4" t="s">
        <v>31</v>
      </c>
      <c r="S11" s="1">
        <f>VALUE(IF(全局设置!$D$2,WPS常更新数据!B102,Excel常更新数据!B103))</f>
        <v>188</v>
      </c>
      <c r="T11" s="1">
        <f>VALUE(IF(全局设置!$D$2,WPS常更新数据!C102,Excel常更新数据!C103))</f>
        <v>442</v>
      </c>
      <c r="U11" s="1">
        <f>VALUE(IF(全局设置!$D$2,WPS常更新数据!D102,Excel常更新数据!D103))</f>
        <v>1463</v>
      </c>
      <c r="V11" s="1">
        <f>VALUE(IF(全局设置!$D$2,WPS常更新数据!E102,Excel常更新数据!E103))</f>
        <v>1463</v>
      </c>
      <c r="W11" s="1">
        <f>VALUE(IF(全局设置!$D$2,WPS常更新数据!F102,Excel常更新数据!F103))</f>
        <v>1463</v>
      </c>
      <c r="X11" s="1">
        <f>VALUE(IF(全局设置!$D$2,WPS常更新数据!G102,Excel常更新数据!G103))</f>
        <v>1463</v>
      </c>
      <c r="Y11" s="1">
        <f>VALUE(IF(全局设置!$D$2,WPS常更新数据!H102,Excel常更新数据!H103))</f>
        <v>1463</v>
      </c>
      <c r="Z11" s="1">
        <f>VALUE(IF(全局设置!$D$2,WPS常更新数据!I102,Excel常更新数据!I103))</f>
        <v>1463</v>
      </c>
      <c r="AD11" s="12" t="s">
        <v>742</v>
      </c>
      <c r="AE11" s="12">
        <f>VALUE(IF(全局设置!$D$2,WPS常更新数据!B117,Excel常更新数据!B118))</f>
        <v>160878</v>
      </c>
    </row>
    <row r="12" spans="1:33">
      <c r="A12" s="12" t="s">
        <v>743</v>
      </c>
      <c r="B12" s="12">
        <f>VALUE(IF(全局设置!$D$2,WPS常更新数据!B12,Excel常更新数据!B13))</f>
        <v>544</v>
      </c>
      <c r="C12" s="12"/>
      <c r="E12" s="1" t="s">
        <v>744</v>
      </c>
      <c r="F12" s="1">
        <f>VALUE(IF(全局设置!$D$2,WPS常更新数据!L99,Excel常更新数据!L100))</f>
        <v>4902</v>
      </c>
      <c r="G12" s="1">
        <f>VALUE(IF(全局设置!$D$2,WPS常更新数据!O99,Excel常更新数据!O100))</f>
        <v>5739</v>
      </c>
      <c r="J12" s="1" t="s">
        <v>110</v>
      </c>
      <c r="K12" s="12">
        <f>VALUE(IF(全局设置!$D$2,WPS常更新数据!B54,Excel常更新数据!B55))</f>
        <v>0.5</v>
      </c>
      <c r="N12" s="1" t="s">
        <v>30</v>
      </c>
      <c r="O12" s="1">
        <f ca="1">IF(角色属性!Z5,C35,B35)</f>
        <v>8326</v>
      </c>
      <c r="P12" s="1" t="b">
        <f>角色属性!S3</f>
        <v>1</v>
      </c>
      <c r="R12" s="4" t="s">
        <v>36</v>
      </c>
      <c r="S12" s="1">
        <f>VALUE(IF(全局设置!$D$2,WPS常更新数据!B103,Excel常更新数据!B104))</f>
        <v>0</v>
      </c>
      <c r="T12" s="1">
        <f>VALUE(IF(全局设置!$D$2,WPS常更新数据!C103,Excel常更新数据!C104))</f>
        <v>884</v>
      </c>
      <c r="U12" s="1">
        <f>VALUE(IF(全局设置!$D$2,WPS常更新数据!D103,Excel常更新数据!D104))</f>
        <v>2925</v>
      </c>
      <c r="V12" s="1">
        <f>VALUE(IF(全局设置!$D$2,WPS常更新数据!E103,Excel常更新数据!E104))</f>
        <v>2925</v>
      </c>
      <c r="W12" s="1">
        <f>VALUE(IF(全局设置!$D$2,WPS常更新数据!F103,Excel常更新数据!F104))</f>
        <v>2925</v>
      </c>
      <c r="X12" s="1">
        <f>VALUE(IF(全局设置!$D$2,WPS常更新数据!G103,Excel常更新数据!G104))</f>
        <v>2925</v>
      </c>
      <c r="Y12" s="1">
        <f>VALUE(IF(全局设置!$D$2,WPS常更新数据!H103,Excel常更新数据!H104))</f>
        <v>2925</v>
      </c>
      <c r="Z12" s="1">
        <f>VALUE(IF(全局设置!$D$2,WPS常更新数据!I103,Excel常更新数据!I104))</f>
        <v>2925</v>
      </c>
      <c r="AD12" s="12" t="s">
        <v>745</v>
      </c>
      <c r="AE12" s="12">
        <f>VALUE(IF(全局设置!$D$2,WPS常更新数据!B118,Excel常更新数据!B119))</f>
        <v>44</v>
      </c>
    </row>
    <row r="13" spans="1:33">
      <c r="A13" s="1" t="s">
        <v>746</v>
      </c>
      <c r="B13" s="12">
        <f>VALUE(IF(全局设置!$D$2,WPS常更新数据!B13,Excel常更新数据!B14))</f>
        <v>4255</v>
      </c>
      <c r="C13" s="12"/>
      <c r="E13" s="1" t="s">
        <v>259</v>
      </c>
      <c r="F13" s="1">
        <f>VALUE(IF(全局设置!$D$2,WPS常更新数据!N99,Excel常更新数据!N100))</f>
        <v>1485</v>
      </c>
      <c r="G13" s="1">
        <f>VALUE(IF(全局设置!$D$2,WPS常更新数据!Q99,Excel常更新数据!Q100))</f>
        <v>1739</v>
      </c>
      <c r="J13" s="1" t="s">
        <v>37</v>
      </c>
      <c r="K13" s="12">
        <f>VALUE(IF(全局设置!$D$2,WPS常更新数据!B55,Excel常更新数据!B56))</f>
        <v>1.5</v>
      </c>
      <c r="N13" s="1" t="s">
        <v>35</v>
      </c>
      <c r="O13" s="1">
        <f ca="1">IF(角色属性!Z11,C36,B36)</f>
        <v>5823</v>
      </c>
      <c r="P13" s="1" t="b">
        <f>角色属性!S4</f>
        <v>1</v>
      </c>
      <c r="R13" s="4" t="s">
        <v>41</v>
      </c>
      <c r="S13" s="1">
        <f>VALUE(IF(全局设置!$D$2,WPS常更新数据!B104,Excel常更新数据!B105))</f>
        <v>0</v>
      </c>
      <c r="T13" s="1">
        <f>VALUE(IF(全局设置!$D$2,WPS常更新数据!C104,Excel常更新数据!C105))</f>
        <v>1768</v>
      </c>
      <c r="U13" s="1">
        <f>VALUE(IF(全局设置!$D$2,WPS常更新数据!D104,Excel常更新数据!D105))</f>
        <v>5850</v>
      </c>
      <c r="V13" s="1">
        <f>VALUE(IF(全局设置!$D$2,WPS常更新数据!E104,Excel常更新数据!E105))</f>
        <v>5850</v>
      </c>
      <c r="W13" s="1">
        <f>VALUE(IF(全局设置!$D$2,WPS常更新数据!F104,Excel常更新数据!F105))</f>
        <v>5850</v>
      </c>
      <c r="X13" s="1">
        <f>VALUE(IF(全局设置!$D$2,WPS常更新数据!G104,Excel常更新数据!G105))</f>
        <v>5850</v>
      </c>
      <c r="Y13" s="1">
        <f>VALUE(IF(全局设置!$D$2,WPS常更新数据!H104,Excel常更新数据!H105))</f>
        <v>5850</v>
      </c>
      <c r="Z13" s="1">
        <f>VALUE(IF(全局设置!$D$2,WPS常更新数据!I104,Excel常更新数据!I105))</f>
        <v>5850</v>
      </c>
      <c r="AD13" s="49" t="s">
        <v>747</v>
      </c>
      <c r="AE13" s="12">
        <f>VALUE(IF(全局设置!$D$2,WPS常更新数据!B119,Excel常更新数据!B120))+7</f>
        <v>7394</v>
      </c>
    </row>
    <row r="14" spans="1:33">
      <c r="B14" s="12"/>
      <c r="C14" s="12"/>
      <c r="E14" s="1" t="s">
        <v>748</v>
      </c>
      <c r="F14" s="1">
        <f>VALUE(IF(全局设置!$D$2,WPS常更新数据!D34,Excel常更新数据!D35))</f>
        <v>526</v>
      </c>
      <c r="N14" s="1" t="s">
        <v>40</v>
      </c>
      <c r="O14" s="1">
        <f ca="1">IF(角色属性!Z7,C36,B36)</f>
        <v>5823</v>
      </c>
      <c r="P14" s="1" t="b">
        <f>角色属性!S5</f>
        <v>1</v>
      </c>
      <c r="R14" s="4"/>
      <c r="S14" s="4"/>
      <c r="T14" s="4"/>
      <c r="U14" s="4"/>
      <c r="V14" s="4"/>
      <c r="W14" s="4"/>
      <c r="X14" s="4"/>
      <c r="Y14" s="4"/>
      <c r="AD14" s="12" t="s">
        <v>749</v>
      </c>
      <c r="AE14" s="12">
        <f>VALUE(IF(全局设置!$D$2,WPS常更新数据!B120,Excel常更新数据!B121))</f>
        <v>1.75</v>
      </c>
    </row>
    <row r="15" spans="1:33">
      <c r="A15" s="12" t="s">
        <v>750</v>
      </c>
      <c r="B15" s="12">
        <f>VALUE(IF(全局设置!$D$2,WPS常更新数据!B15,Excel常更新数据!B16))</f>
        <v>2170</v>
      </c>
      <c r="C15" s="12"/>
      <c r="E15" s="1" t="s">
        <v>751</v>
      </c>
      <c r="F15" s="1">
        <f>VALUE(IF(全局设置!$D$2,WPS常更新数据!D33,Excel常更新数据!D34))</f>
        <v>1242</v>
      </c>
      <c r="J15" s="1" t="s">
        <v>752</v>
      </c>
      <c r="N15" s="1" t="s">
        <v>48</v>
      </c>
      <c r="O15" s="1">
        <f ca="1">IF(角色属性!Z9,C36,B36)</f>
        <v>5823</v>
      </c>
      <c r="P15" s="1" t="b">
        <f>角色属性!S7</f>
        <v>1</v>
      </c>
      <c r="R15" s="1" t="s">
        <v>31</v>
      </c>
      <c r="S15" s="1" t="s">
        <v>98</v>
      </c>
      <c r="T15" s="1" t="s">
        <v>91</v>
      </c>
      <c r="U15" s="1" t="s">
        <v>24</v>
      </c>
      <c r="V15" s="1" t="s">
        <v>47</v>
      </c>
      <c r="W15" s="1" t="s">
        <v>42</v>
      </c>
      <c r="X15" s="1" t="s">
        <v>32</v>
      </c>
      <c r="Y15" s="1" t="s">
        <v>110</v>
      </c>
      <c r="Z15" s="1" t="s">
        <v>37</v>
      </c>
      <c r="AA15" s="1" t="s">
        <v>24</v>
      </c>
      <c r="AD15" s="12" t="s">
        <v>753</v>
      </c>
      <c r="AE15" s="12">
        <f>VALUE(IF(全局设置!$D$2,WPS常更新数据!B121,Excel常更新数据!B122))</f>
        <v>13</v>
      </c>
    </row>
    <row r="16" spans="1:33">
      <c r="A16" s="12" t="s">
        <v>754</v>
      </c>
      <c r="B16" s="12">
        <f>VALUE(IF(全局设置!$D$2,WPS常更新数据!B16,Excel常更新数据!B17))</f>
        <v>7184</v>
      </c>
      <c r="C16" s="12"/>
      <c r="E16" s="1" t="s">
        <v>755</v>
      </c>
      <c r="F16" s="1">
        <f>VALUE(IF(全局设置!$D$2,WPS常更新数据!D35,Excel常更新数据!D36))</f>
        <v>4099</v>
      </c>
      <c r="J16" s="1" t="s">
        <v>756</v>
      </c>
      <c r="K16" s="1">
        <f ca="1">IF(角色属性!Z80,F19,0)+IF(角色属性!Z79,G19,0)+IF(角色属性!Z78,H19,0)</f>
        <v>0</v>
      </c>
      <c r="L16" s="1">
        <v>29519</v>
      </c>
      <c r="N16" s="1" t="s">
        <v>757</v>
      </c>
      <c r="O16" s="1">
        <f>VALUE(IF(全局设置!$D$2,WPS常更新数据!C87,Excel常更新数据!C88))</f>
        <v>4316</v>
      </c>
      <c r="P16" s="1">
        <f>VALUE(IF(全局设置!$D$2,WPS常更新数据!D87,Excel常更新数据!D88))</f>
        <v>5052</v>
      </c>
      <c r="R16" s="1" t="s">
        <v>36</v>
      </c>
      <c r="S16" s="4" t="s">
        <v>47</v>
      </c>
      <c r="T16" s="4" t="s">
        <v>47</v>
      </c>
      <c r="U16" s="4" t="s">
        <v>47</v>
      </c>
      <c r="V16" s="4" t="s">
        <v>42</v>
      </c>
      <c r="W16" s="4" t="s">
        <v>32</v>
      </c>
      <c r="X16" s="4" t="s">
        <v>42</v>
      </c>
      <c r="Y16" s="1" t="s">
        <v>32</v>
      </c>
      <c r="Z16" s="1" t="s">
        <v>32</v>
      </c>
      <c r="AA16" s="1" t="s">
        <v>37</v>
      </c>
      <c r="AD16" s="12" t="s">
        <v>758</v>
      </c>
      <c r="AE16" s="12"/>
    </row>
    <row r="17" spans="1:34">
      <c r="A17" s="12" t="s">
        <v>759</v>
      </c>
      <c r="B17" s="12">
        <f>VALUE(IF(全局设置!$D$2,WPS常更新数据!B17,Excel常更新数据!B18))</f>
        <v>-2726</v>
      </c>
      <c r="C17" s="12"/>
      <c r="J17" s="1" t="s">
        <v>760</v>
      </c>
      <c r="K17" s="1">
        <f ca="1">(IF(OR(角色属性!Z93,角色属性!Z96),H20,0)+IF(OR(角色属性!Z94,角色属性!Z97),G20,0)+IF(OR(角色属性!Z95,角色属性!Z98),F20,0))*5</f>
        <v>0</v>
      </c>
      <c r="L17" s="1">
        <v>29537</v>
      </c>
      <c r="N17" s="1" t="s">
        <v>686</v>
      </c>
      <c r="O17" s="1">
        <f>VALUE(IF(全局设置!$D$2,WPS常更新数据!F87,Excel常更新数据!F88))</f>
        <v>3907</v>
      </c>
      <c r="S17" s="4" t="s">
        <v>42</v>
      </c>
      <c r="T17" s="4" t="s">
        <v>42</v>
      </c>
      <c r="U17" s="1" t="s">
        <v>37</v>
      </c>
      <c r="V17" s="4" t="s">
        <v>32</v>
      </c>
      <c r="W17" s="4" t="s">
        <v>110</v>
      </c>
      <c r="X17" s="1" t="s">
        <v>37</v>
      </c>
      <c r="Y17" s="4" t="s">
        <v>42</v>
      </c>
      <c r="Z17" s="4" t="s">
        <v>42</v>
      </c>
      <c r="AA17" s="1" t="s">
        <v>47</v>
      </c>
      <c r="AD17" s="12" t="s">
        <v>761</v>
      </c>
      <c r="AE17" s="12">
        <f>VALUE(IF(全局设置!$D$2,WPS常更新数据!B125,Excel常更新数据!B126))</f>
        <v>1</v>
      </c>
    </row>
    <row r="18" spans="1:34">
      <c r="A18" s="12" t="s">
        <v>762</v>
      </c>
      <c r="B18" s="12">
        <f>VALUE(IF(全局设置!$D$2,WPS常更新数据!B18,Excel常更新数据!B19))</f>
        <v>738</v>
      </c>
      <c r="C18" s="12"/>
      <c r="E18" s="1" t="s">
        <v>752</v>
      </c>
      <c r="F18" s="1">
        <v>381</v>
      </c>
      <c r="G18" s="1">
        <v>414</v>
      </c>
      <c r="H18" s="1">
        <v>353</v>
      </c>
      <c r="J18" s="1" t="s">
        <v>763</v>
      </c>
      <c r="K18" s="1">
        <f ca="1">IF(OR(角色属性!Z81,角色属性!Z84),H21,0)+IF(OR(角色属性!Z85,角色属性!Z82),G21,0)+IF(OR(角色属性!Z86,角色属性!Z83),F21,0)</f>
        <v>0</v>
      </c>
      <c r="L18" s="1">
        <v>29524</v>
      </c>
      <c r="S18" s="4" t="s">
        <v>32</v>
      </c>
      <c r="T18" s="4" t="s">
        <v>32</v>
      </c>
      <c r="U18" s="1" t="s">
        <v>110</v>
      </c>
      <c r="V18" s="4" t="s">
        <v>24</v>
      </c>
      <c r="W18" s="4" t="s">
        <v>37</v>
      </c>
      <c r="X18" s="1" t="s">
        <v>110</v>
      </c>
      <c r="Y18" s="1" t="s">
        <v>47</v>
      </c>
      <c r="Z18" s="1" t="s">
        <v>47</v>
      </c>
      <c r="AA18" s="4" t="s">
        <v>110</v>
      </c>
      <c r="AD18" s="12" t="s">
        <v>764</v>
      </c>
      <c r="AE18" s="12">
        <f>VALUE(IF(全局设置!$D$2,WPS常更新数据!B126,Excel常更新数据!B127))</f>
        <v>0.6</v>
      </c>
    </row>
    <row r="19" spans="1:34">
      <c r="B19" s="12"/>
      <c r="C19" s="12"/>
      <c r="E19" s="1" t="s">
        <v>756</v>
      </c>
      <c r="F19" s="1">
        <f>VALUE(IF(全局设置!$D$2,WPS常更新数据!B58,Excel常更新数据!B59))</f>
        <v>3194</v>
      </c>
      <c r="G19" s="1">
        <f>VALUE(IF(全局设置!$D$2,WPS常更新数据!C58,Excel常更新数据!C59))</f>
        <v>3471</v>
      </c>
      <c r="H19" s="1">
        <f>VALUE(IF(全局设置!$D$2,WPS常更新数据!D58,Excel常更新数据!D59))</f>
        <v>2971</v>
      </c>
      <c r="J19" s="1" t="s">
        <v>765</v>
      </c>
      <c r="K19" s="20" t="e">
        <f ca="1">(IF(角色属性!Z90,H22,0)+IF(角色属性!Z91,G22,0)+IF(角色属性!Z92,F22,0))*MIN(INT((SUM(增益计算!F2:F4)+角色属性!Z20*AE32)/K20),10)</f>
        <v>#DIV/0!</v>
      </c>
      <c r="L19" s="1">
        <v>29528</v>
      </c>
      <c r="T19" s="4" t="s">
        <v>24</v>
      </c>
      <c r="V19" s="1" t="s">
        <v>37</v>
      </c>
      <c r="W19" s="1" t="s">
        <v>47</v>
      </c>
      <c r="X19" s="1" t="s">
        <v>47</v>
      </c>
      <c r="Y19" s="1" t="s">
        <v>24</v>
      </c>
      <c r="Z19" s="1" t="s">
        <v>24</v>
      </c>
      <c r="AD19" s="12" t="s">
        <v>766</v>
      </c>
      <c r="AE19" s="12">
        <f>VALUE(IF(全局设置!$D$2,WPS常更新数据!B127,Excel常更新数据!B128))</f>
        <v>0.87</v>
      </c>
    </row>
    <row r="20" spans="1:34">
      <c r="A20" s="12" t="s">
        <v>767</v>
      </c>
      <c r="B20" s="12">
        <f>VALUE(IF(全局设置!$D$2,WPS常更新数据!B20,Excel常更新数据!B21))</f>
        <v>172</v>
      </c>
      <c r="C20" s="12"/>
      <c r="E20" s="1" t="s">
        <v>760</v>
      </c>
      <c r="F20" s="1">
        <f>VALUE(IF(全局设置!$D$2,WPS常更新数据!B59,Excel常更新数据!B60))</f>
        <v>354</v>
      </c>
      <c r="G20" s="1">
        <f>VALUE(IF(全局设置!$D$2,WPS常更新数据!C59,Excel常更新数据!C60))</f>
        <v>385</v>
      </c>
      <c r="H20" s="1">
        <f>VALUE(IF(全局设置!$D$2,WPS常更新数据!D59,Excel常更新数据!D60))</f>
        <v>330</v>
      </c>
      <c r="J20" s="1" t="s">
        <v>768</v>
      </c>
      <c r="K20" s="1">
        <f ca="1">IF(角色属性!Z90,H23,0)+IF(角色属性!Z91,G23,0)+IF(角色属性!Z92,F23,0)</f>
        <v>0</v>
      </c>
      <c r="V20" s="1" t="s">
        <v>110</v>
      </c>
      <c r="AD20" s="1" t="s">
        <v>145</v>
      </c>
      <c r="AE20" s="12">
        <f>VALUE(IF(全局设置!$D$2,WPS常更新数据!B128,Excel常更新数据!B129))</f>
        <v>45</v>
      </c>
    </row>
    <row r="21" spans="1:34">
      <c r="A21" s="12" t="s">
        <v>769</v>
      </c>
      <c r="B21" s="12">
        <f>VALUE(IF(全局设置!$D$2,WPS常更新数据!B21,Excel常更新数据!B22))</f>
        <v>413</v>
      </c>
      <c r="C21" s="12"/>
      <c r="E21" s="1" t="s">
        <v>763</v>
      </c>
      <c r="F21" s="1">
        <f>VALUE(IF(全局设置!$D$2,WPS常更新数据!B60,Excel常更新数据!B61))</f>
        <v>5521</v>
      </c>
      <c r="G21" s="1">
        <f>VALUE(IF(全局设置!$D$2,WPS常更新数据!C60,Excel常更新数据!C61))</f>
        <v>6000</v>
      </c>
      <c r="H21" s="1">
        <f>VALUE(IF(全局设置!$D$2,WPS常更新数据!D60,Excel常更新数据!D61))</f>
        <v>5136</v>
      </c>
      <c r="J21" s="1" t="s">
        <v>770</v>
      </c>
      <c r="K21" s="1" t="e">
        <f ca="1">(IF(角色属性!Z87,H24,0)+IF(角色属性!Z88,G24,0)+IF(角色属性!Z89,F24,0))*MIN(INT((SUM(增益计算!K2:K4)+角色属性!Z23*AE33)/K22),10)</f>
        <v>#DIV/0!</v>
      </c>
      <c r="L21" s="1">
        <v>29529</v>
      </c>
      <c r="AD21" s="1" t="s">
        <v>387</v>
      </c>
      <c r="AE21" s="12">
        <f>VALUE(IF(全局设置!$D$2,WPS常更新数据!B129,Excel常更新数据!B130))</f>
        <v>0.15</v>
      </c>
    </row>
    <row r="22" spans="1:34">
      <c r="A22" s="12" t="s">
        <v>771</v>
      </c>
      <c r="B22" s="12">
        <f>VALUE(IF(全局设置!$D$2,WPS常更新数据!B22,Excel常更新数据!B23))</f>
        <v>222</v>
      </c>
      <c r="C22" s="12"/>
      <c r="E22" s="1" t="s">
        <v>765</v>
      </c>
      <c r="F22" s="1">
        <f>VALUE(IF(全局设置!$D$2,WPS常更新数据!B61,Excel常更新数据!B62))</f>
        <v>176</v>
      </c>
      <c r="G22" s="1">
        <f>VALUE(IF(全局设置!$D$2,WPS常更新数据!C61,Excel常更新数据!C62))</f>
        <v>192</v>
      </c>
      <c r="H22" s="1">
        <f>VALUE(IF(全局设置!$D$2,WPS常更新数据!D61,Excel常更新数据!D62))</f>
        <v>165</v>
      </c>
      <c r="J22" s="1" t="s">
        <v>772</v>
      </c>
      <c r="K22" s="1">
        <f ca="1">IF(角色属性!Z87,H25,0)+IF(角色属性!Z88,G25,0)+IF(角色属性!Z89,F25,0)</f>
        <v>0</v>
      </c>
      <c r="AD22" s="1" t="s">
        <v>773</v>
      </c>
      <c r="AE22" s="1" cm="1">
        <f t="array" ref="AE22">_xlfn.IFS(OR(AE25="纯手打",AE25="拼好玳"),1.08,AE25="破气玳",1.01,TRUE(),1)</f>
        <v>1.08</v>
      </c>
    </row>
    <row r="23" spans="1:34">
      <c r="A23" s="12" t="s">
        <v>774</v>
      </c>
      <c r="B23" s="12">
        <f>VALUE(IF(全局设置!$D$2,WPS常更新数据!B23,Excel常更新数据!B24))</f>
        <v>531</v>
      </c>
      <c r="C23" s="12"/>
      <c r="E23" s="1" t="s">
        <v>768</v>
      </c>
      <c r="F23" s="1">
        <f>VALUE(IF(全局设置!$D$2,WPS常更新数据!B62,Excel常更新数据!B63))</f>
        <v>6913</v>
      </c>
      <c r="G23" s="1">
        <f>VALUE(IF(全局设置!$D$2,WPS常更新数据!C62,Excel常更新数据!C63))</f>
        <v>7512</v>
      </c>
      <c r="H23" s="1">
        <f>VALUE(IF(全局设置!$D$2,WPS常更新数据!D62,Excel常更新数据!D63))</f>
        <v>6526</v>
      </c>
      <c r="R23" s="1" t="s">
        <v>41</v>
      </c>
      <c r="S23" s="4" t="str" cm="1">
        <f t="array" ref="S23:S26">_xlfn.UNIQUE(_xlfn.VSTACK(S16:S20,计算主页!$R$12),,TRUE)</f>
        <v>攻击</v>
      </c>
      <c r="T23" s="4" t="str" cm="1">
        <f t="array" ref="T23:T27">_xlfn.UNIQUE(_xlfn.VSTACK(T16:T20,计算主页!$R$12,IF(计算主页!$R$12&lt;&gt;"加速","加速",_xlfn.VSTACK("会效","破防"))),,TRUE)</f>
        <v>攻击</v>
      </c>
      <c r="U23" s="4" t="str" cm="1">
        <f t="array" ref="U23:U24">_xlfn.UNIQUE(_xlfn.VSTACK(U16:U20,计算主页!$R$12,IF(计算主页!$R$12="破招","无双",0),IF(计算主页!$R$12="无双","破招",0)),,TRUE)</f>
        <v>攻击</v>
      </c>
      <c r="V23" s="4" t="str" cm="1">
        <f t="array" ref="V23:V25">_xlfn.UNIQUE(_xlfn.VSTACK(V16:V20,计算主页!$R$12,IF(计算主页!$R$12&lt;&gt;"加速",0,_xlfn.VSTACK("会效","破防")),IF(计算主页!$R$12="破招","无双",0),IF(计算主页!$R$12="无双","破招",0)),,TRUE)</f>
        <v>会效</v>
      </c>
      <c r="W23" s="4" t="str" cm="1">
        <f t="array" ref="W23:W26">_xlfn.UNIQUE(_xlfn.VSTACK(W16:W20,计算主页!$R$12,IF(计算主页!$R$12="破招","无双",0),IF(计算主页!$R$12="无双","破招",0)),,TRUE)</f>
        <v>破防</v>
      </c>
      <c r="X23" s="4" t="str" cm="1">
        <f t="array" ref="X23:X26">_xlfn.UNIQUE(_xlfn.VSTACK(X16:X20,计算主页!$R$12,IF(计算主页!$R$12="破招","无双",0),IF(计算主页!$R$12="无双","破招",0)),,TRUE)</f>
        <v>会效</v>
      </c>
      <c r="Y23" s="4" t="str" cm="1">
        <f t="array" ref="Y23:Y27">_xlfn.UNIQUE(_xlfn.VSTACK(Y16:Y20,计算主页!$R$12,IF(计算主页!$R$12&lt;&gt;"加速","加速",_xlfn.VSTACK("会效","破防"))),,TRUE)</f>
        <v>破防</v>
      </c>
      <c r="Z23" s="4" t="str" cm="1">
        <f t="array" ref="Z23:Z27">_xlfn.UNIQUE(_xlfn.VSTACK(Z16:Z20,计算主页!$R$12,IF(计算主页!$R$12&lt;&gt;"加速","加速",_xlfn.VSTACK("会效","破防"))),,TRUE)</f>
        <v>破防</v>
      </c>
      <c r="AA23" s="4" t="str" cm="1">
        <f t="array" ref="AA23:AA24">_xlfn.UNIQUE(_xlfn.VSTACK(AA16:AA20,计算主页!$R$12,IF(计算主页!$R$12="破招","无双",0),IF(计算主页!$R$12="无双","破招",0)),,TRUE)</f>
        <v>攻击</v>
      </c>
      <c r="AD23" s="1" t="s">
        <v>775</v>
      </c>
      <c r="AE23" s="1" cm="1">
        <f ca="1" t="array" ref="AE23">_xlfn.IFS(AND(AE26,AE25="纯手打"),1,AND(AE26,AE25="破气玳"),1.05,TRUE(),1)</f>
        <v>1</v>
      </c>
    </row>
    <row r="24" spans="1:34">
      <c r="A24" s="12"/>
      <c r="B24" s="12"/>
      <c r="C24" s="12"/>
      <c r="E24" s="1" t="s">
        <v>770</v>
      </c>
      <c r="F24" s="1">
        <f>VALUE(IF(全局设置!$D$2,WPS常更新数据!B63,Excel常更新数据!B64))</f>
        <v>53</v>
      </c>
      <c r="G24" s="1">
        <f>VALUE(IF(全局设置!$D$2,WPS常更新数据!C63,Excel常更新数据!C64))</f>
        <v>58</v>
      </c>
      <c r="H24" s="1">
        <f>VALUE(IF(全局设置!$D$2,WPS常更新数据!D63,Excel常更新数据!D64))</f>
        <v>50</v>
      </c>
      <c r="J24" s="1" t="s">
        <v>776</v>
      </c>
      <c r="K24" s="1" cm="1">
        <f ca="1" t="array" ref="K24">_xlfn.IFS(角色属性!R13&gt;(29700*1.25),H27,角色属性!R13&gt;(22000*1.25),G27,TRUE(),F27)*5</f>
        <v>6675</v>
      </c>
      <c r="L24" s="1">
        <v>29608</v>
      </c>
      <c r="S24" s="4" t="str">
        <v>会效</v>
      </c>
      <c r="T24" s="4" t="str">
        <v>会效</v>
      </c>
      <c r="U24" s="1">
        <v>0</v>
      </c>
      <c r="V24" s="1" t="str">
        <v>破防</v>
      </c>
      <c r="W24" s="1" t="str">
        <v>攻击</v>
      </c>
      <c r="X24" s="1" t="str">
        <v>攻击</v>
      </c>
      <c r="Y24" s="1" t="str">
        <v>会效</v>
      </c>
      <c r="Z24" s="1" t="str">
        <v>会效</v>
      </c>
      <c r="AA24" s="1">
        <v>0</v>
      </c>
      <c r="AD24" s="1" t="s">
        <v>777</v>
      </c>
      <c r="AE24" s="12">
        <f ca="1">AE10*AE22*AE23</f>
        <v>0.2592</v>
      </c>
    </row>
    <row r="25" spans="1:34">
      <c r="A25" s="12" t="s">
        <v>778</v>
      </c>
      <c r="B25" s="12">
        <f>VALUE(IF(全局设置!$D$2,WPS常更新数据!B25,Excel常更新数据!B26))</f>
        <v>1491</v>
      </c>
      <c r="C25" s="12"/>
      <c r="E25" s="1" t="s">
        <v>772</v>
      </c>
      <c r="F25" s="1">
        <f>VALUE(IF(全局设置!$D$2,WPS常更新数据!B64,Excel常更新数据!B65))</f>
        <v>7901</v>
      </c>
      <c r="G25" s="1">
        <f>VALUE(IF(全局设置!$D$2,WPS常更新数据!C64,Excel常更新数据!C65))</f>
        <v>8586</v>
      </c>
      <c r="H25" s="1">
        <f>VALUE(IF(全局设置!$D$2,WPS常更新数据!D64,Excel常更新数据!D65))</f>
        <v>7456</v>
      </c>
      <c r="J25" s="1" t="s">
        <v>779</v>
      </c>
      <c r="K25" s="1">
        <f ca="1">IF(角色属性!Z37,F28,0)+IF(角色属性!Z36,G28,0)</f>
        <v>0</v>
      </c>
      <c r="L25" s="1">
        <v>4761</v>
      </c>
      <c r="S25" s="4" t="str">
        <v>破防</v>
      </c>
      <c r="T25" s="4" t="str">
        <v>破防</v>
      </c>
      <c r="V25" s="1" t="str">
        <v>加速</v>
      </c>
      <c r="W25" s="1">
        <v>0</v>
      </c>
      <c r="X25" s="1">
        <v>0</v>
      </c>
      <c r="Y25" s="1" t="str">
        <v>攻击</v>
      </c>
      <c r="Z25" s="1" t="str">
        <v>攻击</v>
      </c>
      <c r="AD25" s="1" t="s">
        <v>780</v>
      </c>
      <c r="AE25" s="1" t="str">
        <f>技能数!B69</f>
        <v>纯手打</v>
      </c>
    </row>
    <row r="26" spans="1:34">
      <c r="A26" s="12" t="s">
        <v>781</v>
      </c>
      <c r="B26" s="12">
        <f>VALUE(IF(全局设置!$D$2,WPS常更新数据!B26,Excel常更新数据!B27))</f>
        <v>746</v>
      </c>
      <c r="C26" s="12"/>
      <c r="J26" s="1" t="s">
        <v>782</v>
      </c>
      <c r="K26" s="1">
        <f ca="1">IF(角色属性!Z34,常更新数据!G29,0)+IF(角色属性!Z35,常更新数据!F29,0)</f>
        <v>43038</v>
      </c>
      <c r="L26" s="1">
        <v>29268</v>
      </c>
      <c r="S26" s="1" t="str">
        <v>无双</v>
      </c>
      <c r="T26" s="4">
        <v>0</v>
      </c>
      <c r="W26" s="1">
        <v>0</v>
      </c>
      <c r="X26" s="1">
        <v>0</v>
      </c>
      <c r="Y26" s="1">
        <v>0</v>
      </c>
      <c r="Z26" s="1">
        <v>0</v>
      </c>
      <c r="AD26" s="1" t="s">
        <v>442</v>
      </c>
      <c r="AE26" s="1" t="b">
        <f ca="1">角色属性!AA38</f>
        <v>0</v>
      </c>
    </row>
    <row r="27" spans="1:34">
      <c r="A27" s="12"/>
      <c r="B27" s="12"/>
      <c r="C27" s="12"/>
      <c r="E27" s="1" t="s">
        <v>776</v>
      </c>
      <c r="F27" s="1">
        <f>VALUE(IF(全局设置!$D$2,WPS常更新数据!B66,Excel常更新数据!B67))</f>
        <v>864</v>
      </c>
      <c r="G27" s="1">
        <f>VALUE(IF(全局设置!$D$2,WPS常更新数据!C66,Excel常更新数据!C67))</f>
        <v>1166</v>
      </c>
      <c r="H27" s="1">
        <f>VALUE(IF(全局设置!$D$2,WPS常更新数据!D66,Excel常更新数据!D67))</f>
        <v>1335</v>
      </c>
      <c r="J27" s="1" t="s">
        <v>651</v>
      </c>
      <c r="L27" s="1">
        <v>18792</v>
      </c>
      <c r="M27" s="1">
        <v>29919</v>
      </c>
      <c r="T27" s="1" t="str">
        <v>无双</v>
      </c>
      <c r="Y27" s="1" t="str">
        <v>无双</v>
      </c>
      <c r="Z27" s="1" t="str">
        <v>无双</v>
      </c>
    </row>
    <row r="28" spans="1:34">
      <c r="A28" s="12" t="s">
        <v>6</v>
      </c>
      <c r="B28" s="12">
        <f>VALUE(IF(全局设置!$D$2,WPS常更新数据!B28,Excel常更新数据!B29))</f>
        <v>868</v>
      </c>
      <c r="C28" s="12"/>
      <c r="E28" s="1" t="s">
        <v>779</v>
      </c>
      <c r="F28" s="1">
        <f>VALUE(IF(全局设置!$D$2,WPS常更新数据!B67,Excel常更新数据!B68))</f>
        <v>3060</v>
      </c>
      <c r="G28" s="1">
        <f>VALUE(IF(全局设置!$D$2,WPS常更新数据!C67,Excel常更新数据!C68))</f>
        <v>2560</v>
      </c>
      <c r="J28" s="1" t="s">
        <v>783</v>
      </c>
      <c r="K28" s="1">
        <f ca="1">IF(角色属性!Z40,_xlfn.XLOOKUP(角色属性!R13,A39:A44,B39:B44,0),0)*5</f>
        <v>6205</v>
      </c>
      <c r="L28" s="1">
        <v>29608</v>
      </c>
    </row>
    <row r="29" spans="1:34">
      <c r="A29" s="12" t="s">
        <v>5</v>
      </c>
      <c r="B29" s="12">
        <f>VALUE(IF(全局设置!$D$2,WPS常更新数据!B29,Excel常更新数据!B30))</f>
        <v>1334</v>
      </c>
      <c r="C29" s="12"/>
      <c r="E29" s="1" t="s">
        <v>782</v>
      </c>
      <c r="F29" s="1">
        <f>VALUE(IF(全局设置!$D$2,WPS常更新数据!B68,Excel常更新数据!B69))</f>
        <v>43038</v>
      </c>
      <c r="G29" s="1">
        <f>VALUE(IF(全局设置!$D$2,WPS常更新数据!C68,Excel常更新数据!C69))</f>
        <v>35982</v>
      </c>
      <c r="R29" s="1" t="s">
        <v>784</v>
      </c>
      <c r="S29" s="1" t="str" cm="1">
        <f t="array" ref="S29:S33">_xlfn.XLOOKUP(计算主页!R11,S15:AA15,S16:AA20)</f>
        <v>会效</v>
      </c>
      <c r="T29" s="1" t="s">
        <v>684</v>
      </c>
      <c r="U29" s="1">
        <f>COUNTIF(_xlfn.ANCHORARRAY(S29),"&lt;&gt;0")</f>
        <v>4</v>
      </c>
    </row>
    <row r="30" spans="1:34">
      <c r="A30" s="12" t="s">
        <v>15</v>
      </c>
      <c r="B30" s="12">
        <f>VALUE(IF(全局设置!$D$2,WPS常更新数据!B30,Excel常更新数据!B31))</f>
        <v>600</v>
      </c>
      <c r="C30" s="12"/>
      <c r="S30" s="1" t="str">
        <v>无双</v>
      </c>
    </row>
    <row r="31" spans="1:34">
      <c r="A31" s="12"/>
      <c r="B31" s="12"/>
      <c r="C31" s="12"/>
      <c r="E31" s="1" t="s">
        <v>40</v>
      </c>
      <c r="F31" s="1">
        <f>VALUE(IF(全局设置!$D$2,WPS常更新数据!B70,Excel常更新数据!B71))</f>
        <v>1276500</v>
      </c>
      <c r="G31" s="1">
        <f>VALUE(IF(全局设置!$D$2,WPS常更新数据!C70,Excel常更新数据!C71))</f>
        <v>2415000</v>
      </c>
      <c r="J31" s="1" t="s">
        <v>40</v>
      </c>
      <c r="K31" s="1">
        <f ca="1">IF(角色属性!Z68,G31,0)+IF(角色属性!Z69,F31,0)</f>
        <v>2415000</v>
      </c>
      <c r="L31" s="1">
        <v>37562</v>
      </c>
      <c r="S31" s="1" t="str">
        <v>破招</v>
      </c>
      <c r="AD31" s="12" t="s">
        <v>19</v>
      </c>
      <c r="AE31" s="12" t="s">
        <v>785</v>
      </c>
      <c r="AG31" s="1" t="s">
        <v>19</v>
      </c>
      <c r="AH31" s="57" t="s">
        <v>785</v>
      </c>
    </row>
    <row r="32" spans="1:34">
      <c r="B32" s="12"/>
      <c r="C32" s="12"/>
      <c r="E32" s="1" t="s">
        <v>48</v>
      </c>
      <c r="F32" s="1">
        <f>VALUE(IF(全局设置!$D$2,WPS常更新数据!B71,Excel常更新数据!B72))</f>
        <v>851000</v>
      </c>
      <c r="G32" s="1">
        <f>VALUE(IF(全局设置!$D$2,WPS常更新数据!C71,Excel常更新数据!C72))</f>
        <v>1610000</v>
      </c>
      <c r="J32" s="1" t="s">
        <v>48</v>
      </c>
      <c r="K32" s="1">
        <f ca="1">IF(角色属性!Z70,G32,0)+IF(角色属性!Z71,F32,0)</f>
        <v>1610000</v>
      </c>
      <c r="L32" s="1">
        <v>37561</v>
      </c>
      <c r="S32" s="1" t="str">
        <v>攻击</v>
      </c>
      <c r="AD32" s="12" t="s">
        <v>98</v>
      </c>
      <c r="AE32" s="12">
        <f>VALUE(IF(全局设置!$D$2,WPS常更新数据!B132,Excel常更新数据!B133))</f>
        <v>197703</v>
      </c>
      <c r="AG32" s="1" t="s">
        <v>98</v>
      </c>
      <c r="AH32" s="1">
        <f>AE32*0.01</f>
        <v>1977.03</v>
      </c>
    </row>
    <row r="33" spans="1:34">
      <c r="A33" s="1" t="s">
        <v>619</v>
      </c>
      <c r="E33" s="1" t="s">
        <v>61</v>
      </c>
      <c r="F33" s="1">
        <f>VALUE(IF(全局设置!$D$2,WPS常更新数据!B72,Excel常更新数据!B73))</f>
        <v>898343.75</v>
      </c>
      <c r="G33" s="1">
        <f>VALUE(IF(全局设置!$D$2,WPS常更新数据!C72,Excel常更新数据!C73))</f>
        <v>976153.75</v>
      </c>
      <c r="H33" s="1">
        <f>VALUE(IF(全局设置!$D$2,WPS常更新数据!D72,Excel常更新数据!D73))</f>
        <v>515970</v>
      </c>
      <c r="J33" s="1" t="s">
        <v>61</v>
      </c>
      <c r="K33" s="1">
        <f ca="1">IF(角色属性!Z75,H33,0)+IF(角色属性!Z76,G33,0)+IF(角色属性!Z77,F33,0)</f>
        <v>0</v>
      </c>
      <c r="L33" s="1">
        <v>38966</v>
      </c>
      <c r="S33" s="1">
        <v>0</v>
      </c>
      <c r="AD33" s="12" t="s">
        <v>32</v>
      </c>
      <c r="AE33" s="12">
        <f>VALUE(IF(全局设置!$D$2,WPS常更新数据!B133,Excel常更新数据!B134))</f>
        <v>225957.6</v>
      </c>
      <c r="AG33" s="1" t="s">
        <v>32</v>
      </c>
      <c r="AH33" s="1">
        <f>AE33*0.01</f>
        <v>2259.576</v>
      </c>
    </row>
    <row r="34" spans="1:34">
      <c r="A34" s="1" t="s">
        <v>25</v>
      </c>
      <c r="B34" s="1">
        <f>VALUE(IF(全局设置!$D$2,WPS常更新数据!B89,Excel常更新数据!B90))</f>
        <v>6396</v>
      </c>
      <c r="C34" s="1">
        <f>VALUE(IF(全局设置!$D$2,WPS常更新数据!C89,Excel常更新数据!C90))</f>
        <v>7488</v>
      </c>
      <c r="J34" s="1" t="s">
        <v>38</v>
      </c>
      <c r="K34" s="1">
        <f ca="1">IF(角色属性!Z44,F37,0)+IF(角色属性!Z55,F49,0)</f>
        <v>1138845</v>
      </c>
      <c r="R34" s="1" t="s">
        <v>786</v>
      </c>
      <c r="S34" s="1" t="str" cm="1">
        <f t="array" ref="S34:S39">_xlfn.XLOOKUP(计算主页!R11,S15:AA15,S23:AA28)</f>
        <v>会效</v>
      </c>
      <c r="T34" s="1" t="s">
        <v>684</v>
      </c>
      <c r="U34" s="1">
        <f>COUNTIF(_xlfn.ANCHORARRAY(S34),"&lt;&gt;0")</f>
        <v>2</v>
      </c>
      <c r="AD34" s="12" t="s">
        <v>42</v>
      </c>
      <c r="AE34" s="12">
        <f>VALUE(IF(全局设置!$D$2,WPS常更新数据!B134,Excel常更新数据!B135))</f>
        <v>72844.2</v>
      </c>
      <c r="AG34" s="1" t="s">
        <v>42</v>
      </c>
      <c r="AH34" s="1">
        <f>AE34*0.01</f>
        <v>728.442</v>
      </c>
    </row>
    <row r="35" spans="1:34">
      <c r="A35" s="1" t="s">
        <v>30</v>
      </c>
      <c r="B35" s="1">
        <f>VALUE(IF(全局设置!$D$2,WPS常更新数据!B90,Excel常更新数据!B91))</f>
        <v>7112</v>
      </c>
      <c r="C35" s="1">
        <f>VALUE(IF(全局设置!$D$2,WPS常更新数据!C90,Excel常更新数据!C91))</f>
        <v>8326</v>
      </c>
      <c r="E35" s="1" t="s">
        <v>787</v>
      </c>
      <c r="F35" s="1">
        <f>VALUE(IF(全局设置!$D$2,WPS常更新数据!C139,Excel常更新数据!C140))</f>
        <v>7908</v>
      </c>
      <c r="G35" s="1">
        <f>VALUE(IF(全局设置!$D$2,WPS常更新数据!D139,Excel常更新数据!D140))</f>
        <v>2914</v>
      </c>
      <c r="J35" s="1" t="s">
        <v>788</v>
      </c>
      <c r="K35" s="1" cm="1">
        <f ca="1" t="array" ref="K35">_xlfn.IFS(角色属性!Z65,F59,角色属性!Z54,F47,TRUE,0)</f>
        <v>0</v>
      </c>
      <c r="S35" s="1" t="str">
        <v>攻击</v>
      </c>
      <c r="AD35" s="12" t="s">
        <v>37</v>
      </c>
      <c r="AE35" s="12">
        <f>VALUE(IF(全局设置!$D$2,WPS常更新数据!B135,Excel常更新数据!B136))</f>
        <v>133333.2</v>
      </c>
      <c r="AG35" s="1" t="s">
        <v>37</v>
      </c>
      <c r="AH35" s="1">
        <f>AE35*0.01</f>
        <v>1333.332</v>
      </c>
    </row>
    <row r="36" spans="1:34">
      <c r="A36" s="1" t="s">
        <v>789</v>
      </c>
      <c r="B36" s="1">
        <f>VALUE(IF(全局设置!$D$2,WPS常更新数据!B91,Excel常更新数据!B92))</f>
        <v>4974</v>
      </c>
      <c r="C36" s="1">
        <f>VALUE(IF(全局设置!$D$2,WPS常更新数据!C91,Excel常更新数据!C92))</f>
        <v>5823</v>
      </c>
      <c r="S36" s="1">
        <v>0</v>
      </c>
      <c r="AD36" s="12" t="s">
        <v>24</v>
      </c>
      <c r="AE36" s="12">
        <f>VALUE(IF(全局设置!$D$2,WPS常更新数据!B136,Excel常更新数据!B137))</f>
        <v>210078</v>
      </c>
      <c r="AG36" s="1" t="s">
        <v>24</v>
      </c>
      <c r="AH36" s="1">
        <f>AE36*0.01</f>
        <v>2100.78</v>
      </c>
    </row>
    <row r="37" spans="1:34">
      <c r="A37" s="12"/>
      <c r="B37" s="12"/>
      <c r="C37" s="12"/>
      <c r="E37" s="1" t="s">
        <v>654</v>
      </c>
      <c r="F37" s="1">
        <f>VALUE(IF(全局设置!$D$2,WPS常更新数据!I145,Excel常更新数据!I146))</f>
        <v>1138845</v>
      </c>
      <c r="J37" s="1" t="s">
        <v>790</v>
      </c>
      <c r="K37" s="1">
        <f>VALUE(IF(全局设置!$D$2,WPS常更新数据!B74,Excel常更新数据!B75))</f>
        <v>317</v>
      </c>
      <c r="S37" s="1">
        <v>0</v>
      </c>
    </row>
    <row r="38" spans="1:34">
      <c r="A38" s="12" t="s">
        <v>783</v>
      </c>
      <c r="B38" s="12"/>
      <c r="C38" s="12"/>
      <c r="E38" s="1" t="s">
        <v>655</v>
      </c>
      <c r="F38" s="1">
        <f>VALUE(IF(全局设置!$D$2,WPS常更新数据!C140,Excel常更新数据!C141))</f>
        <v>1350</v>
      </c>
      <c r="G38" s="1">
        <f>VALUE(IF(全局设置!$D$2,WPS常更新数据!E140,Excel常更新数据!E141))</f>
        <v>1350</v>
      </c>
      <c r="J38" s="1" t="s">
        <v>791</v>
      </c>
      <c r="K38" s="1">
        <f>VALUE(IF(全局设置!$D$2,WPS常更新数据!B75,Excel常更新数据!B76))</f>
        <v>58</v>
      </c>
      <c r="S38" s="1">
        <v>0</v>
      </c>
    </row>
    <row r="39" spans="1:34">
      <c r="A39" s="12">
        <v>24500</v>
      </c>
      <c r="B39" s="1">
        <f>VALUE(IF(全局设置!$D$2,WPS常更新数据!B162,Excel常更新数据!B163))</f>
        <v>769</v>
      </c>
      <c r="C39" s="12"/>
      <c r="E39" s="1" t="s">
        <v>656</v>
      </c>
      <c r="F39" s="1">
        <f>VALUE(IF(全局设置!$D$2,WPS常更新数据!B141,Excel常更新数据!B142))</f>
        <v>18561</v>
      </c>
      <c r="S39" s="1">
        <v>0</v>
      </c>
    </row>
    <row r="40" spans="1:34">
      <c r="A40" s="12">
        <v>27000</v>
      </c>
      <c r="B40" s="1">
        <f>VALUE(IF(全局设置!$D$2,WPS常更新数据!B163,Excel常更新数据!B164))</f>
        <v>848</v>
      </c>
      <c r="C40" s="12"/>
      <c r="E40" s="1" t="s">
        <v>657</v>
      </c>
      <c r="F40" s="1">
        <f>VALUE(IF(全局设置!$D$2,WPS常更新数据!G142,Excel常更新数据!G143))</f>
        <v>3857</v>
      </c>
      <c r="J40" s="1" t="s">
        <v>278</v>
      </c>
    </row>
    <row r="41" spans="1:34">
      <c r="A41" s="12">
        <v>29500</v>
      </c>
      <c r="B41" s="1">
        <f>VALUE(IF(全局设置!$D$2,WPS常更新数据!B164,Excel常更新数据!B165))</f>
        <v>926</v>
      </c>
      <c r="C41" s="12"/>
      <c r="E41" s="1" t="s">
        <v>659</v>
      </c>
      <c r="F41" s="1">
        <f>VALUE(IF(全局设置!$D$2,WPS常更新数据!C143,Excel常更新数据!C144))</f>
        <v>23540</v>
      </c>
      <c r="G41" s="1">
        <f>VALUE(IF(全局设置!$D$2,WPS常更新数据!H143,Excel常更新数据!H144))</f>
        <v>0.1767</v>
      </c>
      <c r="J41" s="1" t="s">
        <v>744</v>
      </c>
    </row>
    <row r="42" spans="1:34">
      <c r="A42" s="12">
        <v>32000</v>
      </c>
      <c r="B42" s="1">
        <f>VALUE(IF(全局设置!$D$2,WPS常更新数据!B165,Excel常更新数据!B166))</f>
        <v>1005</v>
      </c>
      <c r="C42" s="12"/>
      <c r="E42" s="1" t="s">
        <v>660</v>
      </c>
      <c r="F42" s="1">
        <f>F41</f>
        <v>23540</v>
      </c>
      <c r="G42" s="1">
        <f>G41</f>
        <v>0.1767</v>
      </c>
      <c r="J42" s="1" t="s">
        <v>259</v>
      </c>
    </row>
    <row r="43" spans="1:34">
      <c r="A43" s="12">
        <v>35000</v>
      </c>
      <c r="B43" s="1">
        <f>VALUE(IF(全局设置!$D$2,WPS常更新数据!B166,Excel常更新数据!B167))</f>
        <v>1099</v>
      </c>
      <c r="C43" s="12"/>
      <c r="E43" s="1" t="s">
        <v>662</v>
      </c>
      <c r="F43" s="1">
        <f>VALUE(IF(全局设置!$D$2,WPS常更新数据!C147,Excel常更新数据!C148))</f>
        <v>1928</v>
      </c>
    </row>
    <row r="44" spans="1:34">
      <c r="A44" s="12">
        <v>39750</v>
      </c>
      <c r="B44" s="1">
        <f>VALUE(IF(全局设置!$D$2,WPS常更新数据!B167,Excel常更新数据!B168))</f>
        <v>1241</v>
      </c>
      <c r="C44" s="12"/>
      <c r="E44" s="1" t="s">
        <v>664</v>
      </c>
      <c r="F44" s="1">
        <f>F43</f>
        <v>1928</v>
      </c>
    </row>
    <row r="45" spans="1:34">
      <c r="A45" s="12"/>
      <c r="B45" s="12"/>
      <c r="C45" s="12"/>
      <c r="E45" s="1" t="s">
        <v>665</v>
      </c>
      <c r="F45" s="1">
        <f>F43</f>
        <v>1928</v>
      </c>
      <c r="J45" s="1" t="s">
        <v>792</v>
      </c>
    </row>
    <row r="46" spans="1:34">
      <c r="A46" s="12"/>
      <c r="B46" s="12"/>
      <c r="C46" s="12"/>
      <c r="E46" s="1" t="s">
        <v>666</v>
      </c>
      <c r="F46" s="1">
        <f>F45</f>
        <v>1928</v>
      </c>
    </row>
    <row r="47" spans="1:34">
      <c r="A47" s="12"/>
      <c r="B47" s="12"/>
      <c r="C47" s="12"/>
      <c r="E47" s="1" t="s">
        <v>667</v>
      </c>
      <c r="F47" s="1">
        <f>VALUE(IF(全局设置!$D$2,WPS常更新数据!I149,Excel常更新数据!I150))</f>
        <v>268000</v>
      </c>
    </row>
    <row r="48" spans="1:34">
      <c r="A48" s="12"/>
      <c r="B48" s="12"/>
      <c r="C48" s="12"/>
    </row>
    <row r="49" spans="1:7">
      <c r="A49" s="12"/>
      <c r="B49" s="12"/>
      <c r="C49" s="12"/>
      <c r="E49" s="1" t="s">
        <v>672</v>
      </c>
      <c r="F49" s="1">
        <f>VALUE(IF(全局设置!$D$2,WPS常更新数据!I155,Excel常更新数据!I156))</f>
        <v>601965</v>
      </c>
    </row>
    <row r="50" spans="1:7">
      <c r="A50" s="12"/>
      <c r="B50" s="12"/>
      <c r="C50" s="12"/>
      <c r="E50" s="1" t="s">
        <v>673</v>
      </c>
      <c r="F50" s="1">
        <f>VALUE(IF(全局设置!$D$2,WPS常更新数据!C150,Excel常更新数据!C151))</f>
        <v>1155</v>
      </c>
      <c r="G50" s="1">
        <f>VALUE(IF(全局设置!$D$2,WPS常更新数据!E150,Excel常更新数据!E151))</f>
        <v>1155</v>
      </c>
    </row>
    <row r="51" spans="1:7">
      <c r="A51" s="12"/>
      <c r="B51" s="12"/>
      <c r="C51" s="12"/>
      <c r="E51" s="1" t="s">
        <v>674</v>
      </c>
      <c r="F51" s="1">
        <f>VALUE(IF(全局设置!$D$2,WPS常更新数据!B151,Excel常更新数据!B152))</f>
        <v>12254</v>
      </c>
    </row>
    <row r="52" spans="1:7">
      <c r="A52" s="12"/>
      <c r="B52" s="12"/>
      <c r="C52" s="12"/>
      <c r="E52" s="1" t="s">
        <v>675</v>
      </c>
      <c r="F52" s="1">
        <f>VALUE(IF(全局设置!$D$2,WPS常更新数据!G152,Excel常更新数据!G153))</f>
        <v>3301</v>
      </c>
    </row>
    <row r="53" spans="1:7">
      <c r="A53" s="12"/>
      <c r="B53" s="12"/>
      <c r="C53" s="12"/>
      <c r="E53" s="1" t="s">
        <v>676</v>
      </c>
      <c r="F53" s="1">
        <f>VALUE(IF(全局设置!$D$2,WPS常更新数据!C153,Excel常更新数据!C154))</f>
        <v>20148</v>
      </c>
      <c r="G53" s="1">
        <f>VALUE(IF(全局设置!$D$2,WPS常更新数据!H153,Excel常更新数据!H154))</f>
        <v>0.1513671875</v>
      </c>
    </row>
    <row r="54" spans="1:7">
      <c r="A54" s="12"/>
      <c r="B54" s="12"/>
      <c r="C54" s="12"/>
      <c r="E54" s="1" t="s">
        <v>677</v>
      </c>
      <c r="F54" s="1">
        <f>F53</f>
        <v>20148</v>
      </c>
      <c r="G54" s="1">
        <f>G53</f>
        <v>0.1513671875</v>
      </c>
    </row>
    <row r="55" spans="1:7">
      <c r="A55" s="12"/>
      <c r="B55" s="12"/>
      <c r="C55" s="12"/>
      <c r="E55" s="1" t="s">
        <v>678</v>
      </c>
      <c r="F55" s="1">
        <f>VALUE(IF(全局设置!$D$2,WPS常更新数据!C157,Excel常更新数据!C158))</f>
        <v>1660</v>
      </c>
    </row>
    <row r="56" spans="1:7">
      <c r="A56" s="12"/>
      <c r="B56" s="12"/>
      <c r="C56" s="12"/>
      <c r="E56" s="1" t="s">
        <v>679</v>
      </c>
      <c r="F56" s="1">
        <f>F55</f>
        <v>1660</v>
      </c>
    </row>
    <row r="57" spans="1:7">
      <c r="A57" s="12"/>
      <c r="B57" s="12"/>
      <c r="C57" s="12"/>
      <c r="E57" s="1" t="s">
        <v>680</v>
      </c>
      <c r="F57" s="1">
        <f>F55</f>
        <v>1660</v>
      </c>
    </row>
    <row r="58" spans="1:7">
      <c r="E58" s="1" t="s">
        <v>681</v>
      </c>
      <c r="F58" s="1">
        <f>F55</f>
        <v>1660</v>
      </c>
    </row>
    <row r="59" spans="1:7">
      <c r="E59" s="1" t="s">
        <v>682</v>
      </c>
      <c r="F59" s="1">
        <f>VALUE(IF(全局设置!$D$2,WPS常更新数据!I159,Excel常更新数据!I160))</f>
        <v>141600</v>
      </c>
    </row>
  </sheetData>
  <mergeCells count="1">
    <mergeCell ref="AD1:AE1"/>
  </mergeCells>
  <pageMargins left="0.75" right="0.75" top="1" bottom="1" header="0.5" footer="0.5"/>
  <headerFooter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6"/>
  <dimension ref="A1:XFD157"/>
  <sheetViews>
    <sheetView workbookViewId="0">
      <pane xSplit="2" ySplit="1" topLeftCell="C119" activePane="bottomRight" state="frozen"/>
      <selection/>
      <selection pane="topRight"/>
      <selection pane="bottomLeft"/>
      <selection pane="bottomRight" activeCell="G134" sqref="G134"/>
    </sheetView>
  </sheetViews>
  <sheetFormatPr defaultColWidth="9" defaultRowHeight="14.25"/>
  <cols>
    <col min="1" max="1" width="9" style="1"/>
    <col min="2" max="2" width="12.125" style="1" customWidth="1"/>
    <col min="3" max="3" width="8.25" style="1" customWidth="1"/>
    <col min="4" max="4" width="7.5" style="1" customWidth="1"/>
    <col min="5" max="5" width="9" style="1"/>
    <col min="6" max="6" width="9.875" style="1" customWidth="1"/>
    <col min="7" max="7" width="8.375" style="1" customWidth="1"/>
    <col min="8" max="8" width="9" style="27"/>
    <col min="9" max="9" width="9" style="1"/>
    <col min="10" max="10" width="9" style="27"/>
    <col min="11" max="11" width="9" style="1"/>
    <col min="12" max="12" width="9" style="23"/>
    <col min="13" max="13" width="11.125" style="1"/>
    <col min="14" max="14" width="10.125" style="23"/>
    <col min="15" max="15" width="9" style="1"/>
    <col min="16" max="16" width="9" style="23"/>
    <col min="17" max="17" width="9" style="1"/>
    <col min="18" max="18" width="11.125" style="1"/>
    <col min="19" max="19" width="9" style="23"/>
    <col min="20" max="20" width="11.125" style="1"/>
    <col min="21" max="21" width="10.125" style="23"/>
    <col min="22" max="22" width="7.875" style="23" customWidth="1"/>
    <col min="23" max="23" width="11.125" style="1"/>
    <col min="24" max="24" width="9" style="1"/>
    <col min="25" max="25" width="9.25" style="23"/>
    <col min="26" max="27" width="9" style="27"/>
    <col min="28" max="28" width="9" style="23"/>
    <col min="29" max="29" width="9" style="27"/>
    <col min="30" max="30" width="11.125" style="1"/>
    <col min="31" max="31" width="9" style="1"/>
    <col min="32" max="32" width="12.875" style="1" customWidth="1"/>
    <col min="33" max="34" width="11.125" style="1"/>
    <col min="35" max="16383" width="9" style="1"/>
  </cols>
  <sheetData>
    <row r="1" spans="1:34 16384:16384">
      <c r="A1" s="1" t="s">
        <v>793</v>
      </c>
      <c r="B1" s="1" t="s">
        <v>794</v>
      </c>
      <c r="C1" s="1" t="s">
        <v>795</v>
      </c>
      <c r="D1" s="1" t="s">
        <v>796</v>
      </c>
      <c r="E1" s="1" t="s">
        <v>797</v>
      </c>
      <c r="F1" s="1" t="s">
        <v>798</v>
      </c>
      <c r="G1" s="1" t="s">
        <v>799</v>
      </c>
      <c r="H1" s="27" t="s">
        <v>800</v>
      </c>
      <c r="I1" s="1" t="s">
        <v>801</v>
      </c>
      <c r="J1" s="27" t="s">
        <v>802</v>
      </c>
      <c r="K1" s="1" t="s">
        <v>803</v>
      </c>
      <c r="L1" s="23" t="s">
        <v>804</v>
      </c>
      <c r="M1" s="1" t="s">
        <v>805</v>
      </c>
      <c r="N1" s="23" t="s">
        <v>806</v>
      </c>
      <c r="O1" s="1" t="s">
        <v>807</v>
      </c>
      <c r="P1" s="23" t="s">
        <v>808</v>
      </c>
      <c r="Q1" s="1" t="s">
        <v>809</v>
      </c>
      <c r="R1" s="1" t="s">
        <v>810</v>
      </c>
      <c r="S1" s="23" t="s">
        <v>811</v>
      </c>
      <c r="T1" s="1" t="s">
        <v>812</v>
      </c>
      <c r="U1" s="23" t="s">
        <v>813</v>
      </c>
      <c r="V1" s="23" t="s">
        <v>814</v>
      </c>
      <c r="W1" s="1" t="s">
        <v>815</v>
      </c>
      <c r="X1" s="1" t="s">
        <v>816</v>
      </c>
      <c r="Y1" s="23" t="s">
        <v>817</v>
      </c>
      <c r="Z1" s="27" t="s">
        <v>818</v>
      </c>
      <c r="AA1" s="27" t="s">
        <v>819</v>
      </c>
      <c r="AB1" s="23" t="s">
        <v>820</v>
      </c>
      <c r="AC1" s="27" t="s">
        <v>821</v>
      </c>
      <c r="AD1" s="27" t="s">
        <v>822</v>
      </c>
      <c r="AG1" s="1" t="s">
        <v>360</v>
      </c>
      <c r="XFD1" s="1"/>
    </row>
    <row r="2" spans="1:34 16384:16384">
      <c r="A2" s="1" t="s">
        <v>823</v>
      </c>
      <c r="B2" s="1" t="s">
        <v>387</v>
      </c>
      <c r="C2" s="1" t="b">
        <f t="shared" ref="C2:C7" si="0">TRUE()</f>
        <v>1</v>
      </c>
      <c r="D2" s="1" t="b">
        <f>FALSE()</f>
        <v>0</v>
      </c>
      <c r="E2" s="1">
        <v>0</v>
      </c>
      <c r="G2" s="1" t="b">
        <f>TRUE()</f>
        <v>1</v>
      </c>
      <c r="H2" s="27">
        <v>1</v>
      </c>
      <c r="L2" s="23">
        <f>常更新数据!AE21</f>
        <v>0.15</v>
      </c>
      <c r="AD2" s="27"/>
      <c r="AF2"/>
      <c r="AG2" s="1" t="s">
        <v>824</v>
      </c>
      <c r="AH2" s="1">
        <f>技能数!AF3</f>
        <v>3</v>
      </c>
      <c r="XFD2" s="1"/>
    </row>
    <row r="3" spans="1:34 16384:16384">
      <c r="A3" s="1" t="s">
        <v>823</v>
      </c>
      <c r="B3" s="1" t="s">
        <v>170</v>
      </c>
      <c r="C3" s="1" t="b">
        <f t="shared" si="0"/>
        <v>1</v>
      </c>
      <c r="D3" s="1" t="b">
        <f>TRUE()</f>
        <v>1</v>
      </c>
      <c r="E3" s="1">
        <v>0</v>
      </c>
      <c r="G3" s="1" t="b">
        <v>1</v>
      </c>
      <c r="H3" s="27">
        <v>1</v>
      </c>
      <c r="I3" s="1">
        <f>常更新数据!K37</f>
        <v>317</v>
      </c>
      <c r="K3" s="1">
        <f>常更新数据!K38</f>
        <v>58</v>
      </c>
      <c r="AD3" s="27"/>
      <c r="AG3" s="1" t="s">
        <v>825</v>
      </c>
      <c r="AH3" s="1">
        <f>技能数!AH3</f>
        <v>1</v>
      </c>
      <c r="XFD3" s="1"/>
    </row>
    <row r="4" spans="1:34 16384:16384">
      <c r="A4" s="1" t="s">
        <v>826</v>
      </c>
      <c r="B4" s="1" t="s">
        <v>365</v>
      </c>
      <c r="C4" s="1" t="b">
        <f t="shared" si="0"/>
        <v>1</v>
      </c>
      <c r="D4" s="1" t="b">
        <f>FALSE()</f>
        <v>0</v>
      </c>
      <c r="E4" s="1">
        <v>1</v>
      </c>
      <c r="G4" s="1" t="b">
        <f>TRUE()</f>
        <v>1</v>
      </c>
      <c r="H4" s="27">
        <v>1</v>
      </c>
      <c r="L4" s="23">
        <f>VALUE(IF(全局设置!$D$2,WPS奇穴数据!E2,Excel奇穴数据!E2))</f>
        <v>0.45</v>
      </c>
      <c r="AD4" s="27"/>
      <c r="AG4" s="1" t="s">
        <v>827</v>
      </c>
      <c r="AH4" s="1">
        <f ca="1">技能数!$X$3</f>
        <v>4.4575</v>
      </c>
      <c r="XFD4" s="1"/>
    </row>
    <row r="5" spans="1:34 16384:16384">
      <c r="A5" s="1" t="s">
        <v>127</v>
      </c>
      <c r="B5" s="1" t="s">
        <v>435</v>
      </c>
      <c r="C5" s="1" t="b">
        <f t="shared" si="0"/>
        <v>1</v>
      </c>
      <c r="D5" s="1" t="b">
        <f>FALSE()</f>
        <v>0</v>
      </c>
      <c r="E5" s="1">
        <v>0</v>
      </c>
      <c r="G5" s="1" t="b">
        <f>角色属性!AK14</f>
        <v>0</v>
      </c>
      <c r="H5" s="52">
        <v>1</v>
      </c>
      <c r="L5" s="23">
        <f>VALUE(IF(全局设置!$D$2,WPS奇穴数据!E3,Excel奇穴数据!E3))</f>
        <v>0.1</v>
      </c>
      <c r="AD5" s="27"/>
      <c r="AG5" s="1" t="s">
        <v>828</v>
      </c>
      <c r="AH5" s="1">
        <f ca="1">技能数!$Y$3</f>
        <v>4.77</v>
      </c>
      <c r="XFD5" s="1"/>
    </row>
    <row r="6" spans="1:34 16384:16384">
      <c r="A6" s="1" t="s">
        <v>588</v>
      </c>
      <c r="B6" s="1" t="s">
        <v>369</v>
      </c>
      <c r="C6" s="1" t="b">
        <f t="shared" si="0"/>
        <v>1</v>
      </c>
      <c r="D6" s="1" t="b">
        <f>FALSE()</f>
        <v>0</v>
      </c>
      <c r="E6" s="1">
        <v>-1</v>
      </c>
      <c r="F6" s="1" t="s">
        <v>130</v>
      </c>
      <c r="G6" s="1" t="b">
        <f ca="1">角色属性!Z32</f>
        <v>1</v>
      </c>
      <c r="H6" s="27">
        <v>1</v>
      </c>
      <c r="Y6" s="23">
        <v>0.1</v>
      </c>
      <c r="AD6" s="27"/>
      <c r="AG6" s="1" t="s">
        <v>382</v>
      </c>
      <c r="AH6" s="1">
        <f>技能数!G3</f>
        <v>120</v>
      </c>
      <c r="XFD6" s="1"/>
    </row>
    <row r="7" spans="1:34 16384:16384">
      <c r="A7" s="1" t="s">
        <v>588</v>
      </c>
      <c r="B7" s="1" t="s">
        <v>782</v>
      </c>
      <c r="C7" s="1" t="b">
        <f t="shared" si="0"/>
        <v>1</v>
      </c>
      <c r="D7" s="1" t="b">
        <f t="shared" ref="D7:D21" si="1">TRUE()</f>
        <v>1</v>
      </c>
      <c r="E7" s="1">
        <v>1</v>
      </c>
      <c r="G7" s="1" t="b">
        <f ca="1">OR(角色属性!Z35,角色属性!Z34)</f>
        <v>1</v>
      </c>
      <c r="H7" s="53">
        <v>1</v>
      </c>
      <c r="R7" s="1">
        <f ca="1">常更新数据!K26*2*AH8/AH6</f>
        <v>10759.5</v>
      </c>
      <c r="AD7" s="27"/>
      <c r="AG7" s="1" t="s">
        <v>384</v>
      </c>
      <c r="AH7" s="1">
        <f>技能数!F3</f>
        <v>180</v>
      </c>
      <c r="XFD7" s="1"/>
    </row>
    <row r="8" spans="1:34 16384:16384">
      <c r="A8" s="1" t="s">
        <v>588</v>
      </c>
      <c r="B8" s="1" t="s">
        <v>829</v>
      </c>
      <c r="C8" s="1" t="b">
        <f>FALSE()</f>
        <v>0</v>
      </c>
      <c r="D8" s="1" t="b">
        <f t="shared" si="1"/>
        <v>1</v>
      </c>
      <c r="E8" s="1">
        <v>0</v>
      </c>
      <c r="G8" s="1" t="b">
        <f ca="1">G7</f>
        <v>1</v>
      </c>
      <c r="H8" s="54">
        <v>1</v>
      </c>
      <c r="R8" s="1">
        <f ca="1">常更新数据!K26*(5*2/AH7)</f>
        <v>2391</v>
      </c>
      <c r="AD8" s="27"/>
      <c r="AG8" s="1" t="s">
        <v>830</v>
      </c>
      <c r="AH8" s="1">
        <f>IF(全局设置!H2,15,10)</f>
        <v>15</v>
      </c>
      <c r="XFD8" s="1"/>
    </row>
    <row r="9" spans="1:34 16384:16384">
      <c r="A9" s="1" t="s">
        <v>588</v>
      </c>
      <c r="B9" s="1" t="s">
        <v>779</v>
      </c>
      <c r="C9" s="1" t="b">
        <f t="shared" ref="C9:C44" si="2">TRUE()</f>
        <v>1</v>
      </c>
      <c r="D9" s="1" t="b">
        <f t="shared" si="1"/>
        <v>1</v>
      </c>
      <c r="E9" s="1">
        <v>0</v>
      </c>
      <c r="G9" s="1" t="b">
        <f ca="1">OR(角色属性!Z37,角色属性!Z36)</f>
        <v>0</v>
      </c>
      <c r="H9" s="27">
        <v>1</v>
      </c>
      <c r="K9" s="1">
        <f ca="1">常更新数据!K25</f>
        <v>0</v>
      </c>
      <c r="AD9" s="27"/>
      <c r="AG9" s="1" t="s">
        <v>831</v>
      </c>
      <c r="AH9" s="1">
        <f>技能数!H3</f>
        <v>300</v>
      </c>
      <c r="XFD9" s="1"/>
    </row>
    <row r="10" spans="1:34 16384:16384">
      <c r="A10" s="1" t="s">
        <v>712</v>
      </c>
      <c r="B10" s="1" t="s">
        <v>832</v>
      </c>
      <c r="C10" s="1" t="b">
        <f t="shared" si="2"/>
        <v>1</v>
      </c>
      <c r="D10" s="1" t="b">
        <f t="shared" si="1"/>
        <v>1</v>
      </c>
      <c r="E10" s="1">
        <v>2</v>
      </c>
      <c r="G10" s="1" t="b">
        <f>计算主页!T6=B10</f>
        <v>0</v>
      </c>
      <c r="H10" s="27">
        <v>1</v>
      </c>
      <c r="K10" s="1">
        <f>常更新数据!B4</f>
        <v>2236</v>
      </c>
      <c r="AD10" s="27"/>
      <c r="AG10" s="1" t="s">
        <v>387</v>
      </c>
      <c r="AH10" s="1">
        <f>技能数!$AE$3</f>
        <v>2</v>
      </c>
      <c r="XFD10" s="1"/>
    </row>
    <row r="11" spans="1:34 16384:16384">
      <c r="A11" s="1" t="s">
        <v>713</v>
      </c>
      <c r="B11" s="1" t="s">
        <v>832</v>
      </c>
      <c r="C11" s="1" t="b">
        <f t="shared" si="2"/>
        <v>1</v>
      </c>
      <c r="D11" s="1" t="b">
        <f t="shared" si="1"/>
        <v>1</v>
      </c>
      <c r="E11" s="1">
        <v>2</v>
      </c>
      <c r="G11" s="1" t="b">
        <f>计算主页!$S$6=B11</f>
        <v>0</v>
      </c>
      <c r="H11" s="27">
        <v>1</v>
      </c>
      <c r="K11" s="1">
        <f>常更新数据!C4</f>
        <v>1739</v>
      </c>
      <c r="AD11" s="27"/>
      <c r="AG11" s="1" t="s">
        <v>833</v>
      </c>
      <c r="AH11" s="1">
        <f ca="1">技能数!AW3</f>
        <v>2.60681950160957</v>
      </c>
      <c r="XFD11" s="1"/>
    </row>
    <row r="12" spans="1:34 16384:16384">
      <c r="A12" s="1" t="s">
        <v>834</v>
      </c>
      <c r="B12" s="1" t="s">
        <v>14</v>
      </c>
      <c r="C12" s="1" t="b">
        <f t="shared" si="2"/>
        <v>1</v>
      </c>
      <c r="D12" s="1" t="b">
        <f t="shared" si="1"/>
        <v>1</v>
      </c>
      <c r="E12" s="1">
        <v>2</v>
      </c>
      <c r="G12" s="1" t="b">
        <f>计算主页!P6=B12</f>
        <v>1</v>
      </c>
      <c r="H12" s="27">
        <v>1</v>
      </c>
      <c r="K12" s="1">
        <f>常更新数据!F2</f>
        <v>994</v>
      </c>
      <c r="M12" s="1">
        <f>常更新数据!F4</f>
        <v>3279</v>
      </c>
      <c r="W12" s="1">
        <f>常更新数据!F6</f>
        <v>3279</v>
      </c>
      <c r="AD12" s="27"/>
      <c r="AG12" s="1" t="s">
        <v>835</v>
      </c>
      <c r="AH12" s="1">
        <f ca="1">技能数!AP3</f>
        <v>0</v>
      </c>
      <c r="XFD12" s="1"/>
    </row>
    <row r="13" spans="1:34 16384:16384">
      <c r="A13" s="1" t="s">
        <v>712</v>
      </c>
      <c r="B13" s="1" t="s">
        <v>836</v>
      </c>
      <c r="C13" s="1" t="b">
        <f t="shared" si="2"/>
        <v>1</v>
      </c>
      <c r="D13" s="1" t="b">
        <f t="shared" si="1"/>
        <v>1</v>
      </c>
      <c r="E13" s="1">
        <v>2</v>
      </c>
      <c r="G13" s="1" t="b">
        <f>计算主页!T6=B13</f>
        <v>0</v>
      </c>
      <c r="H13" s="27">
        <v>1</v>
      </c>
      <c r="K13" s="1">
        <f>常更新数据!B5</f>
        <v>1118</v>
      </c>
      <c r="AD13" s="27"/>
      <c r="AG13" s="1" t="s">
        <v>837</v>
      </c>
      <c r="AH13" s="1">
        <f ca="1">SUM(伤害招式表[平时数量])+SUM(伤害招式表[繁音数量])</f>
        <v>1164.8660307678</v>
      </c>
      <c r="XFD13" s="1"/>
    </row>
    <row r="14" spans="1:34 16384:16384">
      <c r="A14" s="1" t="s">
        <v>713</v>
      </c>
      <c r="B14" s="1" t="s">
        <v>836</v>
      </c>
      <c r="C14" s="1" t="b">
        <f t="shared" si="2"/>
        <v>1</v>
      </c>
      <c r="D14" s="1" t="b">
        <f t="shared" si="1"/>
        <v>1</v>
      </c>
      <c r="E14" s="1">
        <v>2</v>
      </c>
      <c r="G14" s="1" t="b">
        <f>计算主页!$S$6=B14</f>
        <v>0</v>
      </c>
      <c r="H14" s="27">
        <v>1</v>
      </c>
      <c r="K14" s="1">
        <f>常更新数据!C5</f>
        <v>869</v>
      </c>
      <c r="AD14" s="27"/>
      <c r="AG14" s="1" t="s">
        <v>838</v>
      </c>
      <c r="AH14" s="1">
        <f ca="1">技能数!X8+技能数!AD8</f>
        <v>11</v>
      </c>
      <c r="XFD14" s="1"/>
    </row>
    <row r="15" spans="1:34 16384:16384">
      <c r="A15" s="1" t="s">
        <v>839</v>
      </c>
      <c r="B15" s="1" t="s">
        <v>840</v>
      </c>
      <c r="C15" s="1" t="b">
        <f t="shared" si="2"/>
        <v>1</v>
      </c>
      <c r="D15" s="1" t="b">
        <f t="shared" si="1"/>
        <v>1</v>
      </c>
      <c r="E15" s="1">
        <v>2</v>
      </c>
      <c r="G15" s="1" t="b">
        <v>1</v>
      </c>
      <c r="H15" s="27">
        <v>1</v>
      </c>
      <c r="K15" s="1">
        <f>IF(增益大全!AH27="攻击",常更新数据!B15,0)</f>
        <v>0</v>
      </c>
      <c r="M15" s="1">
        <f>IF(增益大全!AH27="会心",常更新数据!B16,0)</f>
        <v>7184</v>
      </c>
      <c r="R15" s="1">
        <f>IF(增益大全!AH27="破防",常更新数据!B16,0)</f>
        <v>0</v>
      </c>
      <c r="T15" s="1">
        <f>IF(增益大全!AH27="无双",常更新数据!B16,0)+IF(旧主页!Q32="减无双",常更新数据!B17,0)</f>
        <v>0</v>
      </c>
      <c r="W15" s="1">
        <f>IF(增益大全!AH27="破招",常更新数据!B16,0)+IF(旧主页!Q32="减破招",常更新数据!B17,0)</f>
        <v>0</v>
      </c>
      <c r="AD15" s="27"/>
      <c r="AG15" s="1" t="s">
        <v>841</v>
      </c>
      <c r="AH15" s="1">
        <f>技能数据!K60</f>
        <v>12</v>
      </c>
      <c r="XFD15" s="1"/>
    </row>
    <row r="16" spans="1:34 16384:16384">
      <c r="A16" s="1" t="s">
        <v>842</v>
      </c>
      <c r="B16" s="1" t="s">
        <v>832</v>
      </c>
      <c r="C16" s="1" t="b">
        <f t="shared" si="2"/>
        <v>1</v>
      </c>
      <c r="D16" s="1" t="b">
        <f t="shared" si="1"/>
        <v>1</v>
      </c>
      <c r="E16" s="1">
        <v>2</v>
      </c>
      <c r="G16" s="1" t="b">
        <f>LEFT(B16,1)=LEFT($AH$28,1)</f>
        <v>1</v>
      </c>
      <c r="H16" s="27">
        <v>1</v>
      </c>
      <c r="K16" s="1">
        <f>常更新数据!B25</f>
        <v>1491</v>
      </c>
      <c r="AD16" s="27"/>
      <c r="AG16" s="1" t="s">
        <v>843</v>
      </c>
      <c r="AH16" s="1">
        <f ca="1">技能数!Z8+技能数!AE8</f>
        <v>23</v>
      </c>
      <c r="XFD16" s="1"/>
    </row>
    <row r="17" spans="1:34 16384:16384">
      <c r="A17" s="1" t="s">
        <v>842</v>
      </c>
      <c r="B17" s="1" t="s">
        <v>836</v>
      </c>
      <c r="C17" s="1" t="b">
        <f t="shared" si="2"/>
        <v>1</v>
      </c>
      <c r="D17" s="1" t="b">
        <f t="shared" si="1"/>
        <v>1</v>
      </c>
      <c r="E17" s="1">
        <v>2</v>
      </c>
      <c r="G17" s="1" t="b">
        <f>LEFT(B17,1)=LEFT($AH$28,1)</f>
        <v>0</v>
      </c>
      <c r="H17" s="27">
        <v>1</v>
      </c>
      <c r="K17" s="1">
        <f>常更新数据!B26</f>
        <v>746</v>
      </c>
      <c r="AD17" s="27"/>
      <c r="AG17" s="1" t="s">
        <v>844</v>
      </c>
      <c r="AH17" s="1">
        <f ca="1">技能数据!L26</f>
        <v>0.25573799460676</v>
      </c>
      <c r="XFD17" s="1"/>
    </row>
    <row r="18" spans="1:34 16384:16384">
      <c r="A18" s="1" t="s">
        <v>712</v>
      </c>
      <c r="B18" s="1" t="s">
        <v>7</v>
      </c>
      <c r="C18" s="1" t="b">
        <f t="shared" si="2"/>
        <v>1</v>
      </c>
      <c r="D18" s="1" t="b">
        <f t="shared" si="1"/>
        <v>1</v>
      </c>
      <c r="E18" s="1">
        <v>2</v>
      </c>
      <c r="G18" s="1" t="b">
        <f>计算主页!$T$5=B18</f>
        <v>1</v>
      </c>
      <c r="H18" s="27">
        <v>1</v>
      </c>
      <c r="I18" s="1">
        <f>常更新数据!B2</f>
        <v>946</v>
      </c>
      <c r="AD18" s="27"/>
      <c r="AG18" s="1" t="s">
        <v>845</v>
      </c>
      <c r="AH18" s="1">
        <f>技能数据!L35</f>
        <v>0.6</v>
      </c>
      <c r="XFD18" s="1"/>
    </row>
    <row r="19" spans="1:34 16384:16384">
      <c r="A19" s="1" t="s">
        <v>713</v>
      </c>
      <c r="B19" s="1" t="s">
        <v>7</v>
      </c>
      <c r="C19" s="1" t="b">
        <f t="shared" si="2"/>
        <v>1</v>
      </c>
      <c r="D19" s="1" t="b">
        <f t="shared" si="1"/>
        <v>1</v>
      </c>
      <c r="E19" s="1">
        <v>2</v>
      </c>
      <c r="G19" s="1" t="b">
        <f>计算主页!$S$5=B19</f>
        <v>1</v>
      </c>
      <c r="H19" s="27">
        <v>1</v>
      </c>
      <c r="I19" s="1">
        <f>常更新数据!C2</f>
        <v>736</v>
      </c>
      <c r="AD19" s="27"/>
      <c r="AG19" s="1" t="s">
        <v>846</v>
      </c>
      <c r="AH19" s="1" t="b">
        <f>AND(全局设置!H3,技能数!AD6)</f>
        <v>0</v>
      </c>
      <c r="XFD19" s="1"/>
    </row>
    <row r="20" spans="1:34 16384:16384">
      <c r="A20" s="1" t="s">
        <v>712</v>
      </c>
      <c r="B20" s="1" t="s">
        <v>720</v>
      </c>
      <c r="C20" s="1" t="b">
        <f t="shared" si="2"/>
        <v>1</v>
      </c>
      <c r="D20" s="1" t="b">
        <f t="shared" si="1"/>
        <v>1</v>
      </c>
      <c r="E20" s="1">
        <v>2</v>
      </c>
      <c r="G20" s="1" t="b">
        <f>计算主页!$T$5=B20</f>
        <v>0</v>
      </c>
      <c r="H20" s="27">
        <v>1</v>
      </c>
      <c r="I20" s="1">
        <f>常更新数据!B3</f>
        <v>473</v>
      </c>
      <c r="AD20" s="27"/>
      <c r="AG20" s="1" t="s">
        <v>847</v>
      </c>
      <c r="AH20" s="1">
        <f ca="1">1-AH14*6/AH9</f>
        <v>0.78</v>
      </c>
      <c r="XFD20" s="1"/>
    </row>
    <row r="21" spans="1:34 16384:16384">
      <c r="A21" s="1" t="s">
        <v>713</v>
      </c>
      <c r="B21" s="1" t="s">
        <v>720</v>
      </c>
      <c r="C21" s="1" t="b">
        <f t="shared" si="2"/>
        <v>1</v>
      </c>
      <c r="D21" s="1" t="b">
        <f t="shared" si="1"/>
        <v>1</v>
      </c>
      <c r="E21" s="1">
        <v>2</v>
      </c>
      <c r="G21" s="1" t="b">
        <f>计算主页!$S$5=B21</f>
        <v>0</v>
      </c>
      <c r="H21" s="27">
        <v>1</v>
      </c>
      <c r="I21" s="1">
        <f>常更新数据!C3</f>
        <v>368</v>
      </c>
      <c r="AD21" s="27"/>
      <c r="AG21" s="1" t="s">
        <v>848</v>
      </c>
      <c r="AH21" s="1">
        <f>VALUE(LEFT(计算主页!M5,LEN(计算主页!M5)-1))</f>
        <v>80</v>
      </c>
      <c r="XFD21" s="1"/>
    </row>
    <row r="22" spans="1:34 16384:16384">
      <c r="A22" s="1" t="s">
        <v>127</v>
      </c>
      <c r="B22" s="1" t="s">
        <v>849</v>
      </c>
      <c r="C22" s="1" t="b">
        <f t="shared" si="2"/>
        <v>1</v>
      </c>
      <c r="D22" s="1" t="b">
        <f>FALSE()</f>
        <v>0</v>
      </c>
      <c r="E22" s="1">
        <v>0</v>
      </c>
      <c r="G22" s="1" t="b">
        <f>FALSE()</f>
        <v>0</v>
      </c>
      <c r="H22" s="27">
        <v>1</v>
      </c>
      <c r="J22" s="27">
        <v>0.1</v>
      </c>
      <c r="AD22" s="27"/>
      <c r="AG22" s="1" t="s">
        <v>850</v>
      </c>
      <c r="AH22" s="1">
        <f>VALUE(LEFT(计算主页!M6,LEN(计算主页!M6)-1))</f>
        <v>80</v>
      </c>
      <c r="XFD22" s="1"/>
    </row>
    <row r="23" spans="1:34 16384:16384">
      <c r="A23" s="1" t="s">
        <v>839</v>
      </c>
      <c r="B23" s="1" t="s">
        <v>91</v>
      </c>
      <c r="C23" s="1" t="b">
        <f t="shared" si="2"/>
        <v>1</v>
      </c>
      <c r="D23" s="1" t="b">
        <f>TRUE()</f>
        <v>1</v>
      </c>
      <c r="E23" s="1">
        <v>2</v>
      </c>
      <c r="G23" s="1" t="b">
        <f>增益大全!$AH$26=B23</f>
        <v>1</v>
      </c>
      <c r="H23" s="27">
        <v>1</v>
      </c>
      <c r="I23" s="1">
        <f>常更新数据!B12</f>
        <v>544</v>
      </c>
      <c r="AD23" s="27"/>
      <c r="AG23" s="1" t="s">
        <v>851</v>
      </c>
      <c r="AH23" s="1" cm="1">
        <f t="array" ref="AH23">_xlfn.IFS(计算主页!N5="无策T",1,计算主页!N5="无圣僧",2,计算主页!N5="无喵T",3,计算主页!N5="无苍T",4,计算主页!N5="4T全",100,TRUE,0)</f>
        <v>100</v>
      </c>
      <c r="XFD23" s="1"/>
    </row>
    <row r="24" spans="1:34 16384:16384">
      <c r="A24" s="1" t="s">
        <v>839</v>
      </c>
      <c r="B24" s="1" t="s">
        <v>24</v>
      </c>
      <c r="C24" s="1" t="b">
        <f t="shared" si="2"/>
        <v>1</v>
      </c>
      <c r="D24" s="1" t="b">
        <f>TRUE()</f>
        <v>1</v>
      </c>
      <c r="E24" s="1">
        <v>0</v>
      </c>
      <c r="G24" s="1" t="b">
        <f>增益大全!$AH$26=B24</f>
        <v>0</v>
      </c>
      <c r="H24" s="27">
        <v>1</v>
      </c>
      <c r="Q24" s="1">
        <f>常更新数据!B13</f>
        <v>4255</v>
      </c>
      <c r="AD24" s="27"/>
      <c r="AG24" s="1" t="s">
        <v>852</v>
      </c>
      <c r="AH24" s="1" cm="1">
        <f t="array" ref="AH24">_xlfn.IFS(计算主页!N6="无奶秀",1,计算主页!N6="无奶花",2,计算主页!N6="无奶毒",3,计算主页!N6="无奶歌",4,计算主页!N6="无奶药",5,计算主页!N6="5奶全",100,TRUE,0)</f>
        <v>100</v>
      </c>
      <c r="XFD24" s="1"/>
    </row>
    <row r="25" spans="1:34 16384:16384">
      <c r="A25" s="1" t="s">
        <v>127</v>
      </c>
      <c r="B25" s="1" t="s">
        <v>75</v>
      </c>
      <c r="C25" s="1" t="b">
        <f t="shared" si="2"/>
        <v>1</v>
      </c>
      <c r="D25" s="1" t="b">
        <f t="shared" ref="D25:D30" si="3">FALSE()</f>
        <v>0</v>
      </c>
      <c r="E25" s="1">
        <v>1</v>
      </c>
      <c r="G25" s="1" t="b">
        <f>TRUE()</f>
        <v>1</v>
      </c>
      <c r="H25" s="27">
        <v>1</v>
      </c>
      <c r="AD25" s="23">
        <f ca="1">5%*AH31-AD26</f>
        <v>0.0305555555555556</v>
      </c>
      <c r="AG25" s="1" t="s">
        <v>853</v>
      </c>
      <c r="AH25" s="1" t="str">
        <f>LEFT(计算主页!W5,2)</f>
        <v>会心</v>
      </c>
      <c r="XFD25" s="1"/>
    </row>
    <row r="26" spans="1:34 16384:16384">
      <c r="A26" s="1" t="s">
        <v>127</v>
      </c>
      <c r="B26" s="1" t="s">
        <v>75</v>
      </c>
      <c r="C26" s="1" t="b">
        <f t="shared" si="2"/>
        <v>1</v>
      </c>
      <c r="D26" s="1" t="b">
        <f t="shared" si="3"/>
        <v>0</v>
      </c>
      <c r="E26" s="1">
        <v>0</v>
      </c>
      <c r="G26" s="1" t="b">
        <f>G25</f>
        <v>1</v>
      </c>
      <c r="H26" s="55">
        <v>1</v>
      </c>
      <c r="AD26" s="23">
        <f ca="1">5%*AH32</f>
        <v>0.0694444444444444</v>
      </c>
      <c r="AG26" s="1" t="s">
        <v>854</v>
      </c>
      <c r="AH26" s="1" t="str">
        <f>LEFT(计算主页!V6,2)</f>
        <v>根骨</v>
      </c>
      <c r="XFD26" s="1"/>
    </row>
    <row r="27" spans="1:34 16384:16384">
      <c r="A27" s="1" t="s">
        <v>127</v>
      </c>
      <c r="B27" s="1" t="s">
        <v>438</v>
      </c>
      <c r="C27" s="1" t="b">
        <f t="shared" si="2"/>
        <v>1</v>
      </c>
      <c r="D27" s="1" t="b">
        <f t="shared" si="3"/>
        <v>0</v>
      </c>
      <c r="E27" s="1">
        <v>0</v>
      </c>
      <c r="H27" s="55">
        <v>1</v>
      </c>
      <c r="P27" s="47">
        <f ca="1">技能数!AO3</f>
        <v>0.0487341176470588</v>
      </c>
      <c r="AD27" s="27"/>
      <c r="AG27" s="1" t="s">
        <v>855</v>
      </c>
      <c r="AH27" s="1" t="str">
        <f>LEFT(计算主页!W6,2)</f>
        <v>会心</v>
      </c>
      <c r="XFD27" s="1"/>
    </row>
    <row r="28" spans="1:34 16384:16384">
      <c r="A28" s="1" t="s">
        <v>127</v>
      </c>
      <c r="B28" s="1" t="s">
        <v>438</v>
      </c>
      <c r="C28" s="1" t="b">
        <f t="shared" si="2"/>
        <v>1</v>
      </c>
      <c r="D28" s="1" t="b">
        <f t="shared" si="3"/>
        <v>0</v>
      </c>
      <c r="E28" s="1">
        <v>-1</v>
      </c>
      <c r="F28" s="1" t="s">
        <v>438</v>
      </c>
      <c r="H28" s="55">
        <f>H27</f>
        <v>1</v>
      </c>
      <c r="P28" s="47">
        <f ca="1">P27/技能数据!L14-P27</f>
        <v>0.113712941176471</v>
      </c>
      <c r="AD28" s="27"/>
      <c r="AG28" s="1" t="s">
        <v>856</v>
      </c>
      <c r="AH28" s="1" t="str">
        <f>计算主页!V5</f>
        <v>紫磨石</v>
      </c>
      <c r="XFD28" s="1"/>
    </row>
    <row r="29" spans="1:34 16384:16384">
      <c r="A29" s="1" t="s">
        <v>857</v>
      </c>
      <c r="B29" s="1" t="s">
        <v>858</v>
      </c>
      <c r="C29" s="1" t="b">
        <f t="shared" si="2"/>
        <v>1</v>
      </c>
      <c r="D29" s="1" t="b">
        <f t="shared" si="3"/>
        <v>0</v>
      </c>
      <c r="E29" s="1">
        <v>1</v>
      </c>
      <c r="G29" s="1" t="b">
        <f ca="1">AND(角色属性!Z43,AH29)</f>
        <v>0</v>
      </c>
      <c r="H29" s="27">
        <f>20/AH6*3</f>
        <v>0.5</v>
      </c>
      <c r="N29" s="23">
        <v>0.1</v>
      </c>
      <c r="AD29" s="27"/>
      <c r="AG29" s="1" t="s">
        <v>859</v>
      </c>
      <c r="AH29" s="1" t="b">
        <f>伤害计算!C1</f>
        <v>1</v>
      </c>
      <c r="XFD29" s="1"/>
    </row>
    <row r="30" spans="1:34 16384:16384">
      <c r="A30" s="1" t="s">
        <v>857</v>
      </c>
      <c r="B30" s="1" t="s">
        <v>858</v>
      </c>
      <c r="C30" s="1" t="b">
        <f t="shared" si="2"/>
        <v>1</v>
      </c>
      <c r="D30" s="1" t="b">
        <f t="shared" si="3"/>
        <v>0</v>
      </c>
      <c r="E30" s="1">
        <v>0</v>
      </c>
      <c r="G30" s="1" t="b">
        <f ca="1">G29</f>
        <v>0</v>
      </c>
      <c r="H30" s="27">
        <f>10/AH7*3</f>
        <v>0.166666666666667</v>
      </c>
      <c r="N30" s="23">
        <v>0.1</v>
      </c>
      <c r="AD30" s="27"/>
      <c r="AG30" s="1" t="s">
        <v>378</v>
      </c>
      <c r="AH30" s="1" t="str">
        <f>计算主页!K3</f>
        <v>武学助手</v>
      </c>
      <c r="XFD30" s="1"/>
    </row>
    <row r="31" spans="1:34 16384:16384">
      <c r="A31" s="1" t="s">
        <v>860</v>
      </c>
      <c r="B31" s="1" t="s">
        <v>173</v>
      </c>
      <c r="C31" s="1" t="b">
        <f t="shared" si="2"/>
        <v>1</v>
      </c>
      <c r="D31" s="1" t="b">
        <f t="shared" ref="D31:D44" si="4">TRUE()</f>
        <v>1</v>
      </c>
      <c r="E31" s="1">
        <v>2</v>
      </c>
      <c r="G31" s="1" t="b">
        <v>0</v>
      </c>
      <c r="H31" s="27">
        <v>1</v>
      </c>
      <c r="P31" s="23">
        <v>0.1</v>
      </c>
      <c r="AD31" s="27"/>
      <c r="AG31" s="1" t="s">
        <v>861</v>
      </c>
      <c r="AH31" s="1" cm="1">
        <f t="array" ref="AH31">_xlfn.IFS(OR(AH30="武学助手",AH30="纯手打"),2,AH30="破气玳",2.8,技能数!B5,AVERAGE(3,3,3,1,1,1),TRUE(),2)</f>
        <v>2</v>
      </c>
      <c r="XFD31" s="1"/>
    </row>
    <row r="32" spans="1:34 16384:16384">
      <c r="A32" s="1" t="s">
        <v>712</v>
      </c>
      <c r="B32" s="1" t="s">
        <v>16</v>
      </c>
      <c r="C32" s="1" t="b">
        <f t="shared" si="2"/>
        <v>1</v>
      </c>
      <c r="D32" s="1" t="b">
        <f t="shared" si="4"/>
        <v>1</v>
      </c>
      <c r="E32" s="1">
        <v>2</v>
      </c>
      <c r="G32" s="1" t="b">
        <f>计算主页!T6=B32</f>
        <v>1</v>
      </c>
      <c r="H32" s="27">
        <v>1</v>
      </c>
      <c r="M32" s="1">
        <f>常更新数据!B6</f>
        <v>7379</v>
      </c>
      <c r="AD32" s="27"/>
      <c r="AG32" s="1" t="s">
        <v>862</v>
      </c>
      <c r="AH32" s="30" cm="1">
        <f ca="1" t="array" ref="AH32">_xlfn.IFS(OR(AH30="武学助手",AH30="纯手打"),1+AH33/AH7,AH30="破气玳",0.25,技能数!B5,1,TRUE(),0)</f>
        <v>1.38888888888889</v>
      </c>
      <c r="XFD32" s="1"/>
    </row>
    <row r="33" spans="1:34 16384:16384">
      <c r="A33" s="1" t="s">
        <v>712</v>
      </c>
      <c r="B33" s="1" t="s">
        <v>863</v>
      </c>
      <c r="C33" s="1" t="b">
        <f t="shared" si="2"/>
        <v>1</v>
      </c>
      <c r="D33" s="1" t="b">
        <f t="shared" si="4"/>
        <v>1</v>
      </c>
      <c r="E33" s="1">
        <v>2</v>
      </c>
      <c r="G33" s="1" t="b">
        <f>计算主页!T6=B33</f>
        <v>0</v>
      </c>
      <c r="H33" s="27">
        <v>1</v>
      </c>
      <c r="M33" s="1">
        <f>常更新数据!B7</f>
        <v>3689</v>
      </c>
      <c r="AD33" s="27"/>
      <c r="AG33" s="1" t="s">
        <v>864</v>
      </c>
      <c r="AH33" s="1">
        <f ca="1">技能数!B7</f>
        <v>70</v>
      </c>
      <c r="XFD33" s="1"/>
    </row>
    <row r="34" spans="1:34 16384:16384">
      <c r="A34" s="1" t="s">
        <v>713</v>
      </c>
      <c r="B34" s="1" t="s">
        <v>16</v>
      </c>
      <c r="C34" s="1" t="b">
        <f t="shared" si="2"/>
        <v>1</v>
      </c>
      <c r="D34" s="1" t="b">
        <f t="shared" si="4"/>
        <v>1</v>
      </c>
      <c r="E34" s="1">
        <v>2</v>
      </c>
      <c r="G34" s="1" t="b">
        <f>计算主页!$S$6=B34</f>
        <v>1</v>
      </c>
      <c r="H34" s="27">
        <v>1</v>
      </c>
      <c r="M34" s="1">
        <f>常更新数据!C6</f>
        <v>5739</v>
      </c>
      <c r="AD34" s="27"/>
      <c r="AG34" s="1" t="s">
        <v>865</v>
      </c>
      <c r="AH34" s="1" t="b">
        <f>伤害计算!C1</f>
        <v>1</v>
      </c>
      <c r="XFD34" s="1"/>
    </row>
    <row r="35" spans="1:34 16384:16384">
      <c r="A35" s="1" t="s">
        <v>713</v>
      </c>
      <c r="B35" s="1" t="s">
        <v>863</v>
      </c>
      <c r="C35" s="1" t="b">
        <f t="shared" si="2"/>
        <v>1</v>
      </c>
      <c r="D35" s="1" t="b">
        <f t="shared" si="4"/>
        <v>1</v>
      </c>
      <c r="E35" s="1">
        <v>2</v>
      </c>
      <c r="G35" s="1" t="b">
        <f>计算主页!$S$6=B35</f>
        <v>0</v>
      </c>
      <c r="H35" s="27">
        <v>1</v>
      </c>
      <c r="M35" s="1">
        <f>常更新数据!C7</f>
        <v>2869</v>
      </c>
      <c r="AD35" s="27"/>
      <c r="XFD35" s="1"/>
    </row>
    <row r="36" spans="1:34 16384:16384">
      <c r="A36" s="1" t="s">
        <v>866</v>
      </c>
      <c r="B36" s="1" t="s">
        <v>98</v>
      </c>
      <c r="C36" s="1" t="b">
        <f t="shared" si="2"/>
        <v>1</v>
      </c>
      <c r="D36" s="1" t="b">
        <f t="shared" si="4"/>
        <v>1</v>
      </c>
      <c r="E36" s="1">
        <v>2</v>
      </c>
      <c r="G36" s="1" t="b">
        <f>增益大全!$AH$25=B36</f>
        <v>1</v>
      </c>
      <c r="H36" s="27">
        <v>1</v>
      </c>
      <c r="M36" s="1">
        <f>常更新数据!B18</f>
        <v>738</v>
      </c>
      <c r="AD36" s="27"/>
      <c r="XFD36" s="1"/>
    </row>
    <row r="37" spans="1:34 16384:16384">
      <c r="A37" s="1" t="s">
        <v>866</v>
      </c>
      <c r="B37" s="1" t="s">
        <v>32</v>
      </c>
      <c r="C37" s="1" t="b">
        <f t="shared" si="2"/>
        <v>1</v>
      </c>
      <c r="D37" s="1" t="b">
        <f t="shared" si="4"/>
        <v>1</v>
      </c>
      <c r="E37" s="1">
        <v>2</v>
      </c>
      <c r="G37" s="1" t="b">
        <f>增益大全!$AH$25=B37</f>
        <v>0</v>
      </c>
      <c r="H37" s="27">
        <v>1</v>
      </c>
      <c r="R37" s="1">
        <f>常更新数据!B18</f>
        <v>738</v>
      </c>
      <c r="AD37" s="27"/>
      <c r="XFD37" s="1"/>
    </row>
    <row r="38" spans="1:34 16384:16384">
      <c r="A38" s="1" t="s">
        <v>588</v>
      </c>
      <c r="B38" s="1" t="s">
        <v>867</v>
      </c>
      <c r="C38" s="1" t="b">
        <f t="shared" si="2"/>
        <v>1</v>
      </c>
      <c r="D38" s="1" t="b">
        <f t="shared" si="4"/>
        <v>1</v>
      </c>
      <c r="E38" s="1">
        <v>0</v>
      </c>
      <c r="G38" s="1" t="b">
        <f ca="1">角色属性!Z42</f>
        <v>0</v>
      </c>
      <c r="H38" s="27">
        <f>6/30</f>
        <v>0.2</v>
      </c>
      <c r="M38" s="1">
        <f>VALUE(IF(全局设置!$D$2,WPS奇穴数据!F7,Excel奇穴数据!F7))</f>
        <v>11790</v>
      </c>
      <c r="O38" s="1">
        <f>VALUE(IF(全局设置!$D$2,WPS奇穴数据!H7,Excel奇穴数据!H7))</f>
        <v>5610</v>
      </c>
      <c r="AD38" s="27"/>
      <c r="XFD38" s="1"/>
    </row>
    <row r="39" spans="1:34 16384:16384">
      <c r="A39" s="1" t="s">
        <v>868</v>
      </c>
      <c r="B39" s="1" t="s">
        <v>191</v>
      </c>
      <c r="C39" s="1" t="b">
        <f t="shared" si="2"/>
        <v>1</v>
      </c>
      <c r="D39" s="1" t="b">
        <f t="shared" si="4"/>
        <v>1</v>
      </c>
      <c r="E39" s="1">
        <v>2</v>
      </c>
      <c r="G39" s="1" t="b">
        <f>AND(AH23&lt;&gt;4,AH23&lt;&gt;0)</f>
        <v>1</v>
      </c>
      <c r="H39" s="27">
        <v>1</v>
      </c>
      <c r="T39" s="1">
        <f>111*AH21</f>
        <v>8880</v>
      </c>
      <c r="AD39" s="27"/>
      <c r="XFD39" s="1"/>
    </row>
    <row r="40" spans="1:34 16384:16384">
      <c r="A40" s="1" t="s">
        <v>868</v>
      </c>
      <c r="B40" s="1" t="s">
        <v>195</v>
      </c>
      <c r="C40" s="1" t="b">
        <f t="shared" si="2"/>
        <v>1</v>
      </c>
      <c r="D40" s="1" t="b">
        <f t="shared" si="4"/>
        <v>1</v>
      </c>
      <c r="E40" s="1">
        <v>2</v>
      </c>
      <c r="G40" s="1" t="b">
        <f>G39</f>
        <v>1</v>
      </c>
      <c r="H40" s="27">
        <f>(INT(AH9/30)*15+MIN(MOD(AH9/30,1)*30,15))/AH9</f>
        <v>0.5</v>
      </c>
      <c r="T40" s="1">
        <f>67*AH21</f>
        <v>5360</v>
      </c>
      <c r="AD40" s="27"/>
      <c r="XFD40" s="1"/>
    </row>
    <row r="41" spans="1:34 16384:16384">
      <c r="A41" s="1" t="s">
        <v>712</v>
      </c>
      <c r="B41" s="1" t="s">
        <v>869</v>
      </c>
      <c r="C41" s="1" t="b">
        <f t="shared" si="2"/>
        <v>1</v>
      </c>
      <c r="D41" s="1" t="b">
        <f t="shared" si="4"/>
        <v>1</v>
      </c>
      <c r="E41" s="1">
        <v>2</v>
      </c>
      <c r="G41" s="1" t="b">
        <f>计算主页!T6=B41</f>
        <v>0</v>
      </c>
      <c r="H41" s="27">
        <v>1</v>
      </c>
      <c r="R41" s="1">
        <f>常更新数据!B6</f>
        <v>7379</v>
      </c>
      <c r="AD41" s="27"/>
      <c r="XFD41" s="1"/>
    </row>
    <row r="42" spans="1:34 16384:16384">
      <c r="A42" s="1" t="s">
        <v>712</v>
      </c>
      <c r="B42" s="1" t="s">
        <v>870</v>
      </c>
      <c r="C42" s="1" t="b">
        <f t="shared" si="2"/>
        <v>1</v>
      </c>
      <c r="D42" s="1" t="b">
        <f t="shared" si="4"/>
        <v>1</v>
      </c>
      <c r="E42" s="1">
        <v>2</v>
      </c>
      <c r="G42" s="1" t="b">
        <f>计算主页!T6=B42</f>
        <v>0</v>
      </c>
      <c r="H42" s="27">
        <v>1</v>
      </c>
      <c r="R42" s="1">
        <f>常更新数据!B7</f>
        <v>3689</v>
      </c>
      <c r="AD42" s="27"/>
      <c r="XFD42" s="1"/>
    </row>
    <row r="43" spans="1:34 16384:16384">
      <c r="A43" s="1" t="s">
        <v>713</v>
      </c>
      <c r="B43" s="1" t="s">
        <v>869</v>
      </c>
      <c r="C43" s="1" t="b">
        <f t="shared" si="2"/>
        <v>1</v>
      </c>
      <c r="D43" s="1" t="b">
        <f t="shared" si="4"/>
        <v>1</v>
      </c>
      <c r="E43" s="1">
        <v>2</v>
      </c>
      <c r="G43" s="1" t="b">
        <f>计算主页!$S$6=B43</f>
        <v>0</v>
      </c>
      <c r="H43" s="27">
        <v>1</v>
      </c>
      <c r="R43" s="1">
        <f>常更新数据!C6</f>
        <v>5739</v>
      </c>
      <c r="AD43" s="27"/>
      <c r="XFD43" s="1"/>
    </row>
    <row r="44" spans="1:34 16384:16384">
      <c r="A44" s="1" t="s">
        <v>713</v>
      </c>
      <c r="B44" s="1" t="s">
        <v>870</v>
      </c>
      <c r="C44" s="1" t="b">
        <f t="shared" si="2"/>
        <v>1</v>
      </c>
      <c r="D44" s="1" t="b">
        <f t="shared" si="4"/>
        <v>1</v>
      </c>
      <c r="E44" s="1">
        <v>2</v>
      </c>
      <c r="G44" s="1" t="b">
        <f>计算主页!$S$6=B44</f>
        <v>0</v>
      </c>
      <c r="H44" s="27">
        <v>1</v>
      </c>
      <c r="R44" s="1">
        <f>常更新数据!C7</f>
        <v>2869</v>
      </c>
      <c r="AD44" s="27"/>
      <c r="XFD44" s="1"/>
    </row>
    <row r="45" spans="1:34 16384:16384">
      <c r="A45" s="1" t="s">
        <v>127</v>
      </c>
      <c r="B45" s="1" t="s">
        <v>79</v>
      </c>
      <c r="C45" s="1" t="b">
        <f t="shared" ref="C45:C67" si="5">TRUE()</f>
        <v>1</v>
      </c>
      <c r="D45" s="1" t="b">
        <f>FALSE()</f>
        <v>0</v>
      </c>
      <c r="E45" s="1">
        <v>-1</v>
      </c>
      <c r="F45" s="1" t="s">
        <v>130</v>
      </c>
      <c r="G45" s="1" t="b">
        <f>角色属性!AK9</f>
        <v>1</v>
      </c>
      <c r="H45" s="27">
        <v>1</v>
      </c>
      <c r="AC45" s="27">
        <f>VALUE(IF(全局设置!$D$2,WPS奇穴数据!V10,Excel奇穴数据!V10))</f>
        <v>0.45</v>
      </c>
      <c r="AD45" s="27"/>
      <c r="XFD45" s="1"/>
    </row>
    <row r="46" spans="1:34 16384:16384">
      <c r="A46" s="1" t="s">
        <v>127</v>
      </c>
      <c r="B46" s="1" t="s">
        <v>80</v>
      </c>
      <c r="C46" s="1" t="b">
        <f t="shared" si="5"/>
        <v>1</v>
      </c>
      <c r="D46" s="1" t="b">
        <f>FALSE()</f>
        <v>0</v>
      </c>
      <c r="E46" s="1">
        <v>-1</v>
      </c>
      <c r="F46" s="1" t="s">
        <v>130</v>
      </c>
      <c r="G46" s="1" t="b">
        <f>角色属性!AK10</f>
        <v>1</v>
      </c>
      <c r="H46" s="27">
        <v>1</v>
      </c>
      <c r="L46" s="23">
        <f>VALUE(IF(全局设置!$D$2,WPS奇穴数据!W26,Excel奇穴数据!W26))</f>
        <v>0.1</v>
      </c>
      <c r="AD46" s="27"/>
      <c r="XFD46" s="1"/>
    </row>
    <row r="47" spans="1:34 16384:16384">
      <c r="A47" s="1" t="s">
        <v>127</v>
      </c>
      <c r="B47" s="1" t="s">
        <v>77</v>
      </c>
      <c r="C47" s="1" t="b">
        <f t="shared" si="5"/>
        <v>1</v>
      </c>
      <c r="D47" s="1" t="b">
        <f>FALSE()</f>
        <v>0</v>
      </c>
      <c r="E47" s="1">
        <v>-1</v>
      </c>
      <c r="F47" s="12" t="s">
        <v>871</v>
      </c>
      <c r="G47" s="1" t="b">
        <f>角色属性!AK6</f>
        <v>1</v>
      </c>
      <c r="H47" s="27">
        <v>1</v>
      </c>
      <c r="Y47" s="23">
        <f>VALUE(IF(全局设置!$D$2,WPS奇穴数据!R13,Excel奇穴数据!R13))</f>
        <v>0.9</v>
      </c>
      <c r="AD47" s="27"/>
      <c r="XFD47" s="1"/>
    </row>
    <row r="48" spans="1:34 16384:16384">
      <c r="A48" s="1" t="s">
        <v>588</v>
      </c>
      <c r="B48" s="1" t="s">
        <v>872</v>
      </c>
      <c r="C48" s="1" t="b">
        <f t="shared" si="5"/>
        <v>1</v>
      </c>
      <c r="D48" s="1" t="b">
        <f>FALSE()</f>
        <v>0</v>
      </c>
      <c r="E48" s="1">
        <v>-1</v>
      </c>
      <c r="F48" s="1" t="s">
        <v>130</v>
      </c>
      <c r="G48" s="1" t="b">
        <f ca="1">角色属性!Z38</f>
        <v>0</v>
      </c>
      <c r="H48" s="27">
        <v>1</v>
      </c>
      <c r="Y48" s="23">
        <v>0.05</v>
      </c>
      <c r="AD48" s="27"/>
      <c r="XFD48" s="1"/>
    </row>
    <row r="49" spans="1:30 16384:16384">
      <c r="A49" s="1" t="s">
        <v>873</v>
      </c>
      <c r="B49" s="1" t="s">
        <v>212</v>
      </c>
      <c r="C49" s="1" t="b">
        <f t="shared" si="5"/>
        <v>1</v>
      </c>
      <c r="D49" s="1" t="b">
        <f>TRUE()</f>
        <v>1</v>
      </c>
      <c r="E49" s="1">
        <v>2</v>
      </c>
      <c r="G49" s="1" t="b">
        <f>AND(AH24&lt;&gt;3,AH24&lt;&gt;0)</f>
        <v>1</v>
      </c>
      <c r="H49" s="27">
        <f>(INT(AH9/120)*30+MIN(MOD(AH9/120,1)*120,30))/AH9</f>
        <v>0.3</v>
      </c>
      <c r="T49" s="1">
        <f>500*AH22</f>
        <v>40000</v>
      </c>
      <c r="AD49" s="27"/>
      <c r="XFD49" s="1"/>
    </row>
    <row r="50" spans="1:30 16384:16384">
      <c r="A50" s="1" t="s">
        <v>714</v>
      </c>
      <c r="B50" s="1" t="s">
        <v>35</v>
      </c>
      <c r="C50" s="1" t="b">
        <f t="shared" si="5"/>
        <v>1</v>
      </c>
      <c r="D50" s="1" t="b">
        <f>TRUE()</f>
        <v>1</v>
      </c>
      <c r="E50" s="1">
        <v>0</v>
      </c>
      <c r="G50" s="1" t="b">
        <f>角色属性!Z72</f>
        <v>1</v>
      </c>
      <c r="H50" s="55">
        <v>1</v>
      </c>
      <c r="AD50" s="23">
        <f ca="1">(0.01*0.3+0.05*0.7)*AH17</f>
        <v>0.00971804379505687</v>
      </c>
      <c r="XFD50" s="1"/>
    </row>
    <row r="51" spans="1:30 16384:16384">
      <c r="A51" s="1" t="s">
        <v>588</v>
      </c>
      <c r="B51" s="1" t="s">
        <v>874</v>
      </c>
      <c r="C51" s="1" t="b">
        <f t="shared" si="5"/>
        <v>1</v>
      </c>
      <c r="D51" s="1" t="b">
        <f>FALSE()</f>
        <v>0</v>
      </c>
      <c r="E51" s="1">
        <v>-1</v>
      </c>
      <c r="F51" s="1" t="s">
        <v>147</v>
      </c>
      <c r="G51" s="1" t="b">
        <f ca="1">G48</f>
        <v>0</v>
      </c>
      <c r="H51" s="27">
        <v>1</v>
      </c>
      <c r="Y51" s="23">
        <v>0.05</v>
      </c>
      <c r="AD51" s="27"/>
      <c r="XFD51" s="1"/>
    </row>
    <row r="52" spans="1:30 16384:16384">
      <c r="A52" s="1" t="s">
        <v>868</v>
      </c>
      <c r="B52" s="1" t="s">
        <v>199</v>
      </c>
      <c r="C52" s="1" t="b">
        <f t="shared" si="5"/>
        <v>1</v>
      </c>
      <c r="D52" s="1" t="b">
        <f t="shared" ref="D52:D57" si="6">TRUE()</f>
        <v>1</v>
      </c>
      <c r="E52" s="1">
        <v>2</v>
      </c>
      <c r="G52" s="1" t="b">
        <f>AND(AH23&lt;&gt;1,AH23&lt;&gt;0)</f>
        <v>1</v>
      </c>
      <c r="H52" s="27">
        <f>60/AH9</f>
        <v>0.2</v>
      </c>
      <c r="T52" s="1">
        <f>826*(AH21+0.5*AH21)/2</f>
        <v>49560</v>
      </c>
      <c r="AD52" s="27"/>
      <c r="XFD52" s="1"/>
    </row>
    <row r="53" spans="1:30 16384:16384">
      <c r="A53" s="1" t="s">
        <v>868</v>
      </c>
      <c r="B53" s="1" t="s">
        <v>176</v>
      </c>
      <c r="C53" s="1" t="b">
        <f t="shared" si="5"/>
        <v>1</v>
      </c>
      <c r="D53" s="1" t="b">
        <f t="shared" si="6"/>
        <v>1</v>
      </c>
      <c r="E53" s="1">
        <v>2</v>
      </c>
      <c r="G53" s="1" t="b">
        <f>AND(AH23&lt;&gt;3,AH23&lt;&gt;0)</f>
        <v>1</v>
      </c>
      <c r="H53" s="27">
        <f>(INT(AH9/120)*8+MIN(MOD(AH9/120,1)*120,8))/AH9</f>
        <v>0.08</v>
      </c>
      <c r="T53" s="1">
        <f>612*AH21</f>
        <v>48960</v>
      </c>
      <c r="AD53" s="27"/>
      <c r="XFD53" s="1"/>
    </row>
    <row r="54" spans="1:30 16384:16384">
      <c r="A54" s="1" t="s">
        <v>868</v>
      </c>
      <c r="B54" s="1" t="s">
        <v>182</v>
      </c>
      <c r="C54" s="1" t="b">
        <f t="shared" si="5"/>
        <v>1</v>
      </c>
      <c r="D54" s="1" t="b">
        <f t="shared" si="6"/>
        <v>1</v>
      </c>
      <c r="E54" s="1">
        <v>2</v>
      </c>
      <c r="G54" s="1" t="b">
        <f>AND(AH23&lt;&gt;2,AH23&lt;&gt;0)</f>
        <v>1</v>
      </c>
      <c r="H54" s="27">
        <v>1</v>
      </c>
      <c r="T54" s="1">
        <f>139*AH21</f>
        <v>11120</v>
      </c>
      <c r="AD54" s="27"/>
      <c r="XFD54" s="1"/>
    </row>
    <row r="55" spans="1:30 16384:16384">
      <c r="A55" s="1" t="s">
        <v>873</v>
      </c>
      <c r="B55" s="1" t="s">
        <v>215</v>
      </c>
      <c r="C55" s="1" t="b">
        <f t="shared" si="5"/>
        <v>1</v>
      </c>
      <c r="D55" s="1" t="b">
        <f t="shared" si="6"/>
        <v>1</v>
      </c>
      <c r="E55" s="1">
        <v>2</v>
      </c>
      <c r="G55" s="1" t="b">
        <f>AND(AH24&lt;&gt;4,AH24&lt;&gt;0)</f>
        <v>1</v>
      </c>
      <c r="H55" s="27">
        <v>1</v>
      </c>
      <c r="T55" s="1">
        <f>139*AH22</f>
        <v>11120</v>
      </c>
      <c r="AD55" s="27"/>
      <c r="XFD55" s="1"/>
    </row>
    <row r="56" spans="1:30 16384:16384">
      <c r="A56" s="1" t="s">
        <v>834</v>
      </c>
      <c r="B56" s="1" t="s">
        <v>5</v>
      </c>
      <c r="C56" s="1" t="b">
        <f t="shared" si="5"/>
        <v>1</v>
      </c>
      <c r="D56" s="1" t="b">
        <f t="shared" si="6"/>
        <v>1</v>
      </c>
      <c r="E56" s="1">
        <v>2</v>
      </c>
      <c r="G56" s="1" t="b">
        <f>计算主页!P5=B56</f>
        <v>1</v>
      </c>
      <c r="H56" s="27">
        <v>1</v>
      </c>
      <c r="T56" s="1">
        <f>常更新数据!B29</f>
        <v>1334</v>
      </c>
      <c r="AD56" s="27"/>
      <c r="XFD56" s="1"/>
    </row>
    <row r="57" spans="1:30 16384:16384">
      <c r="A57" s="1" t="s">
        <v>834</v>
      </c>
      <c r="B57" s="1" t="s">
        <v>6</v>
      </c>
      <c r="C57" s="1" t="b">
        <f t="shared" si="5"/>
        <v>1</v>
      </c>
      <c r="D57" s="1" t="b">
        <f t="shared" si="6"/>
        <v>1</v>
      </c>
      <c r="E57" s="1">
        <v>2</v>
      </c>
      <c r="G57" s="1" t="b">
        <f>计算主页!Q5=B57</f>
        <v>1</v>
      </c>
      <c r="H57" s="27">
        <v>1</v>
      </c>
      <c r="L57" s="1"/>
      <c r="T57" s="1">
        <f>常更新数据!B28</f>
        <v>868</v>
      </c>
      <c r="W57" s="1">
        <f>T57</f>
        <v>868</v>
      </c>
      <c r="AD57" s="27"/>
      <c r="XFD57" s="1"/>
    </row>
    <row r="58" spans="1:30 16384:16384">
      <c r="A58" s="1" t="s">
        <v>127</v>
      </c>
      <c r="B58" s="1" t="s">
        <v>76</v>
      </c>
      <c r="C58" s="1" t="b">
        <f t="shared" si="5"/>
        <v>1</v>
      </c>
      <c r="D58" s="1" t="b">
        <f>FALSE()</f>
        <v>0</v>
      </c>
      <c r="E58" s="1">
        <v>1</v>
      </c>
      <c r="G58" s="1" t="b">
        <f>角色属性!AK3</f>
        <v>1</v>
      </c>
      <c r="H58" s="55">
        <v>1</v>
      </c>
      <c r="AB58" s="23">
        <f ca="1">AB77*(AH6-AH11+AH11/2)/AH6-AB77</f>
        <v>-0.00543087396168662</v>
      </c>
      <c r="AD58" s="27"/>
      <c r="XFD58" s="1"/>
    </row>
    <row r="59" spans="1:30 16384:16384">
      <c r="A59" s="1" t="s">
        <v>873</v>
      </c>
      <c r="B59" s="1" t="s">
        <v>204</v>
      </c>
      <c r="C59" s="1" t="b">
        <f t="shared" si="5"/>
        <v>1</v>
      </c>
      <c r="D59" s="1" t="b">
        <f t="shared" ref="D59:D71" si="7">TRUE()</f>
        <v>1</v>
      </c>
      <c r="E59" s="1">
        <v>2</v>
      </c>
      <c r="G59" s="1" t="b">
        <f>AND(AH24&lt;&gt;1,AH24&lt;&gt;0)</f>
        <v>1</v>
      </c>
      <c r="H59" s="27">
        <v>1</v>
      </c>
      <c r="T59" s="1">
        <f>139*AH22</f>
        <v>11120</v>
      </c>
      <c r="AD59" s="27"/>
      <c r="XFD59" s="1"/>
    </row>
    <row r="60" spans="1:30 16384:16384">
      <c r="A60" s="1" t="s">
        <v>712</v>
      </c>
      <c r="B60" s="1" t="s">
        <v>202</v>
      </c>
      <c r="C60" s="1" t="b">
        <f t="shared" si="5"/>
        <v>1</v>
      </c>
      <c r="D60" s="1" t="b">
        <f t="shared" si="7"/>
        <v>1</v>
      </c>
      <c r="E60" s="1">
        <v>2</v>
      </c>
      <c r="G60" s="1" t="b">
        <f>计算主页!T6=B60</f>
        <v>0</v>
      </c>
      <c r="H60" s="27">
        <v>1</v>
      </c>
      <c r="W60" s="1">
        <f>常更新数据!B6</f>
        <v>7379</v>
      </c>
      <c r="AD60" s="27"/>
      <c r="XFD60" s="1"/>
    </row>
    <row r="61" spans="1:30 16384:16384">
      <c r="A61" s="1" t="s">
        <v>712</v>
      </c>
      <c r="B61" s="1" t="s">
        <v>875</v>
      </c>
      <c r="C61" s="1" t="b">
        <f t="shared" si="5"/>
        <v>1</v>
      </c>
      <c r="D61" s="1" t="b">
        <f t="shared" si="7"/>
        <v>1</v>
      </c>
      <c r="E61" s="1">
        <v>2</v>
      </c>
      <c r="G61" s="1" t="b">
        <f>计算主页!T6=B61</f>
        <v>0</v>
      </c>
      <c r="H61" s="27">
        <v>1</v>
      </c>
      <c r="W61" s="1">
        <f>常更新数据!B7</f>
        <v>3689</v>
      </c>
      <c r="AD61" s="27"/>
      <c r="XFD61" s="1"/>
    </row>
    <row r="62" spans="1:30 16384:16384">
      <c r="A62" s="1" t="s">
        <v>713</v>
      </c>
      <c r="B62" s="1" t="s">
        <v>202</v>
      </c>
      <c r="C62" s="1" t="b">
        <f t="shared" si="5"/>
        <v>1</v>
      </c>
      <c r="D62" s="1" t="b">
        <f t="shared" si="7"/>
        <v>1</v>
      </c>
      <c r="E62" s="1">
        <v>2</v>
      </c>
      <c r="G62" s="1" t="b">
        <f>计算主页!$S$6=B62</f>
        <v>0</v>
      </c>
      <c r="H62" s="27">
        <v>1</v>
      </c>
      <c r="W62" s="1">
        <f>常更新数据!C6</f>
        <v>5739</v>
      </c>
      <c r="AD62" s="27"/>
      <c r="XFD62" s="1"/>
    </row>
    <row r="63" spans="1:30 16384:16384">
      <c r="A63" s="1" t="s">
        <v>713</v>
      </c>
      <c r="B63" s="1" t="s">
        <v>875</v>
      </c>
      <c r="C63" s="1" t="b">
        <f t="shared" si="5"/>
        <v>1</v>
      </c>
      <c r="D63" s="1" t="b">
        <f t="shared" si="7"/>
        <v>1</v>
      </c>
      <c r="E63" s="1">
        <v>2</v>
      </c>
      <c r="G63" s="1" t="b">
        <f>计算主页!$S$6=B63</f>
        <v>0</v>
      </c>
      <c r="H63" s="27">
        <v>1</v>
      </c>
      <c r="W63" s="1">
        <f>常更新数据!C7</f>
        <v>2869</v>
      </c>
      <c r="AD63" s="27"/>
      <c r="XFD63" s="1"/>
    </row>
    <row r="64" spans="1:30 16384:16384">
      <c r="A64" s="1" t="s">
        <v>834</v>
      </c>
      <c r="B64" s="1" t="s">
        <v>15</v>
      </c>
      <c r="C64" s="1" t="b">
        <f t="shared" si="5"/>
        <v>1</v>
      </c>
      <c r="D64" s="1" t="b">
        <f t="shared" si="7"/>
        <v>1</v>
      </c>
      <c r="E64" s="1">
        <v>2</v>
      </c>
      <c r="G64" s="1" t="b">
        <f>计算主页!Q6=B64</f>
        <v>1</v>
      </c>
      <c r="H64" s="27">
        <v>1</v>
      </c>
      <c r="T64" s="1">
        <f>常更新数据!B30</f>
        <v>600</v>
      </c>
      <c r="W64" s="1">
        <f>常更新数据!B30</f>
        <v>600</v>
      </c>
      <c r="AD64" s="27"/>
      <c r="XFD64" s="1"/>
    </row>
    <row r="65" spans="1:30 16384:16384">
      <c r="A65" s="1" t="s">
        <v>868</v>
      </c>
      <c r="B65" s="1" t="s">
        <v>188</v>
      </c>
      <c r="C65" s="1" t="b">
        <f t="shared" si="5"/>
        <v>1</v>
      </c>
      <c r="D65" s="1" t="b">
        <f t="shared" si="7"/>
        <v>1</v>
      </c>
      <c r="E65" s="1">
        <v>2</v>
      </c>
      <c r="G65" s="1" t="b">
        <f>G54</f>
        <v>1</v>
      </c>
      <c r="H65" s="27">
        <v>1</v>
      </c>
      <c r="AA65" s="27">
        <v>0.15</v>
      </c>
      <c r="AD65" s="27"/>
      <c r="XFD65" s="1"/>
    </row>
    <row r="66" spans="1:30 16384:16384">
      <c r="A66" s="1" t="s">
        <v>712</v>
      </c>
      <c r="B66" s="1" t="s">
        <v>876</v>
      </c>
      <c r="C66" s="1" t="b">
        <f t="shared" si="5"/>
        <v>1</v>
      </c>
      <c r="D66" s="1" t="b">
        <f t="shared" si="7"/>
        <v>1</v>
      </c>
      <c r="E66" s="1">
        <v>0</v>
      </c>
      <c r="G66" s="1" t="b">
        <f>计算主页!T6=B66</f>
        <v>0</v>
      </c>
      <c r="H66" s="27">
        <v>1</v>
      </c>
      <c r="Q66" s="1">
        <f>常更新数据!B6</f>
        <v>7379</v>
      </c>
      <c r="AD66" s="27"/>
      <c r="XFD66" s="1"/>
    </row>
    <row r="67" spans="1:30 16384:16384">
      <c r="A67" s="1" t="s">
        <v>712</v>
      </c>
      <c r="B67" s="1" t="s">
        <v>877</v>
      </c>
      <c r="C67" s="1" t="b">
        <f t="shared" si="5"/>
        <v>1</v>
      </c>
      <c r="D67" s="1" t="b">
        <f t="shared" si="7"/>
        <v>1</v>
      </c>
      <c r="E67" s="1">
        <v>0</v>
      </c>
      <c r="G67" s="1" t="b">
        <f>计算主页!T6=B67</f>
        <v>0</v>
      </c>
      <c r="H67" s="27">
        <v>1</v>
      </c>
      <c r="Q67" s="1">
        <f>常更新数据!B7</f>
        <v>3689</v>
      </c>
      <c r="AD67" s="27"/>
      <c r="XFD67" s="1"/>
    </row>
    <row r="68" spans="1:30 16384:16384">
      <c r="A68" s="1" t="s">
        <v>713</v>
      </c>
      <c r="B68" s="1" t="s">
        <v>876</v>
      </c>
      <c r="C68" s="1" t="b">
        <f t="shared" ref="C68:C89" si="8">TRUE()</f>
        <v>1</v>
      </c>
      <c r="D68" s="1" t="b">
        <f t="shared" si="7"/>
        <v>1</v>
      </c>
      <c r="E68" s="1">
        <v>0</v>
      </c>
      <c r="G68" s="1" t="b">
        <f>计算主页!$S$6=B68</f>
        <v>0</v>
      </c>
      <c r="H68" s="27">
        <v>1</v>
      </c>
      <c r="Q68" s="1">
        <f>常更新数据!C6</f>
        <v>5739</v>
      </c>
      <c r="AD68" s="27"/>
      <c r="XFD68" s="1"/>
    </row>
    <row r="69" spans="1:30 16384:16384">
      <c r="A69" s="1" t="s">
        <v>713</v>
      </c>
      <c r="B69" s="1" t="s">
        <v>877</v>
      </c>
      <c r="C69" s="1" t="b">
        <f t="shared" si="8"/>
        <v>1</v>
      </c>
      <c r="D69" s="1" t="b">
        <f t="shared" si="7"/>
        <v>1</v>
      </c>
      <c r="E69" s="1">
        <v>0</v>
      </c>
      <c r="G69" s="1" t="b">
        <f>计算主页!$S$6=B69</f>
        <v>0</v>
      </c>
      <c r="H69" s="27">
        <v>1</v>
      </c>
      <c r="Q69" s="1">
        <f>常更新数据!C7</f>
        <v>2869</v>
      </c>
      <c r="AD69" s="27"/>
      <c r="XFD69" s="1"/>
    </row>
    <row r="70" spans="1:30 16384:16384">
      <c r="A70" s="1" t="s">
        <v>868</v>
      </c>
      <c r="B70" s="1" t="s">
        <v>179</v>
      </c>
      <c r="C70" s="1" t="b">
        <f t="shared" si="8"/>
        <v>1</v>
      </c>
      <c r="D70" s="1" t="b">
        <f t="shared" si="7"/>
        <v>1</v>
      </c>
      <c r="E70" s="1">
        <v>2</v>
      </c>
      <c r="G70" s="1" t="b">
        <f>G53</f>
        <v>1</v>
      </c>
      <c r="H70" s="27">
        <v>1</v>
      </c>
      <c r="Z70" s="27">
        <v>0.02</v>
      </c>
      <c r="AD70" s="27"/>
      <c r="XFD70" s="1"/>
    </row>
    <row r="71" spans="1:30 16384:16384">
      <c r="A71" s="1" t="s">
        <v>873</v>
      </c>
      <c r="B71" s="1" t="s">
        <v>208</v>
      </c>
      <c r="C71" s="1" t="b">
        <f t="shared" si="8"/>
        <v>1</v>
      </c>
      <c r="D71" s="1" t="b">
        <f t="shared" si="7"/>
        <v>1</v>
      </c>
      <c r="E71" s="1">
        <v>2</v>
      </c>
      <c r="G71" s="1" t="b">
        <f>AND(AH24&lt;&gt;2,AH24&lt;&gt;0)</f>
        <v>1</v>
      </c>
      <c r="H71" s="27">
        <v>1</v>
      </c>
      <c r="T71" s="1">
        <f>139*AH22</f>
        <v>11120</v>
      </c>
      <c r="AD71" s="27"/>
      <c r="XFD71" s="1"/>
    </row>
    <row r="72" spans="1:30 16384:16384">
      <c r="A72" s="1" t="s">
        <v>128</v>
      </c>
      <c r="B72" s="1" t="s">
        <v>878</v>
      </c>
      <c r="C72" s="1" t="b">
        <f t="shared" si="8"/>
        <v>1</v>
      </c>
      <c r="D72" s="1" t="b">
        <f t="shared" ref="D72:D77" si="9">FALSE()</f>
        <v>0</v>
      </c>
      <c r="E72" s="1">
        <v>-1</v>
      </c>
      <c r="F72" s="1" t="s">
        <v>130</v>
      </c>
      <c r="G72" s="1" t="b">
        <f>TRUE()</f>
        <v>1</v>
      </c>
      <c r="H72" s="27">
        <v>1</v>
      </c>
      <c r="Y72" s="23">
        <f>IF(角色属性!AJ33,0.03,0)+IF(角色属性!AK33,0.04,0)+IF(角色属性!AL33,0.05,0)</f>
        <v>0.12</v>
      </c>
      <c r="AD72" s="27"/>
      <c r="XFD72" s="1"/>
    </row>
    <row r="73" spans="1:30 16384:16384">
      <c r="A73" s="1" t="s">
        <v>128</v>
      </c>
      <c r="B73" s="1" t="s">
        <v>879</v>
      </c>
      <c r="C73" s="1" t="b">
        <f t="shared" si="8"/>
        <v>1</v>
      </c>
      <c r="D73" s="1" t="b">
        <f t="shared" si="9"/>
        <v>0</v>
      </c>
      <c r="E73" s="1">
        <v>-1</v>
      </c>
      <c r="F73" s="1" t="s">
        <v>137</v>
      </c>
      <c r="G73" s="1" t="b">
        <f>TRUE()</f>
        <v>1</v>
      </c>
      <c r="H73" s="27">
        <v>1</v>
      </c>
      <c r="N73" s="23">
        <f>IF(角色属性!AJ34,0.02,0)+IF(角色属性!AK34,0.03,0)</f>
        <v>0.05</v>
      </c>
      <c r="Y73" s="23">
        <f>IF(角色属性!AL34,0.04,0)+IF(角色属性!AM34,0.06,0)</f>
        <v>0.1</v>
      </c>
      <c r="AD73" s="27"/>
      <c r="XFD73" s="1"/>
    </row>
    <row r="74" spans="1:30 16384:16384">
      <c r="A74" s="1" t="s">
        <v>128</v>
      </c>
      <c r="B74" s="1" t="s">
        <v>880</v>
      </c>
      <c r="C74" s="1" t="b">
        <f t="shared" si="8"/>
        <v>1</v>
      </c>
      <c r="D74" s="1" t="b">
        <f t="shared" si="9"/>
        <v>0</v>
      </c>
      <c r="E74" s="1">
        <v>-1</v>
      </c>
      <c r="F74" s="1" t="s">
        <v>147</v>
      </c>
      <c r="G74" s="1" t="b">
        <f>TRUE()</f>
        <v>1</v>
      </c>
      <c r="H74" s="27">
        <v>1</v>
      </c>
      <c r="N74" s="23">
        <f>IF(角色属性!AJ35,0.02,0)+IF(角色属性!AK35,0.03,0)</f>
        <v>0.05</v>
      </c>
      <c r="Y74" s="23">
        <f>IF(角色属性!AL35,0.15,0)+IF(角色属性!AM35,0.15,0)</f>
        <v>0.3</v>
      </c>
      <c r="AD74" s="27"/>
      <c r="XFD74" s="1"/>
    </row>
    <row r="75" spans="1:30 16384:16384">
      <c r="A75" s="1" t="s">
        <v>588</v>
      </c>
      <c r="B75" s="1" t="s">
        <v>881</v>
      </c>
      <c r="C75" s="1" t="b">
        <f t="shared" si="8"/>
        <v>1</v>
      </c>
      <c r="D75" s="1" t="b">
        <f t="shared" si="9"/>
        <v>0</v>
      </c>
      <c r="E75" s="1">
        <v>-1</v>
      </c>
      <c r="F75" s="1" t="s">
        <v>137</v>
      </c>
      <c r="G75" s="1" t="b">
        <f ca="1">AND(角色属性!Z40,角色属性!R13&gt;=常更新数据!A43)</f>
        <v>1</v>
      </c>
      <c r="H75" s="27">
        <v>1</v>
      </c>
      <c r="N75" s="23">
        <v>0.05</v>
      </c>
      <c r="AD75" s="27"/>
      <c r="XFD75" s="1"/>
    </row>
    <row r="76" spans="1:30 16384:16384">
      <c r="A76" s="1" t="s">
        <v>588</v>
      </c>
      <c r="B76" s="1" t="s">
        <v>882</v>
      </c>
      <c r="C76" s="1" t="b">
        <f t="shared" si="8"/>
        <v>1</v>
      </c>
      <c r="D76" s="1" t="b">
        <f t="shared" si="9"/>
        <v>0</v>
      </c>
      <c r="E76" s="1">
        <v>-1</v>
      </c>
      <c r="F76" s="1" t="s">
        <v>883</v>
      </c>
      <c r="G76" s="1" t="b">
        <f ca="1">G75</f>
        <v>1</v>
      </c>
      <c r="H76" s="27">
        <v>1</v>
      </c>
      <c r="N76" s="23">
        <v>0.05</v>
      </c>
      <c r="AD76" s="27"/>
      <c r="XFD76" s="1"/>
    </row>
    <row r="77" spans="1:30 16384:16384">
      <c r="A77" s="1" t="s">
        <v>127</v>
      </c>
      <c r="B77" s="1" t="s">
        <v>76</v>
      </c>
      <c r="C77" s="1" t="b">
        <f t="shared" si="8"/>
        <v>1</v>
      </c>
      <c r="D77" s="1" t="b">
        <f t="shared" si="9"/>
        <v>0</v>
      </c>
      <c r="E77" s="1">
        <v>0</v>
      </c>
      <c r="G77" s="1" t="b">
        <f>G58</f>
        <v>1</v>
      </c>
      <c r="H77" s="27">
        <v>1</v>
      </c>
      <c r="AB77" s="23">
        <f>VALUE(IF(全局设置!$D$2,WPS奇穴数据!U14,Excel奇穴数据!U14))</f>
        <v>0.5</v>
      </c>
      <c r="AD77" s="27"/>
      <c r="XFD77" s="1"/>
    </row>
    <row r="78" spans="1:30 16384:16384">
      <c r="A78" s="1" t="s">
        <v>884</v>
      </c>
      <c r="B78" s="1" t="s">
        <v>2</v>
      </c>
      <c r="C78" s="1" t="b">
        <f t="shared" si="8"/>
        <v>1</v>
      </c>
      <c r="D78" s="1" t="b">
        <f t="shared" ref="D78:D114" si="10">TRUE()</f>
        <v>1</v>
      </c>
      <c r="E78" s="1">
        <v>3</v>
      </c>
      <c r="G78" s="1" t="b">
        <f>计算主页!$K$5=B78</f>
        <v>1</v>
      </c>
      <c r="H78" s="27">
        <v>1</v>
      </c>
      <c r="N78" s="23">
        <v>0.03</v>
      </c>
      <c r="P78" s="23">
        <f>0.15*0.96</f>
        <v>0.144</v>
      </c>
      <c r="U78" s="23">
        <v>0.02</v>
      </c>
      <c r="Y78" s="23">
        <v>0.06</v>
      </c>
      <c r="AD78" s="27"/>
      <c r="XFD78" s="1"/>
    </row>
    <row r="79" spans="1:30 16384:16384">
      <c r="A79" s="1" t="s">
        <v>884</v>
      </c>
      <c r="B79" s="1" t="s">
        <v>885</v>
      </c>
      <c r="C79" s="1" t="b">
        <f t="shared" si="8"/>
        <v>1</v>
      </c>
      <c r="D79" s="1" t="b">
        <f t="shared" si="10"/>
        <v>1</v>
      </c>
      <c r="E79" s="1">
        <v>3</v>
      </c>
      <c r="G79" s="1" t="b">
        <f>计算主页!$K$5=B79</f>
        <v>0</v>
      </c>
      <c r="H79" s="27">
        <v>1</v>
      </c>
      <c r="L79" s="23">
        <v>0.1</v>
      </c>
      <c r="N79" s="23">
        <v>0.08</v>
      </c>
      <c r="U79" s="23">
        <v>0.02</v>
      </c>
      <c r="AD79" s="27"/>
      <c r="XFD79" s="1"/>
    </row>
    <row r="80" spans="1:30 16384:16384">
      <c r="A80" s="1" t="s">
        <v>884</v>
      </c>
      <c r="B80" s="1" t="s">
        <v>886</v>
      </c>
      <c r="C80" s="1" t="b">
        <f t="shared" si="8"/>
        <v>1</v>
      </c>
      <c r="D80" s="1" t="b">
        <f t="shared" si="10"/>
        <v>1</v>
      </c>
      <c r="E80" s="1">
        <v>3</v>
      </c>
      <c r="G80" s="1" t="b">
        <f>计算主页!$K$5=B80</f>
        <v>0</v>
      </c>
      <c r="H80" s="27">
        <v>1</v>
      </c>
      <c r="L80" s="47">
        <f ca="1">0.05+IF(AH12&gt;0,0.05*MIN(5/AH12,1),0)</f>
        <v>0.05</v>
      </c>
      <c r="N80" s="23">
        <f>N86</f>
        <v>0.03</v>
      </c>
      <c r="P80" s="23">
        <f>P86</f>
        <v>0.05</v>
      </c>
      <c r="AD80" s="27"/>
      <c r="XFD80" s="1"/>
    </row>
    <row r="81" spans="1:30 16384:16384">
      <c r="A81" s="1" t="s">
        <v>884</v>
      </c>
      <c r="B81" s="1" t="s">
        <v>887</v>
      </c>
      <c r="C81" s="1" t="b">
        <f t="shared" si="8"/>
        <v>1</v>
      </c>
      <c r="D81" s="1" t="b">
        <f t="shared" si="10"/>
        <v>1</v>
      </c>
      <c r="E81" s="1">
        <v>3</v>
      </c>
      <c r="G81" s="1" t="b">
        <f>计算主页!$K$5=B81</f>
        <v>0</v>
      </c>
      <c r="H81" s="27">
        <v>1</v>
      </c>
      <c r="N81" s="23">
        <v>0.08</v>
      </c>
      <c r="P81" s="23">
        <v>0.15</v>
      </c>
      <c r="U81" s="23">
        <v>0.02</v>
      </c>
      <c r="AD81" s="27"/>
      <c r="XFD81" s="1"/>
    </row>
    <row r="82" spans="1:30 16384:16384">
      <c r="A82" s="1" t="s">
        <v>884</v>
      </c>
      <c r="B82" s="1" t="s">
        <v>888</v>
      </c>
      <c r="C82" s="1" t="b">
        <f t="shared" si="8"/>
        <v>1</v>
      </c>
      <c r="D82" s="1" t="b">
        <f t="shared" si="10"/>
        <v>1</v>
      </c>
      <c r="E82" s="1">
        <v>3</v>
      </c>
      <c r="G82" s="1" t="b">
        <f>计算主页!$K$5=B82</f>
        <v>0</v>
      </c>
      <c r="H82" s="27">
        <v>1</v>
      </c>
      <c r="L82" s="23">
        <v>0.05</v>
      </c>
      <c r="N82" s="23">
        <v>0.05</v>
      </c>
      <c r="P82" s="23">
        <v>0.15</v>
      </c>
      <c r="AB82" s="23">
        <v>0.05</v>
      </c>
      <c r="AD82" s="27"/>
      <c r="XFD82" s="1"/>
    </row>
    <row r="83" spans="1:30 16384:16384">
      <c r="A83" s="1" t="s">
        <v>884</v>
      </c>
      <c r="B83" s="1" t="s">
        <v>889</v>
      </c>
      <c r="C83" s="1" t="b">
        <f t="shared" si="8"/>
        <v>1</v>
      </c>
      <c r="D83" s="1" t="b">
        <f t="shared" si="10"/>
        <v>1</v>
      </c>
      <c r="E83" s="1">
        <v>3</v>
      </c>
      <c r="G83" s="1" t="b">
        <f>计算主页!$K$5=B83</f>
        <v>0</v>
      </c>
      <c r="H83" s="27">
        <v>1</v>
      </c>
      <c r="L83" s="23">
        <v>0.05</v>
      </c>
      <c r="S83" s="23">
        <v>0.3</v>
      </c>
      <c r="AD83" s="27"/>
      <c r="XFD83" s="1"/>
    </row>
    <row r="84" spans="1:30 16384:16384">
      <c r="A84" s="1" t="s">
        <v>884</v>
      </c>
      <c r="B84" s="1" t="s">
        <v>890</v>
      </c>
      <c r="C84" s="1" t="b">
        <f t="shared" si="8"/>
        <v>1</v>
      </c>
      <c r="D84" s="1" t="b">
        <f t="shared" si="10"/>
        <v>1</v>
      </c>
      <c r="E84" s="1">
        <v>3</v>
      </c>
      <c r="G84" s="1" t="b">
        <f>计算主页!$K$5=B84</f>
        <v>0</v>
      </c>
      <c r="H84" s="27">
        <v>1</v>
      </c>
      <c r="L84" s="23">
        <v>0.15</v>
      </c>
      <c r="S84" s="23">
        <v>0.1</v>
      </c>
      <c r="U84" s="23">
        <v>0.02</v>
      </c>
      <c r="AD84" s="27"/>
      <c r="XFD84" s="1"/>
    </row>
    <row r="85" spans="1:30 16384:16384">
      <c r="A85" s="1" t="s">
        <v>884</v>
      </c>
      <c r="B85" s="1" t="s">
        <v>891</v>
      </c>
      <c r="C85" s="1" t="b">
        <f t="shared" si="8"/>
        <v>1</v>
      </c>
      <c r="D85" s="1" t="b">
        <f t="shared" si="10"/>
        <v>1</v>
      </c>
      <c r="E85" s="1">
        <v>3</v>
      </c>
      <c r="G85" s="1" t="b">
        <f>计算主页!$K$5=B85</f>
        <v>0</v>
      </c>
      <c r="H85" s="27">
        <v>1</v>
      </c>
      <c r="L85" s="23">
        <v>0.05</v>
      </c>
      <c r="N85" s="23">
        <v>0.03</v>
      </c>
      <c r="P85" s="23">
        <v>0.1</v>
      </c>
      <c r="S85" s="23">
        <f>5/10*0.1</f>
        <v>0.05</v>
      </c>
      <c r="AD85" s="27"/>
      <c r="XFD85" s="1"/>
    </row>
    <row r="86" spans="1:30 16384:16384">
      <c r="A86" s="1" t="s">
        <v>884</v>
      </c>
      <c r="B86" s="1" t="s">
        <v>892</v>
      </c>
      <c r="C86" s="1" t="b">
        <f t="shared" si="8"/>
        <v>1</v>
      </c>
      <c r="D86" s="1" t="b">
        <f t="shared" si="10"/>
        <v>1</v>
      </c>
      <c r="E86" s="1">
        <v>3</v>
      </c>
      <c r="G86" s="1" t="b">
        <f>计算主页!$K$5=B86</f>
        <v>0</v>
      </c>
      <c r="H86" s="27">
        <v>1</v>
      </c>
      <c r="L86" s="47">
        <f ca="1">L80</f>
        <v>0.05</v>
      </c>
      <c r="N86" s="23">
        <v>0.03</v>
      </c>
      <c r="P86" s="23">
        <v>0.05</v>
      </c>
      <c r="S86" s="47">
        <f ca="1">5/((10+AH9/(AH13)*(1/AVERAGE(实战面板!D5:E5))))*0.3</f>
        <v>0.145313411912797</v>
      </c>
      <c r="AD86" s="27"/>
      <c r="XFD86" s="1"/>
    </row>
    <row r="87" spans="1:30 16384:16384">
      <c r="A87" s="1" t="s">
        <v>873</v>
      </c>
      <c r="B87" s="1" t="s">
        <v>217</v>
      </c>
      <c r="C87" s="1" t="b">
        <f t="shared" si="8"/>
        <v>1</v>
      </c>
      <c r="D87" s="1" t="b">
        <f t="shared" si="10"/>
        <v>1</v>
      </c>
      <c r="E87" s="1">
        <v>-1</v>
      </c>
      <c r="F87" s="12" t="s">
        <v>893</v>
      </c>
      <c r="G87" s="1" t="b">
        <f>AND(AH24&lt;&gt;5,AH24&lt;&gt;0)</f>
        <v>1</v>
      </c>
      <c r="H87" s="27">
        <v>1</v>
      </c>
      <c r="Y87" s="23">
        <f>AH22*1</f>
        <v>80</v>
      </c>
      <c r="AD87" s="27"/>
      <c r="XFD87" s="1"/>
    </row>
    <row r="88" spans="1:30 16384:16384">
      <c r="A88" s="1" t="s">
        <v>873</v>
      </c>
      <c r="B88" s="1" t="s">
        <v>217</v>
      </c>
      <c r="C88" s="1" t="b">
        <f t="shared" si="8"/>
        <v>1</v>
      </c>
      <c r="D88" s="1" t="b">
        <f t="shared" si="10"/>
        <v>1</v>
      </c>
      <c r="E88" s="1">
        <v>2</v>
      </c>
      <c r="F88" s="12"/>
      <c r="G88" s="1" t="b">
        <f>G87</f>
        <v>1</v>
      </c>
      <c r="H88" s="27">
        <f>AH18</f>
        <v>0.6</v>
      </c>
      <c r="T88" s="1">
        <f>163*AH22</f>
        <v>13040</v>
      </c>
      <c r="AD88" s="27"/>
      <c r="XFD88" s="1"/>
    </row>
    <row r="89" spans="1:30 16384:16384">
      <c r="A89" s="1" t="s">
        <v>884</v>
      </c>
      <c r="B89" s="1" t="s">
        <v>894</v>
      </c>
      <c r="C89" s="1" t="b">
        <f t="shared" si="8"/>
        <v>1</v>
      </c>
      <c r="D89" s="1" t="b">
        <f t="shared" si="10"/>
        <v>1</v>
      </c>
      <c r="E89" s="1">
        <v>3</v>
      </c>
      <c r="G89" s="1" t="b">
        <f>计算主页!$K$5=B89</f>
        <v>0</v>
      </c>
      <c r="H89" s="27">
        <v>1</v>
      </c>
      <c r="U89" s="23">
        <v>0.1</v>
      </c>
      <c r="Y89" s="23">
        <v>0.05</v>
      </c>
      <c r="AD89" s="27"/>
      <c r="XFD89" s="1"/>
    </row>
    <row r="90" spans="1:30 16384:16384">
      <c r="A90" s="1" t="s">
        <v>127</v>
      </c>
      <c r="B90" s="1" t="s">
        <v>637</v>
      </c>
      <c r="C90" s="1" t="b">
        <f t="shared" ref="C90:C114" si="11">FALSE()</f>
        <v>0</v>
      </c>
      <c r="D90" s="1" t="b">
        <f t="shared" si="10"/>
        <v>1</v>
      </c>
      <c r="E90" s="1">
        <v>0</v>
      </c>
      <c r="G90" s="1" t="b">
        <f>角色属性!AK25</f>
        <v>1</v>
      </c>
      <c r="H90" s="55">
        <v>1</v>
      </c>
      <c r="N90" s="23">
        <f ca="1">20*(AH14)/AH9*VALUE(IF(全局设置!$D$2,WPS奇穴数据!G15,Excel奇穴数据!G15))</f>
        <v>0.0733333333333333</v>
      </c>
      <c r="P90" s="23">
        <f ca="1">20*(AH14)/AH9*VALUE(IF(全局设置!$D$2,WPS奇穴数据!I15,Excel奇穴数据!I15))</f>
        <v>0.0733333333333333</v>
      </c>
      <c r="AD90" s="27"/>
      <c r="XFD90" s="1"/>
    </row>
    <row r="91" spans="1:30 16384:16384">
      <c r="A91" s="1" t="s">
        <v>127</v>
      </c>
      <c r="B91" s="1" t="s">
        <v>641</v>
      </c>
      <c r="C91" s="1" t="b">
        <f t="shared" si="11"/>
        <v>0</v>
      </c>
      <c r="D91" s="1" t="b">
        <f t="shared" si="10"/>
        <v>1</v>
      </c>
      <c r="E91" s="1">
        <v>0</v>
      </c>
      <c r="G91" s="1" t="b">
        <f>角色属性!AK27</f>
        <v>1</v>
      </c>
      <c r="H91" s="55">
        <v>1</v>
      </c>
      <c r="Y91" s="23">
        <f>3*VALUE(IF(全局设置!$D$2,WPS奇穴数据!R16,Excel奇穴数据!R16))</f>
        <v>0.21</v>
      </c>
      <c r="AD91" s="27"/>
      <c r="XFD91" s="1"/>
    </row>
    <row r="92" spans="1:30 16384:16384">
      <c r="A92" s="1" t="s">
        <v>127</v>
      </c>
      <c r="B92" s="1" t="s">
        <v>640</v>
      </c>
      <c r="C92" s="1" t="b">
        <f t="shared" si="11"/>
        <v>0</v>
      </c>
      <c r="D92" s="1" t="b">
        <f t="shared" si="10"/>
        <v>1</v>
      </c>
      <c r="E92" s="1">
        <v>0</v>
      </c>
      <c r="F92" s="1" t="str">
        <f>技能数据!A50</f>
        <v>急曲·悟</v>
      </c>
      <c r="G92" s="1" t="b">
        <f>角色属性!AM26</f>
        <v>0</v>
      </c>
      <c r="H92" s="55">
        <v>1</v>
      </c>
      <c r="Y92" s="23">
        <v>0.1</v>
      </c>
      <c r="AD92" s="27"/>
      <c r="XFD92" s="1"/>
    </row>
    <row r="93" spans="1:30 16384:16384">
      <c r="A93" s="1" t="s">
        <v>826</v>
      </c>
      <c r="B93" s="1" t="s">
        <v>895</v>
      </c>
      <c r="C93" s="1" t="b">
        <f t="shared" si="11"/>
        <v>0</v>
      </c>
      <c r="D93" s="1" t="b">
        <f t="shared" si="10"/>
        <v>1</v>
      </c>
      <c r="E93" s="1">
        <v>0</v>
      </c>
      <c r="G93" s="1" t="b">
        <f>角色属性!AK29</f>
        <v>1</v>
      </c>
      <c r="H93" s="55">
        <v>1</v>
      </c>
      <c r="Y93" s="23">
        <f ca="1">MIN((AH14)*30/AH9*VALUE(IF(全局设置!$D$2,WPS奇穴数据!R17,Excel奇穴数据!R17))*IF(AH19,1,AH20),VALUE(IF(全局设置!$D$2,WPS奇穴数据!R17,Excel奇穴数据!R17)))</f>
        <v>0.1287</v>
      </c>
      <c r="AD93" s="27"/>
      <c r="XFD93" s="1"/>
    </row>
    <row r="94" spans="1:30 16384:16384">
      <c r="A94" s="1" t="s">
        <v>826</v>
      </c>
      <c r="B94" s="1" t="s">
        <v>896</v>
      </c>
      <c r="C94" s="1" t="b">
        <f t="shared" si="11"/>
        <v>0</v>
      </c>
      <c r="D94" s="1" t="b">
        <f t="shared" si="10"/>
        <v>1</v>
      </c>
      <c r="E94" s="1">
        <v>1</v>
      </c>
      <c r="G94" s="1" t="b">
        <f>TRUE()</f>
        <v>1</v>
      </c>
      <c r="H94" s="27">
        <v>1</v>
      </c>
      <c r="N94" s="23">
        <f>VALUE(IF(全局设置!$D$2,WPS奇穴数据!G18,Excel奇穴数据!G18))</f>
        <v>0.2</v>
      </c>
      <c r="Y94" s="23">
        <f>VALUE(IF(全局设置!$D$2,WPS奇穴数据!R18,Excel奇穴数据!R18))</f>
        <v>0.1</v>
      </c>
      <c r="AD94" s="27"/>
      <c r="XFD94" s="1"/>
    </row>
    <row r="95" spans="1:30 16384:16384">
      <c r="A95" s="1" t="s">
        <v>128</v>
      </c>
      <c r="B95" s="1" t="s">
        <v>897</v>
      </c>
      <c r="C95" s="1" t="b">
        <f t="shared" si="11"/>
        <v>0</v>
      </c>
      <c r="D95" s="1" t="b">
        <f t="shared" si="10"/>
        <v>1</v>
      </c>
      <c r="E95" s="1">
        <v>0</v>
      </c>
      <c r="G95" s="1" t="b">
        <f>TRUE()</f>
        <v>1</v>
      </c>
      <c r="H95" s="53">
        <v>1</v>
      </c>
      <c r="Y95" s="23">
        <f ca="1">AH15*(AH16)/AH9*VALUE(IF(全局设置!$D$2,WPS奇穴数据!R19,Excel奇穴数据!R19))</f>
        <v>0.138</v>
      </c>
      <c r="AD95" s="27"/>
      <c r="XFD95" s="1"/>
    </row>
    <row r="96" spans="1:30 16384:16384">
      <c r="A96" s="1" t="s">
        <v>588</v>
      </c>
      <c r="B96" s="1" t="s">
        <v>898</v>
      </c>
      <c r="C96" s="1" t="b">
        <f t="shared" si="11"/>
        <v>0</v>
      </c>
      <c r="D96" s="1" t="b">
        <f t="shared" si="10"/>
        <v>1</v>
      </c>
      <c r="E96" s="1">
        <v>-1</v>
      </c>
      <c r="F96" s="1" t="s">
        <v>627</v>
      </c>
      <c r="G96" s="1" t="b">
        <f ca="1" t="shared" ref="G96:G101" si="12">$G$6</f>
        <v>1</v>
      </c>
      <c r="H96" s="27">
        <v>1</v>
      </c>
      <c r="Y96" s="23">
        <v>0.05</v>
      </c>
      <c r="AD96" s="27"/>
      <c r="XFD96" s="1"/>
    </row>
    <row r="97" spans="1:30 16384:16384">
      <c r="A97" s="1" t="s">
        <v>588</v>
      </c>
      <c r="B97" s="1" t="s">
        <v>899</v>
      </c>
      <c r="C97" s="1" t="b">
        <f t="shared" si="11"/>
        <v>0</v>
      </c>
      <c r="D97" s="1" t="b">
        <f t="shared" si="10"/>
        <v>1</v>
      </c>
      <c r="E97" s="1">
        <v>-1</v>
      </c>
      <c r="F97" s="1" t="s">
        <v>630</v>
      </c>
      <c r="G97" s="1" t="b">
        <f ca="1" t="shared" si="12"/>
        <v>1</v>
      </c>
      <c r="H97" s="27">
        <v>1</v>
      </c>
      <c r="Y97" s="23">
        <f>Y96</f>
        <v>0.05</v>
      </c>
      <c r="AD97" s="27"/>
      <c r="XFD97" s="1"/>
    </row>
    <row r="98" spans="1:30 16384:16384">
      <c r="A98" s="1" t="s">
        <v>588</v>
      </c>
      <c r="B98" s="1" t="s">
        <v>900</v>
      </c>
      <c r="C98" s="1" t="b">
        <f t="shared" si="11"/>
        <v>0</v>
      </c>
      <c r="D98" s="1" t="b">
        <f t="shared" si="10"/>
        <v>1</v>
      </c>
      <c r="E98" s="1">
        <v>-1</v>
      </c>
      <c r="F98" s="1" t="s">
        <v>901</v>
      </c>
      <c r="G98" s="1" t="b">
        <f ca="1" t="shared" si="12"/>
        <v>1</v>
      </c>
      <c r="H98" s="27">
        <v>1</v>
      </c>
      <c r="Y98" s="23">
        <f>Y96</f>
        <v>0.05</v>
      </c>
      <c r="AD98" s="27"/>
      <c r="XFD98" s="1"/>
    </row>
    <row r="99" spans="1:30 16384:16384">
      <c r="A99" s="1" t="s">
        <v>588</v>
      </c>
      <c r="B99" s="1" t="s">
        <v>902</v>
      </c>
      <c r="C99" s="1" t="b">
        <f t="shared" si="11"/>
        <v>0</v>
      </c>
      <c r="D99" s="1" t="b">
        <f t="shared" si="10"/>
        <v>1</v>
      </c>
      <c r="E99" s="1">
        <v>-1</v>
      </c>
      <c r="F99" s="1" t="s">
        <v>903</v>
      </c>
      <c r="G99" s="1" t="b">
        <f ca="1" t="shared" si="12"/>
        <v>1</v>
      </c>
      <c r="H99" s="27">
        <v>1</v>
      </c>
      <c r="Y99" s="23">
        <f>Y96</f>
        <v>0.05</v>
      </c>
      <c r="AD99" s="27"/>
      <c r="XFD99" s="1"/>
    </row>
    <row r="100" spans="1:30 16384:16384">
      <c r="A100" s="1" t="s">
        <v>588</v>
      </c>
      <c r="B100" s="1" t="s">
        <v>904</v>
      </c>
      <c r="C100" s="1" t="b">
        <f t="shared" si="11"/>
        <v>0</v>
      </c>
      <c r="D100" s="1" t="b">
        <f t="shared" si="10"/>
        <v>1</v>
      </c>
      <c r="E100" s="1">
        <v>-1</v>
      </c>
      <c r="F100" s="1" t="s">
        <v>905</v>
      </c>
      <c r="G100" s="1" t="b">
        <f ca="1" t="shared" si="12"/>
        <v>1</v>
      </c>
      <c r="H100" s="27">
        <v>1</v>
      </c>
      <c r="Y100" s="23">
        <f>Y96</f>
        <v>0.05</v>
      </c>
      <c r="AD100" s="27"/>
      <c r="XFD100" s="1"/>
    </row>
    <row r="101" spans="1:30 16384:16384">
      <c r="A101" s="1" t="s">
        <v>588</v>
      </c>
      <c r="B101" s="1" t="s">
        <v>906</v>
      </c>
      <c r="C101" s="1" t="b">
        <f t="shared" si="11"/>
        <v>0</v>
      </c>
      <c r="D101" s="1" t="b">
        <f t="shared" si="10"/>
        <v>1</v>
      </c>
      <c r="E101" s="1">
        <v>-1</v>
      </c>
      <c r="F101" s="1" t="s">
        <v>632</v>
      </c>
      <c r="G101" s="1" t="b">
        <f ca="1" t="shared" si="12"/>
        <v>1</v>
      </c>
      <c r="H101" s="27">
        <v>1</v>
      </c>
      <c r="Y101" s="23">
        <f>Y96</f>
        <v>0.05</v>
      </c>
      <c r="AD101" s="27"/>
      <c r="XFD101" s="1"/>
    </row>
    <row r="102" spans="1:30 16384:16384">
      <c r="A102" s="1" t="s">
        <v>588</v>
      </c>
      <c r="B102" s="1" t="s">
        <v>907</v>
      </c>
      <c r="C102" s="1" t="b">
        <f t="shared" si="11"/>
        <v>0</v>
      </c>
      <c r="D102" s="1" t="b">
        <f t="shared" si="10"/>
        <v>1</v>
      </c>
      <c r="E102" s="1">
        <v>-1</v>
      </c>
      <c r="F102" s="1" t="s">
        <v>623</v>
      </c>
      <c r="G102" s="1" t="b">
        <f ca="1">G75</f>
        <v>1</v>
      </c>
      <c r="H102" s="27">
        <v>1</v>
      </c>
      <c r="N102" s="23">
        <v>0.03</v>
      </c>
      <c r="AD102" s="27"/>
      <c r="XFD102" s="1"/>
    </row>
    <row r="103" spans="1:30 16384:16384">
      <c r="A103" s="1" t="s">
        <v>588</v>
      </c>
      <c r="B103" s="1" t="s">
        <v>908</v>
      </c>
      <c r="C103" s="1" t="b">
        <f t="shared" si="11"/>
        <v>0</v>
      </c>
      <c r="D103" s="1" t="b">
        <f t="shared" si="10"/>
        <v>1</v>
      </c>
      <c r="E103" s="1">
        <v>-1</v>
      </c>
      <c r="F103" s="1" t="s">
        <v>909</v>
      </c>
      <c r="G103" s="1" t="b">
        <f ca="1">G75</f>
        <v>1</v>
      </c>
      <c r="H103" s="27">
        <v>1</v>
      </c>
      <c r="N103" s="23">
        <f>N102</f>
        <v>0.03</v>
      </c>
      <c r="AD103" s="27"/>
      <c r="XFD103" s="1"/>
    </row>
    <row r="104" spans="1:30 16384:16384">
      <c r="A104" s="1" t="s">
        <v>588</v>
      </c>
      <c r="B104" s="1" t="s">
        <v>910</v>
      </c>
      <c r="C104" s="1" t="b">
        <f t="shared" si="11"/>
        <v>0</v>
      </c>
      <c r="D104" s="1" t="b">
        <f t="shared" si="10"/>
        <v>1</v>
      </c>
      <c r="E104" s="1">
        <v>-1</v>
      </c>
      <c r="F104" s="1" t="s">
        <v>623</v>
      </c>
      <c r="G104" s="1" t="b">
        <f ca="1">G48</f>
        <v>0</v>
      </c>
      <c r="H104" s="27">
        <v>1</v>
      </c>
      <c r="Y104" s="23">
        <v>0.02</v>
      </c>
      <c r="AD104" s="27"/>
      <c r="XFD104" s="1"/>
    </row>
    <row r="105" spans="1:30 16384:16384">
      <c r="A105" s="1" t="s">
        <v>588</v>
      </c>
      <c r="B105" s="1" t="s">
        <v>911</v>
      </c>
      <c r="C105" s="1" t="b">
        <f t="shared" si="11"/>
        <v>0</v>
      </c>
      <c r="D105" s="1" t="b">
        <f t="shared" si="10"/>
        <v>1</v>
      </c>
      <c r="E105" s="1">
        <v>-1</v>
      </c>
      <c r="F105" s="1" t="s">
        <v>909</v>
      </c>
      <c r="G105" s="1" t="b">
        <f ca="1">G48</f>
        <v>0</v>
      </c>
      <c r="H105" s="27">
        <v>1</v>
      </c>
      <c r="Y105" s="23">
        <v>0.02</v>
      </c>
      <c r="AD105" s="27"/>
      <c r="XFD105" s="1"/>
    </row>
    <row r="106" spans="1:30 16384:16384">
      <c r="A106" s="1" t="s">
        <v>588</v>
      </c>
      <c r="B106" s="1" t="s">
        <v>912</v>
      </c>
      <c r="C106" s="1" t="b">
        <f t="shared" si="11"/>
        <v>0</v>
      </c>
      <c r="D106" s="1" t="b">
        <f t="shared" si="10"/>
        <v>1</v>
      </c>
      <c r="E106" s="1">
        <v>-1</v>
      </c>
      <c r="F106" s="1" t="s">
        <v>627</v>
      </c>
      <c r="G106" s="1" t="b">
        <f ca="1">G48</f>
        <v>0</v>
      </c>
      <c r="H106" s="27">
        <v>1</v>
      </c>
      <c r="Y106" s="23">
        <v>0.02</v>
      </c>
      <c r="AD106" s="27"/>
      <c r="XFD106" s="1"/>
    </row>
    <row r="107" spans="1:30 16384:16384">
      <c r="A107" s="1" t="s">
        <v>588</v>
      </c>
      <c r="B107" s="1" t="s">
        <v>913</v>
      </c>
      <c r="C107" s="1" t="b">
        <f t="shared" si="11"/>
        <v>0</v>
      </c>
      <c r="D107" s="1" t="b">
        <f t="shared" si="10"/>
        <v>1</v>
      </c>
      <c r="E107" s="1">
        <v>-1</v>
      </c>
      <c r="F107" s="1" t="s">
        <v>630</v>
      </c>
      <c r="G107" s="1" t="b">
        <f ca="1">G48</f>
        <v>0</v>
      </c>
      <c r="H107" s="27">
        <v>1</v>
      </c>
      <c r="Y107" s="23">
        <v>0.02</v>
      </c>
      <c r="AD107" s="27"/>
      <c r="XFD107" s="1"/>
    </row>
    <row r="108" spans="1:30 16384:16384">
      <c r="A108" s="1" t="s">
        <v>588</v>
      </c>
      <c r="B108" s="1" t="s">
        <v>914</v>
      </c>
      <c r="C108" s="1" t="b">
        <f t="shared" si="11"/>
        <v>0</v>
      </c>
      <c r="D108" s="1" t="b">
        <f t="shared" si="10"/>
        <v>1</v>
      </c>
      <c r="E108" s="1">
        <v>-1</v>
      </c>
      <c r="F108" s="1" t="s">
        <v>901</v>
      </c>
      <c r="G108" s="1" t="b">
        <f ca="1">G48</f>
        <v>0</v>
      </c>
      <c r="H108" s="27">
        <v>1</v>
      </c>
      <c r="Y108" s="23">
        <v>0.02</v>
      </c>
      <c r="AD108" s="27"/>
      <c r="XFD108" s="1"/>
    </row>
    <row r="109" spans="1:30 16384:16384">
      <c r="A109" s="1" t="s">
        <v>588</v>
      </c>
      <c r="B109" s="1" t="s">
        <v>915</v>
      </c>
      <c r="C109" s="1" t="b">
        <f t="shared" si="11"/>
        <v>0</v>
      </c>
      <c r="D109" s="1" t="b">
        <f t="shared" si="10"/>
        <v>1</v>
      </c>
      <c r="E109" s="1">
        <v>-1</v>
      </c>
      <c r="F109" s="1" t="s">
        <v>903</v>
      </c>
      <c r="G109" s="1" t="b">
        <f ca="1">G48</f>
        <v>0</v>
      </c>
      <c r="H109" s="27">
        <v>1</v>
      </c>
      <c r="Y109" s="23">
        <v>0.02</v>
      </c>
      <c r="AD109" s="27"/>
      <c r="XFD109" s="1"/>
    </row>
    <row r="110" spans="1:30 16384:16384">
      <c r="A110" s="1" t="s">
        <v>588</v>
      </c>
      <c r="B110" s="1" t="s">
        <v>916</v>
      </c>
      <c r="C110" s="1" t="b">
        <f t="shared" si="11"/>
        <v>0</v>
      </c>
      <c r="D110" s="1" t="b">
        <f t="shared" si="10"/>
        <v>1</v>
      </c>
      <c r="E110" s="1">
        <v>-1</v>
      </c>
      <c r="F110" s="1" t="s">
        <v>905</v>
      </c>
      <c r="G110" s="1" t="b">
        <f ca="1">G48</f>
        <v>0</v>
      </c>
      <c r="H110" s="27">
        <v>1</v>
      </c>
      <c r="Y110" s="23">
        <v>0.02</v>
      </c>
      <c r="AD110" s="27"/>
      <c r="XFD110" s="1"/>
    </row>
    <row r="111" spans="1:30 16384:16384">
      <c r="A111" s="1" t="s">
        <v>588</v>
      </c>
      <c r="B111" s="1" t="s">
        <v>917</v>
      </c>
      <c r="C111" s="1" t="b">
        <f t="shared" si="11"/>
        <v>0</v>
      </c>
      <c r="D111" s="1" t="b">
        <f t="shared" si="10"/>
        <v>1</v>
      </c>
      <c r="E111" s="1">
        <v>-1</v>
      </c>
      <c r="F111" s="1" t="s">
        <v>632</v>
      </c>
      <c r="G111" s="1" t="b">
        <f ca="1">G48</f>
        <v>0</v>
      </c>
      <c r="H111" s="27">
        <v>1</v>
      </c>
      <c r="Y111" s="23">
        <v>0.02</v>
      </c>
      <c r="AD111" s="27"/>
      <c r="XFD111" s="1"/>
    </row>
    <row r="112" spans="1:30 16384:16384">
      <c r="A112" s="1" t="s">
        <v>588</v>
      </c>
      <c r="B112" s="1" t="s">
        <v>918</v>
      </c>
      <c r="C112" s="1" t="b">
        <f t="shared" si="11"/>
        <v>0</v>
      </c>
      <c r="D112" s="1" t="b">
        <f t="shared" si="10"/>
        <v>1</v>
      </c>
      <c r="E112" s="1">
        <v>0</v>
      </c>
      <c r="G112" s="1" t="b">
        <f ca="1">角色属性!Z43</f>
        <v>0</v>
      </c>
      <c r="H112" s="27">
        <v>1</v>
      </c>
      <c r="N112" s="23">
        <f ca="1">20*(AH14)/AH9*VALUE(IF(全局设置!$D$2,WPS奇穴数据!G20,Excel奇穴数据!G20))</f>
        <v>0.0366666666666667</v>
      </c>
      <c r="P112" s="23">
        <f ca="1">20*(AH14)/AH9*VALUE(IF(全局设置!$D$2,WPS奇穴数据!I20,Excel奇穴数据!I20))</f>
        <v>0.0586666666666667</v>
      </c>
      <c r="AD112" s="27"/>
      <c r="XFD112" s="1"/>
    </row>
    <row r="113" spans="1:30 16384:16384">
      <c r="A113" s="1" t="s">
        <v>823</v>
      </c>
      <c r="B113" s="1" t="s">
        <v>764</v>
      </c>
      <c r="C113" s="1" t="b">
        <f t="shared" si="11"/>
        <v>0</v>
      </c>
      <c r="D113" s="1" t="b">
        <f t="shared" si="10"/>
        <v>1</v>
      </c>
      <c r="E113" s="1">
        <v>0</v>
      </c>
      <c r="G113" s="1" t="b">
        <f>TRUE()</f>
        <v>1</v>
      </c>
      <c r="H113" s="27">
        <v>1</v>
      </c>
      <c r="AB113" s="23">
        <f>常更新数据!AE18</f>
        <v>0.6</v>
      </c>
      <c r="AD113" s="27"/>
      <c r="XFD113" s="1"/>
    </row>
    <row r="114" spans="1:30 16384:16384">
      <c r="A114" s="1" t="s">
        <v>588</v>
      </c>
      <c r="B114" s="1" t="s">
        <v>919</v>
      </c>
      <c r="C114" s="1" t="b">
        <f t="shared" si="11"/>
        <v>0</v>
      </c>
      <c r="D114" s="1" t="b">
        <f t="shared" si="10"/>
        <v>1</v>
      </c>
      <c r="E114" s="1">
        <v>0</v>
      </c>
      <c r="G114" s="1" t="b">
        <f ca="1">G48</f>
        <v>0</v>
      </c>
      <c r="H114" s="27">
        <v>1</v>
      </c>
      <c r="Y114" s="23">
        <f ca="1">MIN((AH14)*30/AH9*0.15,0.15)</f>
        <v>0.15</v>
      </c>
      <c r="AD114" s="27"/>
      <c r="XFD114" s="1"/>
    </row>
    <row r="115" spans="1:30 16384:16384">
      <c r="A115" s="1" t="s">
        <v>127</v>
      </c>
      <c r="B115" s="1" t="s">
        <v>78</v>
      </c>
      <c r="C115" s="1" t="b">
        <f t="shared" ref="C115:C134" si="13">TRUE()</f>
        <v>1</v>
      </c>
      <c r="D115" s="1" t="b">
        <f>FALSE()</f>
        <v>0</v>
      </c>
      <c r="E115" s="1">
        <v>0</v>
      </c>
      <c r="G115" s="1" t="b">
        <f>IF(角色属性!AK8,TRUE(),FALSE())</f>
        <v>1</v>
      </c>
      <c r="H115" s="53">
        <v>1</v>
      </c>
      <c r="N115" s="23">
        <f ca="1">MIN(AVERAGE(6*AH2/AH4,6*AH3/AH5),1)*VALUE(IF(全局设置!$D$2,WPS奇穴数据!G22,Excel奇穴数据!G22))</f>
        <v>0.05</v>
      </c>
      <c r="P115" s="23">
        <f ca="1">MIN(AVERAGE(6*AH2/AH4,6*AH3/AH5),1)*VALUE(IF(全局设置!$D$2,WPS奇穴数据!I22,Excel奇穴数据!I22))</f>
        <v>0.2</v>
      </c>
      <c r="AD115" s="27"/>
      <c r="XFD115" s="1"/>
    </row>
    <row r="116" spans="1:30 16384:16384">
      <c r="A116" s="1" t="s">
        <v>868</v>
      </c>
      <c r="B116" s="1" t="s">
        <v>171</v>
      </c>
      <c r="C116" s="1" t="b">
        <f t="shared" si="13"/>
        <v>1</v>
      </c>
      <c r="D116" s="1" t="b">
        <f t="shared" ref="D116:D130" si="14">TRUE()</f>
        <v>1</v>
      </c>
      <c r="E116" s="1">
        <v>2</v>
      </c>
      <c r="G116" s="1" t="b">
        <v>0</v>
      </c>
      <c r="H116" s="27">
        <v>1</v>
      </c>
      <c r="Z116" s="27">
        <v>0.02</v>
      </c>
      <c r="AD116" s="27"/>
      <c r="XFD116" s="1"/>
    </row>
    <row r="117" spans="1:30 16384:16384">
      <c r="A117" s="1" t="s">
        <v>868</v>
      </c>
      <c r="B117" s="1" t="s">
        <v>174</v>
      </c>
      <c r="C117" s="1" t="b">
        <f t="shared" si="13"/>
        <v>1</v>
      </c>
      <c r="D117" s="1" t="b">
        <f t="shared" si="14"/>
        <v>1</v>
      </c>
      <c r="E117" s="1">
        <v>2</v>
      </c>
      <c r="G117" s="1" t="b">
        <v>0</v>
      </c>
      <c r="H117" s="27">
        <f>8/60</f>
        <v>0.133333333333333</v>
      </c>
      <c r="T117" s="1">
        <f>380*旧主页!AB18</f>
        <v>30400</v>
      </c>
      <c r="AD117" s="27"/>
      <c r="XFD117" s="1"/>
    </row>
    <row r="118" spans="1:30 16384:16384">
      <c r="A118" s="1" t="s">
        <v>868</v>
      </c>
      <c r="B118" s="1" t="s">
        <v>177</v>
      </c>
      <c r="C118" s="1" t="b">
        <f t="shared" si="13"/>
        <v>1</v>
      </c>
      <c r="D118" s="1" t="b">
        <f t="shared" si="14"/>
        <v>1</v>
      </c>
      <c r="E118" s="1">
        <v>2</v>
      </c>
      <c r="G118" s="1" t="b">
        <v>0</v>
      </c>
      <c r="H118" s="27">
        <v>1</v>
      </c>
      <c r="T118" s="1">
        <f>126*旧主页!AB19</f>
        <v>10080</v>
      </c>
      <c r="AD118" s="27"/>
      <c r="XFD118" s="1"/>
    </row>
    <row r="119" spans="1:30 16384:16384">
      <c r="A119" s="1" t="s">
        <v>868</v>
      </c>
      <c r="B119" s="1" t="s">
        <v>180</v>
      </c>
      <c r="C119" s="1" t="b">
        <f t="shared" si="13"/>
        <v>1</v>
      </c>
      <c r="D119" s="1" t="b">
        <f t="shared" si="14"/>
        <v>1</v>
      </c>
      <c r="E119" s="1">
        <v>2</v>
      </c>
      <c r="G119" s="1" t="b">
        <v>0</v>
      </c>
      <c r="H119" s="27">
        <v>1</v>
      </c>
      <c r="Z119" s="27">
        <v>0.03</v>
      </c>
      <c r="AD119" s="27"/>
      <c r="XFD119" s="1"/>
    </row>
    <row r="120" spans="1:30 16384:16384">
      <c r="A120" s="1" t="s">
        <v>868</v>
      </c>
      <c r="B120" s="1" t="s">
        <v>183</v>
      </c>
      <c r="C120" s="1" t="b">
        <f t="shared" si="13"/>
        <v>1</v>
      </c>
      <c r="D120" s="1" t="b">
        <f t="shared" si="14"/>
        <v>1</v>
      </c>
      <c r="E120" s="1">
        <v>2</v>
      </c>
      <c r="G120" s="1" t="b">
        <v>0</v>
      </c>
      <c r="H120" s="27">
        <v>1</v>
      </c>
      <c r="T120" s="1">
        <f>92*旧主页!AB21</f>
        <v>7360</v>
      </c>
      <c r="AD120" s="27"/>
      <c r="XFD120" s="1"/>
    </row>
    <row r="121" spans="1:30 16384:16384">
      <c r="A121" s="1" t="s">
        <v>868</v>
      </c>
      <c r="B121" s="1" t="s">
        <v>189</v>
      </c>
      <c r="C121" s="1" t="b">
        <f t="shared" si="13"/>
        <v>1</v>
      </c>
      <c r="D121" s="1" t="b">
        <f t="shared" si="14"/>
        <v>1</v>
      </c>
      <c r="E121" s="1">
        <v>2</v>
      </c>
      <c r="G121" s="1" t="b">
        <v>0</v>
      </c>
      <c r="H121" s="27">
        <f>15/50</f>
        <v>0.3</v>
      </c>
      <c r="U121" s="23">
        <v>0.05</v>
      </c>
      <c r="AD121" s="27"/>
      <c r="XFD121" s="1"/>
    </row>
    <row r="122" spans="1:30 16384:16384">
      <c r="A122" s="1" t="s">
        <v>868</v>
      </c>
      <c r="B122" s="1" t="s">
        <v>192</v>
      </c>
      <c r="C122" s="1" t="b">
        <f t="shared" si="13"/>
        <v>1</v>
      </c>
      <c r="D122" s="1" t="b">
        <f t="shared" si="14"/>
        <v>1</v>
      </c>
      <c r="E122" s="1">
        <v>2</v>
      </c>
      <c r="G122" s="1" t="b">
        <v>0</v>
      </c>
      <c r="H122" s="27">
        <f>30/技能数!H3</f>
        <v>0.1</v>
      </c>
      <c r="T122" s="1">
        <f>715*旧主页!AB23</f>
        <v>57200</v>
      </c>
      <c r="AD122" s="27"/>
      <c r="XFD122" s="1"/>
    </row>
    <row r="123" spans="1:30 16384:16384">
      <c r="A123" s="1" t="s">
        <v>868</v>
      </c>
      <c r="B123" s="1" t="s">
        <v>920</v>
      </c>
      <c r="C123" s="1" t="b">
        <f t="shared" si="13"/>
        <v>1</v>
      </c>
      <c r="D123" s="1" t="b">
        <f t="shared" si="14"/>
        <v>1</v>
      </c>
      <c r="E123" s="1">
        <v>2</v>
      </c>
      <c r="G123" s="1" t="b">
        <f>G122</f>
        <v>0</v>
      </c>
      <c r="H123" s="27">
        <f>1-30/AH9</f>
        <v>0.9</v>
      </c>
      <c r="U123" s="23">
        <v>0.02</v>
      </c>
      <c r="AD123" s="27"/>
      <c r="XFD123" s="1"/>
    </row>
    <row r="124" spans="1:30 16384:16384">
      <c r="A124" s="1" t="s">
        <v>873</v>
      </c>
      <c r="B124" s="1" t="s">
        <v>196</v>
      </c>
      <c r="C124" s="1" t="b">
        <f t="shared" si="13"/>
        <v>1</v>
      </c>
      <c r="D124" s="1" t="b">
        <f t="shared" si="14"/>
        <v>1</v>
      </c>
      <c r="E124" s="1">
        <v>2</v>
      </c>
      <c r="G124" s="1" t="b">
        <v>0</v>
      </c>
      <c r="H124" s="27">
        <v>1</v>
      </c>
      <c r="T124" s="1">
        <f>126*旧主页!AB24</f>
        <v>10080</v>
      </c>
      <c r="AD124" s="27"/>
      <c r="XFD124" s="1"/>
    </row>
    <row r="125" spans="1:30 16384:16384">
      <c r="A125" s="1" t="s">
        <v>873</v>
      </c>
      <c r="B125" s="1" t="s">
        <v>200</v>
      </c>
      <c r="C125" s="1" t="b">
        <f t="shared" si="13"/>
        <v>1</v>
      </c>
      <c r="D125" s="1" t="b">
        <f t="shared" si="14"/>
        <v>1</v>
      </c>
      <c r="E125" s="1">
        <v>2</v>
      </c>
      <c r="G125" s="1" t="b">
        <v>0</v>
      </c>
      <c r="H125" s="27">
        <v>1</v>
      </c>
      <c r="T125" s="1">
        <f>126*旧主页!AB25</f>
        <v>10080</v>
      </c>
      <c r="AD125" s="27"/>
      <c r="XFD125" s="1"/>
    </row>
    <row r="126" spans="1:30 16384:16384">
      <c r="A126" s="1" t="s">
        <v>873</v>
      </c>
      <c r="B126" s="1" t="s">
        <v>205</v>
      </c>
      <c r="C126" s="1" t="b">
        <f t="shared" si="13"/>
        <v>1</v>
      </c>
      <c r="D126" s="1" t="b">
        <f t="shared" si="14"/>
        <v>1</v>
      </c>
      <c r="E126" s="1">
        <v>2</v>
      </c>
      <c r="G126" s="1" t="b">
        <v>0</v>
      </c>
      <c r="H126" s="27">
        <f>12/30</f>
        <v>0.4</v>
      </c>
      <c r="T126" s="1">
        <f>278*旧主页!AB26</f>
        <v>22240</v>
      </c>
      <c r="AD126" s="27"/>
      <c r="XFD126" s="1"/>
    </row>
    <row r="127" spans="1:30 16384:16384">
      <c r="A127" s="1" t="s">
        <v>873</v>
      </c>
      <c r="B127" s="1" t="s">
        <v>209</v>
      </c>
      <c r="C127" s="1" t="b">
        <f t="shared" si="13"/>
        <v>1</v>
      </c>
      <c r="D127" s="1" t="b">
        <f t="shared" si="14"/>
        <v>1</v>
      </c>
      <c r="E127" s="1">
        <v>2</v>
      </c>
      <c r="G127" s="1" t="b">
        <v>0</v>
      </c>
      <c r="H127" s="27">
        <v>1</v>
      </c>
      <c r="T127" s="1">
        <f>126*旧主页!AB27</f>
        <v>10080</v>
      </c>
      <c r="AD127" s="27"/>
      <c r="XFD127" s="1"/>
    </row>
    <row r="128" spans="1:30 16384:16384">
      <c r="A128" s="1" t="s">
        <v>873</v>
      </c>
      <c r="B128" s="1" t="s">
        <v>213</v>
      </c>
      <c r="C128" s="1" t="b">
        <f t="shared" si="13"/>
        <v>1</v>
      </c>
      <c r="D128" s="1" t="b">
        <f t="shared" si="14"/>
        <v>1</v>
      </c>
      <c r="E128" s="1">
        <v>2</v>
      </c>
      <c r="G128" s="1" t="b">
        <v>0</v>
      </c>
      <c r="H128" s="27">
        <f>15/52</f>
        <v>0.288461538461538</v>
      </c>
      <c r="T128" s="1">
        <f>304*旧主页!AB28</f>
        <v>24320</v>
      </c>
      <c r="AD128" s="27"/>
      <c r="XFD128" s="1"/>
    </row>
    <row r="129" spans="1:30 16384:16384">
      <c r="A129" s="1" t="s">
        <v>884</v>
      </c>
      <c r="B129" s="1" t="s">
        <v>921</v>
      </c>
      <c r="C129" s="1" t="b">
        <f t="shared" si="13"/>
        <v>1</v>
      </c>
      <c r="D129" s="1" t="b">
        <f t="shared" si="14"/>
        <v>1</v>
      </c>
      <c r="E129" s="1">
        <v>3</v>
      </c>
      <c r="G129" s="1" t="b">
        <f>计算主页!$K$5=B129</f>
        <v>0</v>
      </c>
      <c r="H129" s="27">
        <v>1</v>
      </c>
      <c r="L129" s="23">
        <v>0.05</v>
      </c>
      <c r="N129" s="23">
        <v>0.05</v>
      </c>
      <c r="W129" s="1">
        <v>2666</v>
      </c>
      <c r="Y129" s="23">
        <f>6%*0.87</f>
        <v>0.0522</v>
      </c>
      <c r="AD129" s="27"/>
      <c r="XFD129" s="1"/>
    </row>
    <row r="130" spans="1:30 16384:16384">
      <c r="A130" s="1" t="s">
        <v>884</v>
      </c>
      <c r="B130" s="1" t="s">
        <v>922</v>
      </c>
      <c r="C130" s="1" t="b">
        <f t="shared" si="13"/>
        <v>1</v>
      </c>
      <c r="D130" s="1" t="b">
        <f t="shared" si="14"/>
        <v>1</v>
      </c>
      <c r="E130" s="1">
        <v>3</v>
      </c>
      <c r="G130" s="1" t="b">
        <f>计算主页!$K$5=B130</f>
        <v>0</v>
      </c>
      <c r="H130" s="27">
        <v>1</v>
      </c>
      <c r="L130" s="23">
        <v>0.05</v>
      </c>
      <c r="N130" s="23">
        <v>0.03</v>
      </c>
      <c r="P130" s="23">
        <v>0.05</v>
      </c>
      <c r="S130" s="23">
        <v>0.1</v>
      </c>
      <c r="AD130" s="27"/>
      <c r="XFD130" s="1"/>
    </row>
    <row r="131" spans="1:30 16384:16384">
      <c r="A131" s="1" t="s">
        <v>128</v>
      </c>
      <c r="B131" s="1" t="s">
        <v>923</v>
      </c>
      <c r="C131" s="1" t="b">
        <f t="shared" si="13"/>
        <v>1</v>
      </c>
      <c r="D131" s="1" t="b">
        <f>FALSE()</f>
        <v>0</v>
      </c>
      <c r="E131" s="1">
        <v>-1</v>
      </c>
      <c r="F131" s="1" t="s">
        <v>924</v>
      </c>
      <c r="G131" s="1" t="b">
        <f ca="1">AND(G132,AH30="破气玳")</f>
        <v>0</v>
      </c>
      <c r="H131" s="27">
        <v>1</v>
      </c>
      <c r="N131" s="23">
        <f>VALUE(IF(全局设置!$D$2,WPS奇穴数据!G23,Excel奇穴数据!G23))*5</f>
        <v>0.4</v>
      </c>
      <c r="P131" s="23">
        <f>VALUE(IF(全局设置!$D$2,WPS奇穴数据!I23,Excel奇穴数据!I23))*5</f>
        <v>0.1</v>
      </c>
      <c r="AD131" s="27"/>
      <c r="XFD131" s="1"/>
    </row>
    <row r="132" spans="1:30 16384:16384">
      <c r="A132" s="1" t="s">
        <v>128</v>
      </c>
      <c r="B132" s="1" t="s">
        <v>923</v>
      </c>
      <c r="C132" s="1" t="b">
        <f t="shared" si="13"/>
        <v>1</v>
      </c>
      <c r="D132" s="1" t="b">
        <f>FALSE()</f>
        <v>0</v>
      </c>
      <c r="E132" s="1">
        <v>-1</v>
      </c>
      <c r="F132" s="1" t="s">
        <v>925</v>
      </c>
      <c r="G132" s="1" t="b">
        <f ca="1">角色属性!Z38</f>
        <v>0</v>
      </c>
      <c r="H132" s="27">
        <v>1</v>
      </c>
      <c r="N132" s="23">
        <f>VALUE(IF(全局设置!$D$2,WPS奇穴数据!G23,Excel奇穴数据!G23))*5</f>
        <v>0.4</v>
      </c>
      <c r="P132" s="23">
        <f>VALUE(IF(全局设置!$D$2,WPS奇穴数据!I23,Excel奇穴数据!I23))*5</f>
        <v>0.1</v>
      </c>
      <c r="AD132" s="27"/>
      <c r="XFD132" s="1"/>
    </row>
    <row r="133" spans="1:30 16384:16384">
      <c r="A133" s="1" t="s">
        <v>588</v>
      </c>
      <c r="B133" s="1" t="s">
        <v>776</v>
      </c>
      <c r="C133" s="1" t="b">
        <f t="shared" si="13"/>
        <v>1</v>
      </c>
      <c r="D133" s="1" t="b">
        <f t="shared" ref="D133:D138" si="15">TRUE()</f>
        <v>1</v>
      </c>
      <c r="E133" s="1">
        <v>0</v>
      </c>
      <c r="G133" s="1" t="b">
        <f ca="1">G132</f>
        <v>0</v>
      </c>
      <c r="H133" s="27">
        <v>1</v>
      </c>
      <c r="T133" s="1">
        <f ca="1">常更新数据!K24</f>
        <v>6675</v>
      </c>
      <c r="AD133" s="27"/>
      <c r="XFD133" s="1"/>
    </row>
    <row r="134" spans="1:30 16384:16384">
      <c r="A134" s="1" t="s">
        <v>588</v>
      </c>
      <c r="B134" s="1" t="s">
        <v>783</v>
      </c>
      <c r="C134" s="1" t="b">
        <f t="shared" si="13"/>
        <v>1</v>
      </c>
      <c r="D134" s="1" t="b">
        <f t="shared" si="15"/>
        <v>1</v>
      </c>
      <c r="E134" s="1">
        <v>0</v>
      </c>
      <c r="G134" s="1" t="b">
        <f ca="1">角色属性!Z40</f>
        <v>1</v>
      </c>
      <c r="H134" s="27">
        <v>1</v>
      </c>
      <c r="T134" s="1">
        <f ca="1">常更新数据!K28</f>
        <v>6205</v>
      </c>
      <c r="AD134" s="27"/>
      <c r="XFD134" s="1"/>
    </row>
    <row r="135" spans="1:30 16384:16384">
      <c r="A135" s="1" t="s">
        <v>588</v>
      </c>
      <c r="B135" s="1" t="s">
        <v>926</v>
      </c>
      <c r="C135" s="1" t="b">
        <f t="shared" ref="C135:C157" si="16">TRUE()</f>
        <v>1</v>
      </c>
      <c r="D135" s="1" t="b">
        <f t="shared" si="15"/>
        <v>1</v>
      </c>
      <c r="E135" s="1">
        <v>0</v>
      </c>
      <c r="G135" s="1" t="b">
        <f ca="1">角色属性!AA78</f>
        <v>0</v>
      </c>
      <c r="H135" s="27">
        <v>1</v>
      </c>
      <c r="M135" s="20">
        <f ca="1">IF(角色属性!V20*常更新数据!AE32=MAX(角色属性!V20*常更新数据!AE32,角色属性!V23*常更新数据!AE33,角色属性!V25),常更新数据!K16,0)</f>
        <v>0</v>
      </c>
      <c r="N135" s="26"/>
      <c r="O135" s="20"/>
      <c r="P135" s="26"/>
      <c r="Q135" s="20"/>
      <c r="R135" s="20">
        <f ca="1">IF(角色属性!V23*常更新数据!AE33=MAX(角色属性!V20*常更新数据!AE32,角色属性!V23*常更新数据!AE33,角色属性!V25),常更新数据!K16,0)</f>
        <v>0</v>
      </c>
      <c r="S135" s="26"/>
      <c r="T135" s="20"/>
      <c r="U135" s="26"/>
      <c r="V135" s="26"/>
      <c r="W135" s="20">
        <f ca="1">IF(角色属性!V25=MAX(角色属性!V20*常更新数据!AE32,角色属性!V23*常更新数据!AE33,角色属性!V25),常更新数据!K16,0)</f>
        <v>0</v>
      </c>
      <c r="AD135" s="27"/>
      <c r="XFD135" s="1"/>
    </row>
    <row r="136" spans="1:30 16384:16384">
      <c r="A136" s="1" t="s">
        <v>588</v>
      </c>
      <c r="B136" s="1" t="s">
        <v>927</v>
      </c>
      <c r="C136" s="1" t="b">
        <f t="shared" si="16"/>
        <v>1</v>
      </c>
      <c r="D136" s="1" t="b">
        <f t="shared" si="15"/>
        <v>1</v>
      </c>
      <c r="E136" s="1">
        <v>0</v>
      </c>
      <c r="G136" s="1" t="b">
        <f ca="1">角色属性!AA81</f>
        <v>0</v>
      </c>
      <c r="H136" s="27">
        <f>10/20</f>
        <v>0.5</v>
      </c>
      <c r="M136" s="1">
        <f ca="1">IF(OR(角色属性!Z81:Z83),常更新数据!K18,0)</f>
        <v>0</v>
      </c>
      <c r="R136" s="1">
        <f ca="1">IF(OR(角色属性!Z84:Z86),常更新数据!K18,0)</f>
        <v>0</v>
      </c>
      <c r="AD136" s="27"/>
      <c r="XFD136" s="1"/>
    </row>
    <row r="137" spans="1:30 16384:16384">
      <c r="A137" s="1" t="s">
        <v>588</v>
      </c>
      <c r="B137" s="1" t="s">
        <v>928</v>
      </c>
      <c r="C137" s="1" t="b">
        <f t="shared" si="16"/>
        <v>1</v>
      </c>
      <c r="D137" s="1" t="b">
        <f t="shared" si="15"/>
        <v>1</v>
      </c>
      <c r="E137" s="1">
        <v>0</v>
      </c>
      <c r="G137" s="1" t="b">
        <f ca="1">角色属性!AA87</f>
        <v>0</v>
      </c>
      <c r="H137" s="27">
        <v>1</v>
      </c>
      <c r="K137" s="1">
        <f ca="1">IF(OR(角色属性!Z87:Z89),常更新数据!K21,0)</f>
        <v>0</v>
      </c>
      <c r="O137" s="1">
        <f ca="1">IF(OR(角色属性!Z90:Z92),常更新数据!K19,0)</f>
        <v>0</v>
      </c>
      <c r="AD137" s="27"/>
      <c r="XFD137" s="1"/>
    </row>
    <row r="138" spans="1:30 16384:16384">
      <c r="A138" s="1" t="s">
        <v>588</v>
      </c>
      <c r="B138" s="1" t="s">
        <v>929</v>
      </c>
      <c r="C138" s="1" t="b">
        <f t="shared" si="16"/>
        <v>1</v>
      </c>
      <c r="D138" s="1" t="b">
        <f t="shared" si="15"/>
        <v>1</v>
      </c>
      <c r="E138" s="1">
        <v>0</v>
      </c>
      <c r="G138" s="1" t="b">
        <f ca="1">角色属性!AA93</f>
        <v>0</v>
      </c>
      <c r="H138" s="27">
        <v>1</v>
      </c>
      <c r="O138" s="1">
        <f ca="1">IF(OR(角色属性!Z96:Z98),常更新数据!K17,0)</f>
        <v>0</v>
      </c>
      <c r="R138" s="1">
        <f ca="1">IF(OR(角色属性!Z93:Z95),常更新数据!K17,0)</f>
        <v>0</v>
      </c>
      <c r="AD138" s="27"/>
      <c r="XFD138" s="1"/>
    </row>
    <row r="139" spans="1:30 16384:16384">
      <c r="A139" s="1" t="s">
        <v>127</v>
      </c>
      <c r="B139" s="1" t="s">
        <v>82</v>
      </c>
      <c r="C139" s="1" t="b">
        <f t="shared" si="16"/>
        <v>1</v>
      </c>
      <c r="D139" s="1" t="b">
        <f>FALSE()</f>
        <v>0</v>
      </c>
      <c r="E139" s="1">
        <v>0</v>
      </c>
      <c r="G139" s="1" t="b">
        <f>角色属性!AK13</f>
        <v>1</v>
      </c>
      <c r="H139" s="27">
        <v>1</v>
      </c>
      <c r="V139" s="23">
        <f>VALUE(IF(全局设置!$D$2,WPS奇穴数据!O24,Excel奇穴数据!O24))</f>
        <v>0.3</v>
      </c>
      <c r="AD139" s="27"/>
      <c r="XFD139" s="1"/>
    </row>
    <row r="140" spans="1:30 16384:16384">
      <c r="A140" s="1" t="s">
        <v>588</v>
      </c>
      <c r="B140" s="1" t="s">
        <v>655</v>
      </c>
      <c r="C140" s="1" t="b">
        <f t="shared" si="16"/>
        <v>1</v>
      </c>
      <c r="D140" s="1" t="b">
        <f t="shared" ref="D140:D148" si="17">TRUE()</f>
        <v>1</v>
      </c>
      <c r="E140" s="1">
        <v>0</v>
      </c>
      <c r="G140" s="1" t="b">
        <f ca="1">角色属性!Z45</f>
        <v>0</v>
      </c>
      <c r="H140" s="27">
        <v>1</v>
      </c>
      <c r="M140" s="1">
        <f>常更新数据!F38</f>
        <v>1350</v>
      </c>
      <c r="R140" s="1">
        <f>M140</f>
        <v>1350</v>
      </c>
      <c r="AD140" s="27"/>
      <c r="XFD140" s="1"/>
    </row>
    <row r="141" spans="1:30 16384:16384">
      <c r="A141" s="1" t="s">
        <v>588</v>
      </c>
      <c r="B141" s="1" t="s">
        <v>656</v>
      </c>
      <c r="C141" s="1" t="b">
        <f t="shared" si="16"/>
        <v>1</v>
      </c>
      <c r="D141" s="1" t="b">
        <f t="shared" si="17"/>
        <v>1</v>
      </c>
      <c r="E141" s="1">
        <v>0</v>
      </c>
      <c r="G141" s="1" t="b">
        <f ca="1">角色属性!Z46</f>
        <v>0</v>
      </c>
      <c r="H141" s="27">
        <v>1</v>
      </c>
      <c r="M141" s="1">
        <f ca="1">IF(角色属性!V20*常更新数据!AE32&lt;常更新数据!AE33*角色属性!V23,常更新数据!F39,0)</f>
        <v>0</v>
      </c>
      <c r="R141" s="1">
        <f ca="1">IF(角色属性!V20*常更新数据!AE32&gt;=常更新数据!AE33*角色属性!V23,常更新数据!F39,0)</f>
        <v>18561</v>
      </c>
      <c r="AD141" s="27"/>
      <c r="XFD141" s="1"/>
    </row>
    <row r="142" spans="1:30 16384:16384">
      <c r="A142" s="1" t="s">
        <v>588</v>
      </c>
      <c r="B142" s="1" t="s">
        <v>657</v>
      </c>
      <c r="C142" s="1" t="b">
        <f t="shared" si="16"/>
        <v>1</v>
      </c>
      <c r="D142" s="1" t="b">
        <f t="shared" si="17"/>
        <v>1</v>
      </c>
      <c r="E142" s="1">
        <v>0</v>
      </c>
      <c r="G142" s="1" t="b">
        <f ca="1">角色属性!Z47</f>
        <v>1</v>
      </c>
      <c r="H142" s="27">
        <v>1</v>
      </c>
      <c r="T142" s="1">
        <f>常更新数据!F40</f>
        <v>3857</v>
      </c>
      <c r="AD142" s="27"/>
      <c r="XFD142" s="1"/>
    </row>
    <row r="143" spans="1:30 16384:16384">
      <c r="A143" s="1" t="s">
        <v>588</v>
      </c>
      <c r="B143" s="1" t="s">
        <v>659</v>
      </c>
      <c r="C143" s="1" t="b">
        <f t="shared" si="16"/>
        <v>1</v>
      </c>
      <c r="D143" s="1" t="b">
        <f t="shared" si="17"/>
        <v>1</v>
      </c>
      <c r="E143" s="1">
        <v>0</v>
      </c>
      <c r="G143" s="1" t="b">
        <f ca="1">角色属性!Z48</f>
        <v>0</v>
      </c>
      <c r="H143" s="27">
        <v>1</v>
      </c>
      <c r="M143" s="1">
        <f>IF(AH34,常更新数据!F41,0)</f>
        <v>23540</v>
      </c>
      <c r="U143" s="23">
        <f>IF(AH34,0,常更新数据!G41)</f>
        <v>0</v>
      </c>
      <c r="AD143" s="27"/>
      <c r="XFD143" s="1"/>
    </row>
    <row r="144" spans="1:30 16384:16384">
      <c r="A144" s="1" t="s">
        <v>588</v>
      </c>
      <c r="B144" s="1" t="s">
        <v>660</v>
      </c>
      <c r="C144" s="1" t="b">
        <f t="shared" si="16"/>
        <v>1</v>
      </c>
      <c r="D144" s="1" t="b">
        <f t="shared" si="17"/>
        <v>1</v>
      </c>
      <c r="E144" s="1">
        <v>0</v>
      </c>
      <c r="G144" s="1" t="b">
        <f ca="1">角色属性!Z49</f>
        <v>0</v>
      </c>
      <c r="H144" s="27">
        <v>1</v>
      </c>
      <c r="R144" s="1">
        <f>IF(AH34,常更新数据!F42,0)</f>
        <v>23540</v>
      </c>
      <c r="U144" s="23">
        <f>IF(AH34,0,常更新数据!G42)</f>
        <v>0</v>
      </c>
      <c r="AD144" s="27"/>
      <c r="XFD144" s="1"/>
    </row>
    <row r="145" spans="1:30 16384:16384">
      <c r="A145" s="1" t="s">
        <v>588</v>
      </c>
      <c r="B145" s="1" t="s">
        <v>662</v>
      </c>
      <c r="C145" s="1" t="b">
        <f t="shared" si="16"/>
        <v>1</v>
      </c>
      <c r="D145" s="1" t="b">
        <f t="shared" si="17"/>
        <v>1</v>
      </c>
      <c r="E145" s="1">
        <v>0</v>
      </c>
      <c r="G145" s="1" t="b">
        <f ca="1">角色属性!Z50</f>
        <v>1</v>
      </c>
      <c r="H145" s="27">
        <v>1</v>
      </c>
      <c r="M145" s="1">
        <f ca="1">常更新数据!F43*角色属性!AA50</f>
        <v>3856</v>
      </c>
      <c r="AD145" s="27"/>
      <c r="XFD145" s="1"/>
    </row>
    <row r="146" spans="1:30 16384:16384">
      <c r="A146" s="1" t="s">
        <v>588</v>
      </c>
      <c r="B146" s="1" t="s">
        <v>664</v>
      </c>
      <c r="C146" s="1" t="b">
        <f t="shared" si="16"/>
        <v>1</v>
      </c>
      <c r="D146" s="1" t="b">
        <f t="shared" si="17"/>
        <v>1</v>
      </c>
      <c r="E146" s="1">
        <v>0</v>
      </c>
      <c r="G146" s="1" t="b">
        <f ca="1">角色属性!Z51</f>
        <v>0</v>
      </c>
      <c r="H146" s="27">
        <v>1</v>
      </c>
      <c r="R146" s="1">
        <f ca="1">常更新数据!F45*角色属性!AA51</f>
        <v>0</v>
      </c>
      <c r="AD146" s="27"/>
      <c r="XFD146" s="1"/>
    </row>
    <row r="147" spans="1:30 16384:16384">
      <c r="A147" s="1" t="s">
        <v>588</v>
      </c>
      <c r="B147" s="1" t="s">
        <v>665</v>
      </c>
      <c r="C147" s="1" t="b">
        <f t="shared" si="16"/>
        <v>1</v>
      </c>
      <c r="D147" s="1" t="b">
        <f t="shared" si="17"/>
        <v>1</v>
      </c>
      <c r="E147" s="1">
        <v>0</v>
      </c>
      <c r="G147" s="1" t="b">
        <f ca="1">角色属性!Z52</f>
        <v>0</v>
      </c>
      <c r="H147" s="27">
        <v>1</v>
      </c>
      <c r="W147" s="1">
        <f ca="1">常更新数据!F44*角色属性!AA52</f>
        <v>0</v>
      </c>
      <c r="AD147" s="27"/>
      <c r="XFD147" s="1"/>
    </row>
    <row r="148" spans="1:30 16384:16384">
      <c r="A148" s="1" t="s">
        <v>588</v>
      </c>
      <c r="B148" s="1" t="s">
        <v>666</v>
      </c>
      <c r="C148" s="1" t="b">
        <f t="shared" si="16"/>
        <v>1</v>
      </c>
      <c r="D148" s="1" t="b">
        <f t="shared" si="17"/>
        <v>1</v>
      </c>
      <c r="E148" s="1">
        <v>0</v>
      </c>
      <c r="G148" s="1" t="b">
        <f ca="1">角色属性!Z53</f>
        <v>0</v>
      </c>
      <c r="H148" s="27">
        <v>1</v>
      </c>
      <c r="T148" s="1">
        <f ca="1">角色属性!AA53*常更新数据!F46</f>
        <v>0</v>
      </c>
      <c r="AD148" s="27"/>
      <c r="XFD148" s="1"/>
    </row>
    <row r="149" spans="1:30 16384:16384">
      <c r="A149" s="1" t="s">
        <v>588</v>
      </c>
      <c r="B149" s="1" t="s">
        <v>673</v>
      </c>
      <c r="C149" s="1" t="b">
        <f t="shared" si="16"/>
        <v>1</v>
      </c>
      <c r="D149" s="1" t="b">
        <f t="shared" ref="D149:D157" si="18">TRUE()</f>
        <v>1</v>
      </c>
      <c r="E149" s="1">
        <v>0</v>
      </c>
      <c r="G149" s="1" t="b">
        <f ca="1">角色属性!Z56</f>
        <v>0</v>
      </c>
      <c r="H149" s="56">
        <v>1</v>
      </c>
      <c r="M149" s="1">
        <f>常更新数据!F50</f>
        <v>1155</v>
      </c>
      <c r="R149" s="1">
        <f>常更新数据!G50</f>
        <v>1155</v>
      </c>
      <c r="AD149" s="27"/>
      <c r="XFD149" s="1"/>
    </row>
    <row r="150" spans="1:30 16384:16384">
      <c r="A150" s="1" t="s">
        <v>588</v>
      </c>
      <c r="B150" s="1" t="s">
        <v>674</v>
      </c>
      <c r="C150" s="1" t="b">
        <f t="shared" si="16"/>
        <v>1</v>
      </c>
      <c r="D150" s="1" t="b">
        <f t="shared" si="18"/>
        <v>1</v>
      </c>
      <c r="E150" s="1">
        <v>0</v>
      </c>
      <c r="G150" s="1" t="b">
        <f ca="1">角色属性!Z57</f>
        <v>0</v>
      </c>
      <c r="H150" s="27">
        <v>1</v>
      </c>
      <c r="M150" s="1">
        <f>常更新数据!F51/3</f>
        <v>4084.66666666667</v>
      </c>
      <c r="R150" s="1">
        <f>M150</f>
        <v>4084.66666666667</v>
      </c>
      <c r="W150" s="1">
        <f>M150</f>
        <v>4084.66666666667</v>
      </c>
      <c r="AD150" s="27"/>
      <c r="XFD150" s="1"/>
    </row>
    <row r="151" spans="1:30 16384:16384">
      <c r="A151" s="1" t="s">
        <v>588</v>
      </c>
      <c r="B151" s="1" t="s">
        <v>675</v>
      </c>
      <c r="C151" s="1" t="b">
        <f t="shared" si="16"/>
        <v>1</v>
      </c>
      <c r="D151" s="1" t="b">
        <f t="shared" si="18"/>
        <v>1</v>
      </c>
      <c r="E151" s="1">
        <v>0</v>
      </c>
      <c r="G151" s="1" t="b">
        <f ca="1">角色属性!Z58</f>
        <v>0</v>
      </c>
      <c r="H151" s="27">
        <v>1</v>
      </c>
      <c r="T151" s="1">
        <f>常更新数据!F52</f>
        <v>3301</v>
      </c>
      <c r="AD151" s="27"/>
      <c r="XFD151" s="1"/>
    </row>
    <row r="152" spans="1:30 16384:16384">
      <c r="A152" s="1" t="s">
        <v>588</v>
      </c>
      <c r="B152" s="1" t="s">
        <v>676</v>
      </c>
      <c r="C152" s="1" t="b">
        <f t="shared" si="16"/>
        <v>1</v>
      </c>
      <c r="D152" s="1" t="b">
        <f t="shared" si="18"/>
        <v>1</v>
      </c>
      <c r="E152" s="1">
        <v>0</v>
      </c>
      <c r="G152" s="1" t="b">
        <f ca="1">角色属性!Z59</f>
        <v>0</v>
      </c>
      <c r="H152" s="27">
        <v>1</v>
      </c>
      <c r="M152" s="1">
        <f>IF(AH34,常更新数据!F53,0)</f>
        <v>20148</v>
      </c>
      <c r="U152" s="23">
        <f>IF(AH34,0,常更新数据!G53)</f>
        <v>0</v>
      </c>
      <c r="AD152" s="27"/>
    </row>
    <row r="153" spans="1:30 16384:16384">
      <c r="A153" s="1" t="s">
        <v>588</v>
      </c>
      <c r="B153" s="1" t="s">
        <v>677</v>
      </c>
      <c r="C153" s="1" t="b">
        <f t="shared" si="16"/>
        <v>1</v>
      </c>
      <c r="D153" s="1" t="b">
        <f t="shared" si="18"/>
        <v>1</v>
      </c>
      <c r="E153" s="1">
        <v>0</v>
      </c>
      <c r="G153" s="1" t="b">
        <f ca="1">角色属性!Z60</f>
        <v>0</v>
      </c>
      <c r="H153" s="27">
        <v>1</v>
      </c>
      <c r="R153" s="1">
        <f>IF(AH34,常更新数据!F54,0)</f>
        <v>20148</v>
      </c>
      <c r="U153" s="23">
        <f>IF(AH34,0,常更新数据!G54)</f>
        <v>0</v>
      </c>
      <c r="AD153" s="27"/>
    </row>
    <row r="154" spans="1:30 16384:16384">
      <c r="A154" s="1" t="s">
        <v>588</v>
      </c>
      <c r="B154" s="1" t="s">
        <v>678</v>
      </c>
      <c r="C154" s="1" t="b">
        <f t="shared" si="16"/>
        <v>1</v>
      </c>
      <c r="D154" s="1" t="b">
        <f t="shared" si="18"/>
        <v>1</v>
      </c>
      <c r="E154" s="1">
        <v>0</v>
      </c>
      <c r="G154" s="1" t="b">
        <f ca="1">角色属性!Z61</f>
        <v>0</v>
      </c>
      <c r="H154" s="27">
        <v>1</v>
      </c>
      <c r="M154" s="1">
        <f ca="1">常更新数据!F55*角色属性!AA61</f>
        <v>0</v>
      </c>
      <c r="AD154" s="27"/>
    </row>
    <row r="155" spans="1:30 16384:16384">
      <c r="A155" s="1" t="s">
        <v>588</v>
      </c>
      <c r="B155" s="1" t="s">
        <v>681</v>
      </c>
      <c r="C155" s="1" t="b">
        <f t="shared" si="16"/>
        <v>1</v>
      </c>
      <c r="D155" s="1" t="b">
        <f t="shared" si="18"/>
        <v>1</v>
      </c>
      <c r="E155" s="1">
        <v>0</v>
      </c>
      <c r="G155" s="1" t="b">
        <f ca="1">角色属性!Z64</f>
        <v>0</v>
      </c>
      <c r="H155" s="27">
        <v>1</v>
      </c>
      <c r="T155" s="1">
        <f ca="1">角色属性!AA64*常更新数据!F58</f>
        <v>0</v>
      </c>
      <c r="AD155" s="27"/>
    </row>
    <row r="156" spans="1:30 16384:16384">
      <c r="A156" s="1" t="s">
        <v>588</v>
      </c>
      <c r="B156" s="1" t="s">
        <v>679</v>
      </c>
      <c r="C156" s="1" t="b">
        <f t="shared" si="16"/>
        <v>1</v>
      </c>
      <c r="D156" s="1" t="b">
        <f t="shared" si="18"/>
        <v>1</v>
      </c>
      <c r="E156" s="1">
        <v>0</v>
      </c>
      <c r="G156" s="1" t="b">
        <f ca="1">角色属性!Z62</f>
        <v>0</v>
      </c>
      <c r="H156" s="27">
        <v>1</v>
      </c>
      <c r="R156" s="1">
        <f ca="1">常更新数据!F56*角色属性!AA62</f>
        <v>0</v>
      </c>
      <c r="AD156" s="27"/>
    </row>
    <row r="157" spans="1:30 16384:16384">
      <c r="A157" s="1" t="s">
        <v>588</v>
      </c>
      <c r="B157" s="1" t="s">
        <v>680</v>
      </c>
      <c r="C157" s="1" t="b">
        <f t="shared" si="16"/>
        <v>1</v>
      </c>
      <c r="D157" s="1" t="b">
        <f t="shared" si="18"/>
        <v>1</v>
      </c>
      <c r="E157" s="1">
        <v>0</v>
      </c>
      <c r="G157" s="1" t="b">
        <f ca="1">角色属性!Z63</f>
        <v>0</v>
      </c>
      <c r="H157" s="27">
        <v>1</v>
      </c>
      <c r="W157" s="1">
        <f ca="1">常更新数据!F57*角色属性!AA63</f>
        <v>0</v>
      </c>
      <c r="AD157" s="27"/>
    </row>
  </sheetData>
  <dataValidations count="2">
    <dataValidation type="list" allowBlank="1" showInputMessage="1" showErrorMessage="1" sqref="A2:A157">
      <formula1>"奇穴,心法,奶增益,T增益,套装效果,小吃,宴席,小药,家园,熔锭,秘籍,扇子,稀有,香水,附魔,阵眼,招式,称号"</formula1>
    </dataValidation>
    <dataValidation allowBlank="1" showInputMessage="1" showErrorMessage="1" sqref="AH25:AH27"/>
  </dataValidations>
  <pageMargins left="0.75" right="0.75" top="1" bottom="1" header="0.5" footer="0.5"/>
  <headerFooter/>
  <legacy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W35"/>
  <sheetViews>
    <sheetView workbookViewId="0">
      <selection activeCell="M15" sqref="M15"/>
    </sheetView>
  </sheetViews>
  <sheetFormatPr defaultColWidth="9" defaultRowHeight="14.25"/>
  <cols>
    <col min="1" max="1" width="11.125" style="1" customWidth="1"/>
    <col min="2" max="2" width="11.125" style="1"/>
    <col min="3" max="3" width="9" style="1"/>
    <col min="4" max="4" width="11.125" style="1"/>
    <col min="5" max="6" width="9" style="1"/>
    <col min="7" max="7" width="11.125" style="23"/>
    <col min="8" max="8" width="9" style="1"/>
    <col min="9" max="9" width="11.125" style="23"/>
    <col min="10" max="10" width="9.75" style="1" customWidth="1"/>
    <col min="11" max="11" width="10.375" style="1" customWidth="1"/>
    <col min="12" max="12" width="11.125" style="23"/>
    <col min="13" max="13" width="11.125" style="1"/>
    <col min="14" max="15" width="11.125" style="23"/>
    <col min="16" max="16" width="11.125" style="1"/>
    <col min="17" max="17" width="9" style="1"/>
    <col min="18" max="18" width="11.125" style="23"/>
    <col min="19" max="20" width="9" style="23"/>
    <col min="21" max="21" width="12" style="23"/>
    <col min="22" max="22" width="9" style="1"/>
    <col min="23" max="23" width="10.125" style="1"/>
    <col min="24" max="16384" width="9" style="1"/>
  </cols>
  <sheetData>
    <row r="1" spans="1:23">
      <c r="A1" s="12" t="s">
        <v>797</v>
      </c>
      <c r="B1" s="1" t="s">
        <v>801</v>
      </c>
      <c r="C1" s="27" t="s">
        <v>802</v>
      </c>
      <c r="D1" s="1" t="s">
        <v>803</v>
      </c>
      <c r="E1" s="23" t="s">
        <v>804</v>
      </c>
      <c r="F1" s="1" t="s">
        <v>805</v>
      </c>
      <c r="G1" s="23" t="s">
        <v>806</v>
      </c>
      <c r="H1" s="1" t="s">
        <v>807</v>
      </c>
      <c r="I1" s="23" t="s">
        <v>808</v>
      </c>
      <c r="J1" s="1" t="s">
        <v>809</v>
      </c>
      <c r="K1" s="1" t="s">
        <v>810</v>
      </c>
      <c r="L1" s="23" t="s">
        <v>811</v>
      </c>
      <c r="M1" s="1" t="s">
        <v>812</v>
      </c>
      <c r="N1" s="23" t="s">
        <v>813</v>
      </c>
      <c r="O1" s="23" t="s">
        <v>814</v>
      </c>
      <c r="P1" s="1" t="s">
        <v>815</v>
      </c>
      <c r="Q1" s="1" t="s">
        <v>816</v>
      </c>
      <c r="R1" s="23" t="s">
        <v>817</v>
      </c>
      <c r="S1" s="23" t="s">
        <v>818</v>
      </c>
      <c r="T1" s="23" t="s">
        <v>819</v>
      </c>
      <c r="U1" s="23" t="s">
        <v>820</v>
      </c>
      <c r="V1" s="23" t="s">
        <v>821</v>
      </c>
      <c r="W1" s="1" t="s">
        <v>822</v>
      </c>
    </row>
    <row r="2" spans="1:23">
      <c r="A2" s="12">
        <v>0</v>
      </c>
      <c r="B2" s="1" cm="1">
        <f ca="1" t="array" ref="B2">SUMPRODUCT((增益数据表[增益等级]=A2)*(增益数据表[是否激活]=TRUE())*IF(全局设置!$H$2,增益数据表[端游可用]=TRUE(),增益数据表[无界可用]=TRUE()),增益数据表[根骨等级],增益数据表[覆盖率])</f>
        <v>317</v>
      </c>
      <c r="C2" s="1" cm="1">
        <f ca="1" t="array" ref="C2">SUMPRODUCT((增益数据表[增益等级]=A2)*(增益数据表[是否激活]=TRUE())*IF(全局设置!$H$2,增益数据表[端游可用]=TRUE(),增益数据表[无界可用]=TRUE()),增益数据表[根骨提高],增益数据表[覆盖率])</f>
        <v>0</v>
      </c>
      <c r="D2" s="1" cm="1">
        <f ca="1" t="array" ref="D2">SUMPRODUCT((增益数据表[增益等级]=A2)*(增益数据表[是否激活]=TRUE())*IF(全局设置!$H$2,增益数据表[端游可用]=TRUE(),增益数据表[无界可用]=TRUE()),增益数据表[攻击等级],增益数据表[覆盖率])</f>
        <v>58</v>
      </c>
      <c r="E2" s="1" cm="1">
        <f ca="1" t="array" ref="E2">SUMPRODUCT((增益数据表[增益等级]=A2)*(增益数据表[是否激活]=TRUE())*IF(全局设置!$H$2,增益数据表[端游可用]=TRUE(),增益数据表[无界可用]=TRUE()),增益数据表[攻击提高],增益数据表[覆盖率])</f>
        <v>0.15</v>
      </c>
      <c r="F2" s="1" cm="1">
        <f ca="1" t="array" ref="F2">SUMPRODUCT((增益数据表[增益等级]=A2)*(增益数据表[是否激活]=TRUE())*IF(全局设置!$H$2,增益数据表[端游可用]=TRUE(),增益数据表[无界可用]=TRUE()),增益数据表[会心等级],增益数据表[覆盖率])</f>
        <v>3856</v>
      </c>
      <c r="G2" s="1" cm="1">
        <f ca="1" t="array" ref="G2">SUMPRODUCT((增益数据表[增益等级]=A2)*(增益数据表[是否激活]=TRUE())*IF(全局设置!$H$2,增益数据表[端游可用]=TRUE(),增益数据表[无界可用]=TRUE()),增益数据表[会心提高],增益数据表[覆盖率])</f>
        <v>0.05</v>
      </c>
      <c r="H2" s="1" cm="1">
        <f ca="1" t="array" ref="H2">SUMPRODUCT((增益数据表[增益等级]=A2)*(增益数据表[是否激活]=TRUE())*IF(全局设置!$H$2,增益数据表[端游可用]=TRUE(),增益数据表[无界可用]=TRUE()),增益数据表[会效等级],增益数据表[覆盖率])</f>
        <v>0</v>
      </c>
      <c r="I2" s="1" cm="1">
        <f ca="1" t="array" ref="I2">SUMPRODUCT((增益数据表[增益等级]=A2)*(增益数据表[是否激活]=TRUE())*IF(全局设置!$H$2,增益数据表[端游可用]=TRUE(),增益数据表[无界可用]=TRUE()),增益数据表[会效提高],增益数据表[覆盖率])</f>
        <v>0.2</v>
      </c>
      <c r="J2" s="1" cm="1">
        <f ca="1" t="array" ref="J2">SUMPRODUCT((增益数据表[增益等级]=A2)*(增益数据表[是否激活]=TRUE())*IF(全局设置!$H$2,增益数据表[端游可用]=TRUE(),增益数据表[无界可用]=TRUE()),增益数据表[加速等级],增益数据表[覆盖率])</f>
        <v>0</v>
      </c>
      <c r="K2" s="1" cm="1">
        <f ca="1" t="array" ref="K2">SUMPRODUCT((增益数据表[增益等级]=A2)*(增益数据表[是否激活]=TRUE())*IF(全局设置!$H$2,增益数据表[端游可用]=TRUE(),增益数据表[无界可用]=TRUE()),增益数据表[破防等级],增益数据表[覆盖率])</f>
        <v>0</v>
      </c>
      <c r="L2" s="1" cm="1">
        <f ca="1" t="array" ref="L2">SUMPRODUCT((增益数据表[增益等级]=A2)*(增益数据表[是否激活]=TRUE())*IF(全局设置!$H$2,增益数据表[端游可用]=TRUE(),增益数据表[无界可用]=TRUE()),增益数据表[破防提高],增益数据表[覆盖率])</f>
        <v>0</v>
      </c>
      <c r="M2" s="1" cm="1">
        <f ca="1" t="array" ref="M2">SUMPRODUCT((增益数据表[增益等级]=A2)*(增益数据表[是否激活]=TRUE())*IF(全局设置!$H$2,增益数据表[端游可用]=TRUE(),增益数据表[无界可用]=TRUE()),增益数据表[无双等级],增益数据表[覆盖率])</f>
        <v>10062</v>
      </c>
      <c r="N2" s="1" cm="1">
        <f ca="1" t="array" ref="N2">SUMPRODUCT((增益数据表[增益等级]=A2)*(增益数据表[是否激活]=TRUE())*IF(全局设置!$H$2,增益数据表[端游可用]=TRUE(),增益数据表[无界可用]=TRUE()),增益数据表[无双提高],增益数据表[覆盖率])</f>
        <v>0</v>
      </c>
      <c r="O2" s="1" cm="1">
        <f ca="1" t="array" ref="O2">SUMPRODUCT((增益数据表[增益等级]=A2)*(增益数据表[是否激活]=TRUE())*IF(全局设置!$H$2,增益数据表[端游可用]=TRUE(),增益数据表[无界可用]=TRUE()),增益数据表[无双乘算],增益数据表[覆盖率])</f>
        <v>0.3</v>
      </c>
      <c r="P2" s="1" cm="1">
        <f ca="1" t="array" ref="P2">SUMPRODUCT((增益数据表[增益等级]=A2)*(增益数据表[是否激活]=TRUE())*IF(全局设置!$H$2,增益数据表[端游可用]=TRUE(),增益数据表[无界可用]=TRUE()),增益数据表[破招等级],增益数据表[覆盖率])</f>
        <v>0</v>
      </c>
      <c r="Q2" s="1" cm="1">
        <f ca="1" t="array" ref="Q2">SUMPRODUCT((增益数据表[增益等级]=A2)*(增益数据表[是否激活]=TRUE())*IF(全局设置!$H$2,增益数据表[端游可用]=TRUE(),增益数据表[无界可用]=TRUE()),增益数据表[破招提高],增益数据表[覆盖率])</f>
        <v>0</v>
      </c>
      <c r="R2" s="1" cm="1">
        <f ca="1" t="array" ref="R2">SUMPRODUCT((增益数据表[增益等级]=A2)*(增益数据表[是否激活]=TRUE())*IF(全局设置!$H$2,增益数据表[端游可用]=TRUE(),增益数据表[无界可用]=TRUE()),增益数据表[增伤],增益数据表[覆盖率])</f>
        <v>0</v>
      </c>
      <c r="S2" s="1" cm="1">
        <f ca="1" t="array" ref="S2">SUMPRODUCT((增益数据表[增益等级]=A2)*(增益数据表[是否激活]=TRUE())*IF(全局设置!$H$2,增益数据表[端游可用]=TRUE(),增益数据表[无界可用]=TRUE()),增益数据表[易伤],增益数据表[覆盖率])</f>
        <v>0</v>
      </c>
      <c r="T2" s="1" cm="1">
        <f ca="1" t="array" ref="T2">SUMPRODUCT((增益数据表[增益等级]=A2)*(增益数据表[是否激活]=TRUE())*IF(全局设置!$H$2,增益数据表[端游可用]=TRUE(),增益数据表[无界可用]=TRUE()),增益数据表[降低防御],增益数据表[覆盖率])</f>
        <v>0</v>
      </c>
      <c r="U2" s="1" cm="1">
        <f ca="1" t="array" ref="U2">SUMPRODUCT((增益数据表[增益等级]=A2)*(增益数据表[是否激活]=TRUE())*IF(全局设置!$H$2,增益数据表[端游可用]=TRUE(),增益数据表[无界可用]=TRUE()),增益数据表[无视防御],增益数据表[覆盖率])</f>
        <v>0.5</v>
      </c>
      <c r="V2" s="1" cm="1">
        <f ca="1" t="array" ref="V2">SUMPRODUCT((增益数据表[增益等级]=A2)*(增益数据表[是否激活]=TRUE())*IF(全局设置!$H$2,增益数据表[端游可用]=TRUE(),增益数据表[无界可用]=TRUE()),增益数据表[独立增伤],增益数据表[覆盖率])</f>
        <v>0</v>
      </c>
      <c r="W2" s="1" cm="1">
        <f ca="1" t="array" ref="W2">SUMPRODUCT((增益数据表[增益等级]=A2)*(增益数据表[是否激活]=TRUE())*IF(全局设置!$H$2,增益数据表[端游可用]=TRUE(),增益数据表[无界可用]=TRUE()),增益数据表[最终增伤],增益数据表[覆盖率])</f>
        <v>0.0791624882395013</v>
      </c>
    </row>
    <row r="3" spans="1:23">
      <c r="A3" s="12">
        <v>1</v>
      </c>
      <c r="B3" s="1" cm="1">
        <f ca="1" t="array" ref="B3">SUMPRODUCT((增益数据表[增益等级]=A3)*(增益数据表[是否激活]=TRUE())*IF(全局设置!$H$2,增益数据表[端游可用]=TRUE(),增益数据表[无界可用]=TRUE()),增益数据表[根骨等级],增益数据表[覆盖率])</f>
        <v>0</v>
      </c>
      <c r="C3" s="1" cm="1">
        <f ca="1" t="array" ref="C3">SUMPRODUCT((增益数据表[增益等级]=A3)*(增益数据表[是否激活]=TRUE())*IF(全局设置!$H$2,增益数据表[端游可用]=TRUE(),增益数据表[无界可用]=TRUE()),增益数据表[根骨提高],增益数据表[覆盖率])</f>
        <v>0</v>
      </c>
      <c r="D3" s="1" cm="1">
        <f ca="1" t="array" ref="D3">SUMPRODUCT((增益数据表[增益等级]=A3)*(增益数据表[是否激活]=TRUE())*IF(全局设置!$H$2,增益数据表[端游可用]=TRUE(),增益数据表[无界可用]=TRUE()),增益数据表[攻击等级],增益数据表[覆盖率])</f>
        <v>0</v>
      </c>
      <c r="E3" s="1" cm="1">
        <f ca="1" t="array" ref="E3">SUMPRODUCT((增益数据表[增益等级]=A3)*(增益数据表[是否激活]=TRUE())*IF(全局设置!$H$2,增益数据表[端游可用]=TRUE(),增益数据表[无界可用]=TRUE()),增益数据表[攻击提高],增益数据表[覆盖率])</f>
        <v>0.45</v>
      </c>
      <c r="F3" s="1" cm="1">
        <f ca="1" t="array" ref="F3">SUMPRODUCT((增益数据表[增益等级]=A3)*(增益数据表[是否激活]=TRUE())*IF(全局设置!$H$2,增益数据表[端游可用]=TRUE(),增益数据表[无界可用]=TRUE()),增益数据表[会心等级],增益数据表[覆盖率])</f>
        <v>0</v>
      </c>
      <c r="G3" s="1" cm="1">
        <f ca="1" t="array" ref="G3">SUMPRODUCT((增益数据表[增益等级]=A3)*(增益数据表[是否激活]=TRUE())*IF(全局设置!$H$2,增益数据表[端游可用]=TRUE(),增益数据表[无界可用]=TRUE()),增益数据表[会心提高],增益数据表[覆盖率])</f>
        <v>0</v>
      </c>
      <c r="H3" s="1" cm="1">
        <f ca="1" t="array" ref="H3">SUMPRODUCT((增益数据表[增益等级]=A3)*(增益数据表[是否激活]=TRUE())*IF(全局设置!$H$2,增益数据表[端游可用]=TRUE(),增益数据表[无界可用]=TRUE()),增益数据表[会效等级],增益数据表[覆盖率])</f>
        <v>0</v>
      </c>
      <c r="I3" s="1" cm="1">
        <f ca="1" t="array" ref="I3">SUMPRODUCT((增益数据表[增益等级]=A3)*(增益数据表[是否激活]=TRUE())*IF(全局设置!$H$2,增益数据表[端游可用]=TRUE(),增益数据表[无界可用]=TRUE()),增益数据表[会效提高],增益数据表[覆盖率])</f>
        <v>0</v>
      </c>
      <c r="J3" s="1" cm="1">
        <f ca="1" t="array" ref="J3">SUMPRODUCT((增益数据表[增益等级]=A3)*(增益数据表[是否激活]=TRUE())*IF(全局设置!$H$2,增益数据表[端游可用]=TRUE(),增益数据表[无界可用]=TRUE()),增益数据表[加速等级],增益数据表[覆盖率])</f>
        <v>0</v>
      </c>
      <c r="K3" s="1" cm="1">
        <f ca="1" t="array" ref="K3">SUMPRODUCT((增益数据表[增益等级]=A3)*(增益数据表[是否激活]=TRUE())*IF(全局设置!$H$2,增益数据表[端游可用]=TRUE(),增益数据表[无界可用]=TRUE()),增益数据表[破防等级],增益数据表[覆盖率])</f>
        <v>10759.5</v>
      </c>
      <c r="L3" s="1" cm="1">
        <f ca="1" t="array" ref="L3">SUMPRODUCT((增益数据表[增益等级]=A3)*(增益数据表[是否激活]=TRUE())*IF(全局设置!$H$2,增益数据表[端游可用]=TRUE(),增益数据表[无界可用]=TRUE()),增益数据表[破防提高],增益数据表[覆盖率])</f>
        <v>0</v>
      </c>
      <c r="M3" s="1" cm="1">
        <f ca="1" t="array" ref="M3">SUMPRODUCT((增益数据表[增益等级]=A3)*(增益数据表[是否激活]=TRUE())*IF(全局设置!$H$2,增益数据表[端游可用]=TRUE(),增益数据表[无界可用]=TRUE()),增益数据表[无双等级],增益数据表[覆盖率])</f>
        <v>0</v>
      </c>
      <c r="N3" s="1" cm="1">
        <f ca="1" t="array" ref="N3">SUMPRODUCT((增益数据表[增益等级]=A3)*(增益数据表[是否激活]=TRUE())*IF(全局设置!$H$2,增益数据表[端游可用]=TRUE(),增益数据表[无界可用]=TRUE()),增益数据表[无双提高],增益数据表[覆盖率])</f>
        <v>0</v>
      </c>
      <c r="O3" s="1" cm="1">
        <f ca="1" t="array" ref="O3">SUMPRODUCT((增益数据表[增益等级]=A3)*(增益数据表[是否激活]=TRUE())*IF(全局设置!$H$2,增益数据表[端游可用]=TRUE(),增益数据表[无界可用]=TRUE()),增益数据表[无双乘算],增益数据表[覆盖率])</f>
        <v>0</v>
      </c>
      <c r="P3" s="1" cm="1">
        <f ca="1" t="array" ref="P3">SUMPRODUCT((增益数据表[增益等级]=A3)*(增益数据表[是否激活]=TRUE())*IF(全局设置!$H$2,增益数据表[端游可用]=TRUE(),增益数据表[无界可用]=TRUE()),增益数据表[破招等级],增益数据表[覆盖率])</f>
        <v>0</v>
      </c>
      <c r="Q3" s="1" cm="1">
        <f ca="1" t="array" ref="Q3">SUMPRODUCT((增益数据表[增益等级]=A3)*(增益数据表[是否激活]=TRUE())*IF(全局设置!$H$2,增益数据表[端游可用]=TRUE(),增益数据表[无界可用]=TRUE()),增益数据表[破招提高],增益数据表[覆盖率])</f>
        <v>0</v>
      </c>
      <c r="R3" s="1" cm="1">
        <f ca="1" t="array" ref="R3">SUMPRODUCT((增益数据表[增益等级]=A3)*(增益数据表[是否激活]=TRUE())*IF(全局设置!$H$2,增益数据表[端游可用]=TRUE(),增益数据表[无界可用]=TRUE()),增益数据表[增伤],增益数据表[覆盖率])</f>
        <v>0</v>
      </c>
      <c r="S3" s="1" cm="1">
        <f ca="1" t="array" ref="S3">SUMPRODUCT((增益数据表[增益等级]=A3)*(增益数据表[是否激活]=TRUE())*IF(全局设置!$H$2,增益数据表[端游可用]=TRUE(),增益数据表[无界可用]=TRUE()),增益数据表[易伤],增益数据表[覆盖率])</f>
        <v>0</v>
      </c>
      <c r="T3" s="1" cm="1">
        <f ca="1" t="array" ref="T3">SUMPRODUCT((增益数据表[增益等级]=A3)*(增益数据表[是否激活]=TRUE())*IF(全局设置!$H$2,增益数据表[端游可用]=TRUE(),增益数据表[无界可用]=TRUE()),增益数据表[降低防御],增益数据表[覆盖率])</f>
        <v>0</v>
      </c>
      <c r="U3" s="1" cm="1">
        <f ca="1" t="array" ref="U3">SUMPRODUCT((增益数据表[增益等级]=A3)*(增益数据表[是否激活]=TRUE())*IF(全局设置!$H$2,增益数据表[端游可用]=TRUE(),增益数据表[无界可用]=TRUE()),增益数据表[无视防御],增益数据表[覆盖率])</f>
        <v>-0.00543087396168662</v>
      </c>
      <c r="V3" s="1" cm="1">
        <f ca="1" t="array" ref="V3">SUMPRODUCT((增益数据表[增益等级]=A3)*(增益数据表[是否激活]=TRUE())*IF(全局设置!$H$2,增益数据表[端游可用]=TRUE(),增益数据表[无界可用]=TRUE()),增益数据表[独立增伤],增益数据表[覆盖率])</f>
        <v>0</v>
      </c>
      <c r="W3" s="1" cm="1">
        <f ca="1" t="array" ref="W3">SUMPRODUCT((增益数据表[增益等级]=A3)*(增益数据表[是否激活]=TRUE())*IF(全局设置!$H$2,增益数据表[端游可用]=TRUE(),增益数据表[无界可用]=TRUE()),增益数据表[最终增伤],增益数据表[覆盖率])</f>
        <v>0.0305555555555556</v>
      </c>
    </row>
    <row r="4" spans="1:23">
      <c r="A4" s="12">
        <v>2</v>
      </c>
      <c r="B4" s="1" cm="1">
        <f ca="1" t="array" ref="B4">IF(伤害计算!$C$1,SUMPRODUCT((增益数据表[增益等级]=A4)*(增益数据表[是否激活]=TRUE())*IF(全局设置!$H$2,增益数据表[端游可用]=TRUE(),增益数据表[无界可用]=TRUE()),增益数据表[根骨等级],增益数据表[覆盖率]),0)</f>
        <v>2226</v>
      </c>
      <c r="C4" s="1" cm="1">
        <f ca="1" t="array" ref="C4">IF(伤害计算!$C$1,SUMPRODUCT((增益数据表[增益等级]=A4)*(增益数据表[是否激活]=TRUE())*IF(全局设置!$H$2,增益数据表[端游可用]=TRUE(),增益数据表[无界可用]=TRUE()),增益数据表[根骨提高],增益数据表[覆盖率]),0)</f>
        <v>0</v>
      </c>
      <c r="D4" s="1" cm="1">
        <f ca="1" t="array" ref="D4">IF(伤害计算!$C$1,SUMPRODUCT((增益数据表[增益等级]=A4)*(增益数据表[是否激活]=TRUE())*IF(全局设置!$H$2,增益数据表[端游可用]=TRUE(),增益数据表[无界可用]=TRUE()),增益数据表[攻击等级],增益数据表[覆盖率]),0)</f>
        <v>2485</v>
      </c>
      <c r="E4" s="1" cm="1">
        <f ca="1" t="array" ref="E4">IF(伤害计算!$C$1,SUMPRODUCT((增益数据表[增益等级]=A4)*(增益数据表[是否激活]=TRUE())*IF(全局设置!$H$2,增益数据表[端游可用]=TRUE(),增益数据表[无界可用]=TRUE()),增益数据表[攻击提高],增益数据表[覆盖率]),0)</f>
        <v>0</v>
      </c>
      <c r="F4" s="1" cm="1">
        <f ca="1" t="array" ref="F4">IF(伤害计算!$C$1,SUMPRODUCT((增益数据表[增益等级]=A4)*(增益数据表[是否激活]=TRUE())*IF(全局设置!$H$2,增益数据表[端游可用]=TRUE(),增益数据表[无界可用]=TRUE()),增益数据表[会心等级],增益数据表[覆盖率]),0)</f>
        <v>24319</v>
      </c>
      <c r="G4" s="1" cm="1">
        <f ca="1" t="array" ref="G4">IF(伤害计算!$C$1,SUMPRODUCT((增益数据表[增益等级]=A4)*(增益数据表[是否激活]=TRUE())*IF(全局设置!$H$2,增益数据表[端游可用]=TRUE(),增益数据表[无界可用]=TRUE()),增益数据表[会心提高],增益数据表[覆盖率]),0)</f>
        <v>0</v>
      </c>
      <c r="H4" s="1" cm="1">
        <f ca="1" t="array" ref="H4">IF(伤害计算!$C$1,SUMPRODUCT((增益数据表[增益等级]=A4)*(增益数据表[是否激活]=TRUE())*IF(全局设置!$H$2,增益数据表[端游可用]=TRUE(),增益数据表[无界可用]=TRUE()),增益数据表[会效等级],增益数据表[覆盖率]),0)</f>
        <v>0</v>
      </c>
      <c r="I4" s="1" cm="1">
        <f ca="1" t="array" ref="I4">IF(伤害计算!$C$1,SUMPRODUCT((增益数据表[增益等级]=A4)*(增益数据表[是否激活]=TRUE())*IF(全局设置!$H$2,增益数据表[端游可用]=TRUE(),增益数据表[无界可用]=TRUE()),增益数据表[会效提高],增益数据表[覆盖率]),0)</f>
        <v>0</v>
      </c>
      <c r="J4" s="1" cm="1">
        <f ca="1" t="array" ref="J4">IF(伤害计算!$C$1,SUMPRODUCT((增益数据表[增益等级]=A4)*(增益数据表[是否激活]=TRUE())*IF(全局设置!$H$2,增益数据表[端游可用]=TRUE(),增益数据表[无界可用]=TRUE()),增益数据表[加速等级],增益数据表[覆盖率]),0)</f>
        <v>0</v>
      </c>
      <c r="K4" s="1" cm="1">
        <f ca="1" t="array" ref="K4">IF(伤害计算!$C$1,SUMPRODUCT((增益数据表[增益等级]=A4)*(增益数据表[是否激活]=TRUE())*IF(全局设置!$H$2,增益数据表[端游可用]=TRUE(),增益数据表[无界可用]=TRUE()),增益数据表[破防等级],增益数据表[覆盖率]),0)</f>
        <v>0</v>
      </c>
      <c r="L4" s="1" cm="1">
        <f ca="1" t="array" ref="L4">IF(伤害计算!$C$1,SUMPRODUCT((增益数据表[增益等级]=A4)*(增益数据表[是否激活]=TRUE())*IF(全局设置!$H$2,增益数据表[端游可用]=TRUE(),增益数据表[无界可用]=TRUE()),增益数据表[破防提高],增益数据表[覆盖率]),0)</f>
        <v>0</v>
      </c>
      <c r="M4" s="1" cm="1">
        <f ca="1" t="array" ref="M4">IF(伤害计算!$C$1,SUMPRODUCT((增益数据表[增益等级]=A4)*(增益数据表[是否激活]=TRUE())*IF(全局设置!$H$2,增益数据表[端游可用]=TRUE(),增益数据表[无界可用]=TRUE()),增益数据表[无双等级],增益数据表[覆盖率]),0)</f>
        <v>92494.8</v>
      </c>
      <c r="N4" s="1" cm="1">
        <f ca="1" t="array" ref="N4">IF(伤害计算!$C$1,SUMPRODUCT((增益数据表[增益等级]=A4)*(增益数据表[是否激活]=TRUE())*IF(全局设置!$H$2,增益数据表[端游可用]=TRUE(),增益数据表[无界可用]=TRUE()),增益数据表[无双提高],增益数据表[覆盖率]),0)</f>
        <v>0</v>
      </c>
      <c r="O4" s="1" cm="1">
        <f ca="1" t="array" ref="O4">IF(伤害计算!$C$1,SUMPRODUCT((增益数据表[增益等级]=A4)*(增益数据表[是否激活]=TRUE())*IF(全局设置!$H$2,增益数据表[端游可用]=TRUE(),增益数据表[无界可用]=TRUE()),增益数据表[无双乘算],增益数据表[覆盖率]),0)</f>
        <v>0</v>
      </c>
      <c r="P4" s="1" cm="1">
        <f ca="1" t="array" ref="P4">IF(伤害计算!$C$1,SUMPRODUCT((增益数据表[增益等级]=A4)*(增益数据表[是否激活]=TRUE())*IF(全局设置!$H$2,增益数据表[端游可用]=TRUE(),增益数据表[无界可用]=TRUE()),增益数据表[破招等级],增益数据表[覆盖率]),0)</f>
        <v>4747</v>
      </c>
      <c r="Q4" s="1" cm="1">
        <f ca="1" t="array" ref="Q4">IF(伤害计算!$C$1,SUMPRODUCT((增益数据表[增益等级]=A4)*(增益数据表[是否激活]=TRUE())*IF(全局设置!$H$2,增益数据表[端游可用]=TRUE(),增益数据表[无界可用]=TRUE()),增益数据表[破招提高],增益数据表[覆盖率]),0)</f>
        <v>0</v>
      </c>
      <c r="R4" s="1" cm="1">
        <f ca="1" t="array" ref="R4">IF(伤害计算!$C$1,SUMPRODUCT((增益数据表[增益等级]=A4)*(增益数据表[是否激活]=TRUE())*IF(全局设置!$H$2,增益数据表[端游可用]=TRUE(),增益数据表[无界可用]=TRUE()),增益数据表[增伤],增益数据表[覆盖率]),0)</f>
        <v>0</v>
      </c>
      <c r="S4" s="1" cm="1">
        <f ca="1" t="array" ref="S4">IF(伤害计算!$C$1,SUMPRODUCT((增益数据表[增益等级]=A4)*(增益数据表[是否激活]=TRUE())*IF(全局设置!$H$2,增益数据表[端游可用]=TRUE(),增益数据表[无界可用]=TRUE()),增益数据表[易伤],增益数据表[覆盖率]),0)</f>
        <v>0.02</v>
      </c>
      <c r="T4" s="1" cm="1">
        <f ca="1" t="array" ref="T4">IF(伤害计算!$C$1,SUMPRODUCT((增益数据表[增益等级]=A4)*(增益数据表[是否激活]=TRUE())*IF(全局设置!$H$2,增益数据表[端游可用]=TRUE(),增益数据表[无界可用]=TRUE()),增益数据表[降低防御],增益数据表[覆盖率]),0)</f>
        <v>0.15</v>
      </c>
      <c r="U4" s="1" cm="1">
        <f ca="1" t="array" ref="U4">IF(伤害计算!$C$1,SUMPRODUCT((增益数据表[增益等级]=A4)*(增益数据表[是否激活]=TRUE())*IF(全局设置!$H$2,增益数据表[端游可用]=TRUE(),增益数据表[无界可用]=TRUE()),增益数据表[无视防御],增益数据表[覆盖率]),0)</f>
        <v>0</v>
      </c>
      <c r="V4" s="1" cm="1">
        <f ca="1" t="array" ref="V4">IF(伤害计算!$C$1,SUMPRODUCT((增益数据表[增益等级]=A4)*(增益数据表[是否激活]=TRUE())*IF(全局设置!$H$2,增益数据表[端游可用]=TRUE(),增益数据表[无界可用]=TRUE()),增益数据表[独立增伤],增益数据表[覆盖率]),0)</f>
        <v>0</v>
      </c>
      <c r="W4" s="1" cm="1">
        <f ca="1" t="array" ref="W4">IF(伤害计算!$C$1,SUMPRODUCT((增益数据表[增益等级]=A4)*(增益数据表[是否激活]=TRUE())*IF(全局设置!$H$2,增益数据表[端游可用]=TRUE(),增益数据表[无界可用]=TRUE()),增益数据表[最终增伤],增益数据表[覆盖率]),0)</f>
        <v>0</v>
      </c>
    </row>
    <row r="5" spans="1:23">
      <c r="A5" s="1">
        <v>3</v>
      </c>
      <c r="B5" s="1" cm="1">
        <f ca="1" t="array" ref="B5">IF(伤害计算!$C$1,SUMPRODUCT((增益数据表[增益等级]=A5)*(增益数据表[是否激活]=TRUE())*IF(全局设置!$H$2,增益数据表[端游可用]=TRUE(),增益数据表[无界可用]=TRUE()),增益数据表[根骨等级],增益数据表[覆盖率]),0)</f>
        <v>0</v>
      </c>
      <c r="C5" s="1" cm="1">
        <f ca="1" t="array" ref="C5">IF(伤害计算!$C$1,SUMPRODUCT((增益数据表[增益等级]=A5)*(增益数据表[是否激活]=TRUE())*IF(全局设置!$H$2,增益数据表[端游可用]=TRUE(),增益数据表[无界可用]=TRUE()),增益数据表[根骨提高],增益数据表[覆盖率]),0)</f>
        <v>0</v>
      </c>
      <c r="D5" s="1" cm="1">
        <f ca="1" t="array" ref="D5">IF(伤害计算!$C$1,SUMPRODUCT((增益数据表[增益等级]=A5)*(增益数据表[是否激活]=TRUE())*IF(全局设置!$H$2,增益数据表[端游可用]=TRUE(),增益数据表[无界可用]=TRUE()),增益数据表[攻击等级],增益数据表[覆盖率]),0)</f>
        <v>0</v>
      </c>
      <c r="E5" s="1" cm="1">
        <f ca="1" t="array" ref="E5">IF(伤害计算!$C$1,SUMPRODUCT((增益数据表[增益等级]=A5)*(增益数据表[是否激活]=TRUE())*IF(全局设置!$H$2,增益数据表[端游可用]=TRUE(),增益数据表[无界可用]=TRUE()),增益数据表[攻击提高],增益数据表[覆盖率]),0)</f>
        <v>0</v>
      </c>
      <c r="F5" s="1" cm="1">
        <f ca="1" t="array" ref="F5">IF(伤害计算!$C$1,SUMPRODUCT((增益数据表[增益等级]=A5)*(增益数据表[是否激活]=TRUE())*IF(全局设置!$H$2,增益数据表[端游可用]=TRUE(),增益数据表[无界可用]=TRUE()),增益数据表[会心等级],增益数据表[覆盖率]),0)</f>
        <v>0</v>
      </c>
      <c r="G5" s="1" cm="1">
        <f ca="1" t="array" ref="G5">IF(伤害计算!$C$1,SUMPRODUCT((增益数据表[增益等级]=A5)*(增益数据表[是否激活]=TRUE())*IF(全局设置!$H$2,增益数据表[端游可用]=TRUE(),增益数据表[无界可用]=TRUE()),增益数据表[会心提高],增益数据表[覆盖率]),0)</f>
        <v>0.03</v>
      </c>
      <c r="H5" s="1" cm="1">
        <f ca="1" t="array" ref="H5">IF(伤害计算!$C$1,SUMPRODUCT((增益数据表[增益等级]=A5)*(增益数据表[是否激活]=TRUE())*IF(全局设置!$H$2,增益数据表[端游可用]=TRUE(),增益数据表[无界可用]=TRUE()),增益数据表[会效等级],增益数据表[覆盖率]),0)</f>
        <v>0</v>
      </c>
      <c r="I5" s="1" cm="1">
        <f ca="1" t="array" ref="I5">IF(伤害计算!$C$1,SUMPRODUCT((增益数据表[增益等级]=A5)*(增益数据表[是否激活]=TRUE())*IF(全局设置!$H$2,增益数据表[端游可用]=TRUE(),增益数据表[无界可用]=TRUE()),增益数据表[会效提高],增益数据表[覆盖率]),0)</f>
        <v>0.144</v>
      </c>
      <c r="J5" s="1" cm="1">
        <f ca="1" t="array" ref="J5">IF(伤害计算!$C$1,SUMPRODUCT((增益数据表[增益等级]=A5)*(增益数据表[是否激活]=TRUE())*IF(全局设置!$H$2,增益数据表[端游可用]=TRUE(),增益数据表[无界可用]=TRUE()),增益数据表[加速等级],增益数据表[覆盖率]),0)</f>
        <v>0</v>
      </c>
      <c r="K5" s="1" cm="1">
        <f ca="1" t="array" ref="K5">IF(伤害计算!$C$1,SUMPRODUCT((增益数据表[增益等级]=A5)*(增益数据表[是否激活]=TRUE())*IF(全局设置!$H$2,增益数据表[端游可用]=TRUE(),增益数据表[无界可用]=TRUE()),增益数据表[破防等级],增益数据表[覆盖率]),0)</f>
        <v>0</v>
      </c>
      <c r="L5" s="1" cm="1">
        <f ca="1" t="array" ref="L5">IF(伤害计算!$C$1,SUMPRODUCT((增益数据表[增益等级]=A5)*(增益数据表[是否激活]=TRUE())*IF(全局设置!$H$2,增益数据表[端游可用]=TRUE(),增益数据表[无界可用]=TRUE()),增益数据表[破防提高],增益数据表[覆盖率]),0)</f>
        <v>0</v>
      </c>
      <c r="M5" s="1" cm="1">
        <f ca="1" t="array" ref="M5">IF(伤害计算!$C$1,SUMPRODUCT((增益数据表[增益等级]=A5)*(增益数据表[是否激活]=TRUE())*IF(全局设置!$H$2,增益数据表[端游可用]=TRUE(),增益数据表[无界可用]=TRUE()),增益数据表[无双等级],增益数据表[覆盖率]),0)</f>
        <v>0</v>
      </c>
      <c r="N5" s="1" cm="1">
        <f ca="1" t="array" ref="N5">IF(伤害计算!$C$1,SUMPRODUCT((增益数据表[增益等级]=A5)*(增益数据表[是否激活]=TRUE())*IF(全局设置!$H$2,增益数据表[端游可用]=TRUE(),增益数据表[无界可用]=TRUE()),增益数据表[无双提高],增益数据表[覆盖率]),0)</f>
        <v>0.02</v>
      </c>
      <c r="O5" s="1" cm="1">
        <f ca="1" t="array" ref="O5">IF(伤害计算!$C$1,SUMPRODUCT((增益数据表[增益等级]=A5)*(增益数据表[是否激活]=TRUE())*IF(全局设置!$H$2,增益数据表[端游可用]=TRUE(),增益数据表[无界可用]=TRUE()),增益数据表[无双乘算],增益数据表[覆盖率]),0)</f>
        <v>0</v>
      </c>
      <c r="P5" s="1" cm="1">
        <f ca="1" t="array" ref="P5">IF(伤害计算!$C$1,SUMPRODUCT((增益数据表[增益等级]=A5)*(增益数据表[是否激活]=TRUE())*IF(全局设置!$H$2,增益数据表[端游可用]=TRUE(),增益数据表[无界可用]=TRUE()),增益数据表[破招等级],增益数据表[覆盖率]),0)</f>
        <v>0</v>
      </c>
      <c r="Q5" s="1" cm="1">
        <f ca="1" t="array" ref="Q5">IF(伤害计算!$C$1,SUMPRODUCT((增益数据表[增益等级]=A5)*(增益数据表[是否激活]=TRUE())*IF(全局设置!$H$2,增益数据表[端游可用]=TRUE(),增益数据表[无界可用]=TRUE()),增益数据表[破招提高],增益数据表[覆盖率]),0)</f>
        <v>0</v>
      </c>
      <c r="R5" s="1" cm="1">
        <f ca="1" t="array" ref="R5">IF(伤害计算!$C$1,SUMPRODUCT((增益数据表[增益等级]=A5)*(增益数据表[是否激活]=TRUE())*IF(全局设置!$H$2,增益数据表[端游可用]=TRUE(),增益数据表[无界可用]=TRUE()),增益数据表[增伤],增益数据表[覆盖率]),0)</f>
        <v>0.06</v>
      </c>
      <c r="S5" s="1" cm="1">
        <f ca="1" t="array" ref="S5">IF(伤害计算!$C$1,SUMPRODUCT((增益数据表[增益等级]=A5)*(增益数据表[是否激活]=TRUE())*IF(全局设置!$H$2,增益数据表[端游可用]=TRUE(),增益数据表[无界可用]=TRUE()),增益数据表[易伤],增益数据表[覆盖率]),0)</f>
        <v>0</v>
      </c>
      <c r="T5" s="1" cm="1">
        <f ca="1" t="array" ref="T5">IF(伤害计算!$C$1,SUMPRODUCT((增益数据表[增益等级]=A5)*(增益数据表[是否激活]=TRUE())*IF(全局设置!$H$2,增益数据表[端游可用]=TRUE(),增益数据表[无界可用]=TRUE()),增益数据表[降低防御],增益数据表[覆盖率]),0)</f>
        <v>0</v>
      </c>
      <c r="U5" s="1" cm="1">
        <f ca="1" t="array" ref="U5">IF(伤害计算!$C$1,SUMPRODUCT((增益数据表[增益等级]=A5)*(增益数据表[是否激活]=TRUE())*IF(全局设置!$H$2,增益数据表[端游可用]=TRUE(),增益数据表[无界可用]=TRUE()),增益数据表[无视防御],增益数据表[覆盖率]),0)</f>
        <v>0</v>
      </c>
      <c r="V5" s="1" cm="1">
        <f ca="1" t="array" ref="V5">IF(伤害计算!$C$1,SUMPRODUCT((增益数据表[增益等级]=A5)*(增益数据表[是否激活]=TRUE())*IF(全局设置!$H$2,增益数据表[端游可用]=TRUE(),增益数据表[无界可用]=TRUE()),增益数据表[独立增伤],增益数据表[覆盖率]),0)</f>
        <v>0</v>
      </c>
      <c r="W5" s="1" cm="1">
        <f ca="1" t="array" ref="W5">IF(伤害计算!$C$1,SUMPRODUCT((增益数据表[增益等级]=A5)*(增益数据表[是否激活]=TRUE())*IF(全局设置!$H$2,增益数据表[端游可用]=TRUE(),增益数据表[无界可用]=TRUE()),增益数据表[最终增伤],增益数据表[覆盖率]),0)</f>
        <v>0</v>
      </c>
    </row>
    <row r="7" spans="1:23">
      <c r="G7" s="1"/>
      <c r="I7" s="1"/>
      <c r="L7" s="1"/>
      <c r="N7" s="1"/>
      <c r="O7" s="1"/>
      <c r="R7" s="1"/>
      <c r="S7" s="1"/>
      <c r="T7" s="1"/>
      <c r="U7" s="1"/>
    </row>
    <row r="8" spans="1:23">
      <c r="G8" s="1"/>
      <c r="I8" s="1"/>
      <c r="L8" s="1"/>
      <c r="N8" s="1"/>
      <c r="O8" s="1"/>
      <c r="R8" s="1"/>
      <c r="S8" s="1"/>
      <c r="T8" s="1"/>
      <c r="U8" s="1"/>
    </row>
    <row r="9" spans="1:23">
      <c r="G9" s="1"/>
      <c r="I9" s="1"/>
      <c r="L9" s="1"/>
      <c r="N9" s="1"/>
      <c r="O9" s="1"/>
      <c r="R9" s="1"/>
      <c r="S9" s="1"/>
      <c r="T9" s="1"/>
      <c r="U9" s="1"/>
    </row>
    <row r="10" spans="1:23">
      <c r="G10" s="1"/>
      <c r="I10" s="1"/>
      <c r="L10" s="1"/>
      <c r="N10" s="1"/>
      <c r="O10" s="1"/>
      <c r="R10" s="1"/>
      <c r="S10" s="1"/>
      <c r="T10" s="1"/>
      <c r="U10" s="1"/>
    </row>
    <row r="13" spans="1:23">
      <c r="A13"/>
      <c r="B13"/>
      <c r="C13"/>
      <c r="D13"/>
      <c r="E13"/>
      <c r="F13"/>
      <c r="G13" s="51"/>
      <c r="H13"/>
      <c r="I13" s="51"/>
      <c r="J13"/>
      <c r="K13"/>
      <c r="L13" s="51"/>
      <c r="M13"/>
      <c r="N13" s="51"/>
      <c r="O13" s="51"/>
      <c r="P13"/>
      <c r="Q13"/>
      <c r="R13" s="51"/>
      <c r="S13" s="51"/>
      <c r="T13" s="51"/>
      <c r="U13" s="51"/>
      <c r="V13"/>
      <c r="W13"/>
    </row>
    <row r="14" spans="1:23">
      <c r="A14"/>
      <c r="B14"/>
      <c r="C14"/>
      <c r="D14"/>
      <c r="E14"/>
      <c r="F14"/>
      <c r="G14" s="51"/>
      <c r="H14"/>
      <c r="I14" s="51"/>
      <c r="J14"/>
      <c r="K14"/>
      <c r="L14" s="51"/>
      <c r="M14"/>
      <c r="N14" s="51"/>
      <c r="O14" s="51"/>
      <c r="P14"/>
      <c r="Q14"/>
      <c r="R14" s="51"/>
      <c r="S14" s="51"/>
      <c r="T14" s="51"/>
      <c r="U14" s="51"/>
      <c r="V14"/>
      <c r="W14"/>
    </row>
    <row r="15" spans="1:23">
      <c r="A15"/>
      <c r="B15"/>
      <c r="C15"/>
      <c r="D15"/>
      <c r="E15"/>
      <c r="F15"/>
      <c r="G15" s="51"/>
      <c r="H15"/>
      <c r="I15" s="51"/>
      <c r="J15"/>
      <c r="K15"/>
      <c r="L15" s="51"/>
      <c r="M15"/>
      <c r="N15" s="51"/>
      <c r="O15" s="51"/>
      <c r="P15"/>
      <c r="Q15"/>
      <c r="R15" s="51"/>
      <c r="S15" s="51"/>
      <c r="T15" s="51"/>
      <c r="U15" s="51"/>
      <c r="V15"/>
      <c r="W15"/>
    </row>
    <row r="16" spans="1:23">
      <c r="A16"/>
      <c r="B16"/>
      <c r="C16"/>
      <c r="D16"/>
      <c r="E16"/>
      <c r="F16"/>
      <c r="G16" s="51"/>
      <c r="H16"/>
      <c r="I16" s="51"/>
      <c r="J16"/>
      <c r="K16"/>
      <c r="L16" s="51"/>
      <c r="M16"/>
      <c r="N16" s="51"/>
      <c r="O16" s="51"/>
      <c r="P16"/>
      <c r="Q16"/>
      <c r="R16" s="51"/>
      <c r="S16" s="51"/>
      <c r="T16" s="51"/>
      <c r="U16" s="51"/>
      <c r="V16"/>
      <c r="W16"/>
    </row>
    <row r="17" spans="1:23">
      <c r="A17"/>
      <c r="B17"/>
      <c r="C17"/>
      <c r="D17"/>
      <c r="E17"/>
      <c r="F17"/>
      <c r="G17" s="51"/>
      <c r="H17"/>
      <c r="I17" s="51"/>
      <c r="J17"/>
      <c r="K17"/>
      <c r="L17" s="51"/>
      <c r="M17"/>
      <c r="N17" s="51"/>
      <c r="O17" s="51"/>
      <c r="P17"/>
      <c r="Q17"/>
      <c r="R17" s="51"/>
      <c r="S17" s="51"/>
      <c r="T17" s="51"/>
      <c r="U17" s="51"/>
      <c r="V17"/>
      <c r="W17"/>
    </row>
    <row r="18" spans="1:23">
      <c r="A18"/>
      <c r="B18"/>
      <c r="C18"/>
      <c r="D18"/>
      <c r="E18"/>
      <c r="F18"/>
      <c r="G18" s="51"/>
      <c r="H18"/>
      <c r="I18" s="51"/>
      <c r="J18"/>
      <c r="K18"/>
      <c r="L18" s="51"/>
      <c r="M18"/>
      <c r="N18" s="51"/>
      <c r="O18" s="51"/>
      <c r="P18"/>
      <c r="Q18"/>
      <c r="R18" s="51"/>
      <c r="S18" s="51"/>
      <c r="T18" s="51"/>
      <c r="U18" s="51"/>
      <c r="V18"/>
      <c r="W18"/>
    </row>
    <row r="19" spans="1:23">
      <c r="A19"/>
      <c r="B19"/>
      <c r="C19"/>
      <c r="D19"/>
      <c r="E19"/>
      <c r="F19"/>
      <c r="G19" s="51"/>
      <c r="H19"/>
      <c r="I19" s="51"/>
      <c r="J19"/>
      <c r="K19"/>
      <c r="L19" s="51"/>
      <c r="M19"/>
      <c r="N19" s="51"/>
      <c r="O19" s="51"/>
      <c r="P19"/>
      <c r="Q19"/>
      <c r="R19" s="51"/>
      <c r="S19" s="51"/>
      <c r="T19" s="51"/>
      <c r="U19" s="51"/>
      <c r="V19"/>
      <c r="W19"/>
    </row>
    <row r="20" spans="1:23">
      <c r="A20"/>
      <c r="B20"/>
      <c r="C20"/>
      <c r="D20"/>
      <c r="E20"/>
      <c r="F20"/>
      <c r="G20" s="51"/>
      <c r="H20"/>
      <c r="I20" s="51"/>
      <c r="J20"/>
      <c r="K20"/>
      <c r="L20" s="51"/>
      <c r="M20"/>
      <c r="N20" s="51"/>
      <c r="O20" s="51"/>
      <c r="P20"/>
      <c r="Q20"/>
      <c r="R20" s="51"/>
      <c r="S20" s="51"/>
      <c r="T20" s="51"/>
      <c r="U20" s="51"/>
      <c r="V20"/>
      <c r="W20"/>
    </row>
    <row r="21" spans="1:23">
      <c r="A21"/>
      <c r="B21"/>
      <c r="C21"/>
      <c r="D21"/>
      <c r="E21"/>
      <c r="F21"/>
      <c r="G21" s="51"/>
      <c r="H21"/>
      <c r="I21" s="51"/>
      <c r="J21"/>
      <c r="K21"/>
      <c r="L21" s="51"/>
      <c r="M21"/>
      <c r="N21" s="51"/>
      <c r="O21" s="51"/>
      <c r="P21"/>
      <c r="Q21"/>
      <c r="R21" s="51"/>
      <c r="S21" s="51"/>
      <c r="T21" s="51"/>
      <c r="U21" s="51"/>
      <c r="V21"/>
      <c r="W21"/>
    </row>
    <row r="22" spans="1:23">
      <c r="A22"/>
      <c r="B22"/>
      <c r="C22"/>
      <c r="D22"/>
      <c r="E22"/>
      <c r="F22"/>
      <c r="G22" s="51"/>
      <c r="H22"/>
      <c r="I22" s="51"/>
      <c r="J22"/>
      <c r="K22"/>
      <c r="L22" s="51"/>
      <c r="M22"/>
      <c r="N22" s="51"/>
      <c r="O22" s="51"/>
      <c r="P22"/>
      <c r="Q22"/>
      <c r="R22" s="51"/>
      <c r="S22" s="51"/>
      <c r="T22" s="51"/>
      <c r="U22" s="51"/>
      <c r="V22"/>
      <c r="W22"/>
    </row>
    <row r="23" spans="1:23">
      <c r="A23"/>
      <c r="B23"/>
      <c r="C23"/>
      <c r="D23"/>
      <c r="E23"/>
      <c r="F23"/>
      <c r="G23" s="51"/>
      <c r="H23"/>
      <c r="I23" s="51"/>
      <c r="J23"/>
      <c r="K23"/>
      <c r="L23" s="51"/>
      <c r="M23"/>
      <c r="N23" s="51"/>
      <c r="O23" s="51"/>
      <c r="P23"/>
      <c r="Q23"/>
      <c r="R23" s="51"/>
      <c r="S23" s="51"/>
      <c r="T23" s="51"/>
      <c r="U23" s="51"/>
      <c r="V23"/>
      <c r="W23"/>
    </row>
    <row r="24" spans="1:23">
      <c r="A24"/>
      <c r="B24"/>
      <c r="C24"/>
      <c r="D24"/>
      <c r="E24"/>
      <c r="F24"/>
      <c r="G24" s="51"/>
      <c r="H24"/>
      <c r="I24" s="51"/>
      <c r="J24"/>
      <c r="K24"/>
      <c r="L24" s="51"/>
      <c r="M24"/>
      <c r="N24" s="51"/>
      <c r="O24" s="51"/>
      <c r="P24"/>
      <c r="Q24"/>
      <c r="R24" s="51"/>
      <c r="S24" s="51"/>
      <c r="T24" s="51"/>
      <c r="U24" s="51"/>
      <c r="V24"/>
      <c r="W24"/>
    </row>
    <row r="25" spans="1:23">
      <c r="A25"/>
      <c r="B25"/>
      <c r="C25"/>
      <c r="D25"/>
      <c r="E25"/>
      <c r="F25"/>
      <c r="G25" s="51"/>
      <c r="H25"/>
      <c r="I25" s="51"/>
      <c r="J25"/>
      <c r="K25"/>
      <c r="L25" s="51"/>
      <c r="M25"/>
      <c r="N25" s="51"/>
      <c r="O25" s="51"/>
      <c r="P25"/>
      <c r="Q25"/>
      <c r="R25" s="51"/>
      <c r="S25" s="51"/>
      <c r="T25" s="51"/>
      <c r="U25" s="51"/>
      <c r="V25"/>
      <c r="W25"/>
    </row>
    <row r="26" spans="1:23">
      <c r="A26"/>
      <c r="B26"/>
      <c r="C26"/>
      <c r="D26"/>
      <c r="E26"/>
      <c r="F26"/>
      <c r="G26" s="51"/>
      <c r="H26"/>
      <c r="I26" s="51"/>
      <c r="J26"/>
      <c r="K26"/>
      <c r="L26" s="51"/>
      <c r="M26"/>
      <c r="N26" s="51"/>
      <c r="O26" s="51"/>
      <c r="P26"/>
      <c r="Q26"/>
      <c r="R26" s="51"/>
      <c r="S26" s="51"/>
      <c r="T26" s="51"/>
      <c r="U26" s="51"/>
      <c r="V26"/>
      <c r="W26"/>
    </row>
    <row r="27" spans="1:23">
      <c r="A27"/>
      <c r="B27"/>
      <c r="C27"/>
      <c r="D27"/>
      <c r="E27"/>
      <c r="F27"/>
      <c r="G27" s="51"/>
      <c r="H27"/>
      <c r="I27" s="51"/>
      <c r="J27"/>
      <c r="K27"/>
      <c r="L27" s="51"/>
      <c r="M27"/>
      <c r="N27" s="51"/>
      <c r="O27" s="51"/>
      <c r="P27"/>
      <c r="Q27"/>
      <c r="R27" s="51"/>
      <c r="S27" s="51"/>
      <c r="T27" s="51"/>
      <c r="U27" s="51"/>
      <c r="V27"/>
      <c r="W27"/>
    </row>
    <row r="28" spans="1:23">
      <c r="A28"/>
      <c r="B28"/>
      <c r="C28"/>
      <c r="D28"/>
      <c r="E28"/>
      <c r="F28"/>
      <c r="G28" s="51"/>
      <c r="H28"/>
      <c r="I28" s="51"/>
      <c r="J28"/>
      <c r="K28"/>
      <c r="L28" s="51"/>
      <c r="M28"/>
      <c r="N28" s="51"/>
      <c r="O28" s="51"/>
      <c r="P28"/>
      <c r="Q28"/>
      <c r="R28" s="51"/>
      <c r="S28" s="51"/>
      <c r="T28" s="51"/>
      <c r="U28" s="51"/>
      <c r="V28"/>
      <c r="W28"/>
    </row>
    <row r="29" spans="1:23">
      <c r="A29"/>
      <c r="B29"/>
      <c r="C29"/>
      <c r="D29"/>
      <c r="E29"/>
      <c r="F29"/>
      <c r="G29" s="51"/>
      <c r="H29"/>
      <c r="I29" s="51"/>
      <c r="J29"/>
      <c r="K29"/>
      <c r="L29" s="51"/>
      <c r="M29"/>
      <c r="N29" s="51"/>
      <c r="O29" s="51"/>
      <c r="P29"/>
      <c r="Q29"/>
      <c r="R29" s="51"/>
      <c r="S29" s="51"/>
      <c r="T29" s="51"/>
      <c r="U29" s="51"/>
      <c r="V29"/>
      <c r="W29"/>
    </row>
    <row r="30" spans="1:23">
      <c r="A30"/>
      <c r="B30"/>
      <c r="C30"/>
      <c r="D30"/>
      <c r="E30"/>
      <c r="F30"/>
      <c r="G30" s="51"/>
      <c r="H30"/>
      <c r="I30" s="51"/>
      <c r="J30"/>
      <c r="K30"/>
      <c r="L30" s="51"/>
      <c r="M30"/>
      <c r="N30" s="51"/>
      <c r="O30" s="51"/>
      <c r="P30"/>
      <c r="Q30"/>
      <c r="R30" s="51"/>
      <c r="S30" s="51"/>
      <c r="T30" s="51"/>
      <c r="U30" s="51"/>
      <c r="V30"/>
      <c r="W30"/>
    </row>
    <row r="31" spans="1:23">
      <c r="A31"/>
      <c r="B31"/>
      <c r="C31"/>
      <c r="D31"/>
      <c r="E31"/>
      <c r="F31"/>
      <c r="G31" s="51"/>
      <c r="H31"/>
      <c r="I31" s="51"/>
      <c r="J31"/>
      <c r="K31"/>
      <c r="L31" s="51"/>
      <c r="M31"/>
      <c r="N31" s="51"/>
      <c r="O31" s="51"/>
      <c r="P31"/>
      <c r="Q31"/>
      <c r="R31" s="51"/>
      <c r="S31" s="51"/>
      <c r="T31" s="51"/>
      <c r="U31" s="51"/>
      <c r="V31"/>
      <c r="W31"/>
    </row>
    <row r="32" spans="1:23">
      <c r="A32"/>
      <c r="B32"/>
      <c r="C32"/>
      <c r="D32"/>
      <c r="E32"/>
      <c r="F32"/>
      <c r="G32" s="51"/>
      <c r="H32"/>
      <c r="I32" s="51"/>
      <c r="J32"/>
      <c r="K32"/>
      <c r="L32" s="51"/>
      <c r="M32"/>
      <c r="N32" s="51"/>
      <c r="O32" s="51"/>
      <c r="P32"/>
      <c r="Q32"/>
      <c r="R32" s="51"/>
      <c r="S32" s="51"/>
      <c r="T32" s="51"/>
      <c r="U32" s="51"/>
      <c r="V32"/>
      <c r="W32"/>
    </row>
    <row r="33" spans="1:23">
      <c r="A33"/>
      <c r="B33"/>
      <c r="C33"/>
      <c r="D33"/>
      <c r="E33"/>
      <c r="F33"/>
      <c r="G33" s="51"/>
      <c r="H33"/>
      <c r="I33" s="51"/>
      <c r="J33"/>
      <c r="K33"/>
      <c r="L33" s="51"/>
      <c r="M33"/>
      <c r="N33" s="51"/>
      <c r="O33" s="51"/>
      <c r="P33"/>
      <c r="Q33"/>
      <c r="R33" s="51"/>
      <c r="S33" s="51"/>
      <c r="T33" s="51"/>
      <c r="U33" s="51"/>
      <c r="V33"/>
      <c r="W33"/>
    </row>
    <row r="34" spans="1:23">
      <c r="A34"/>
      <c r="B34"/>
      <c r="C34"/>
      <c r="D34"/>
      <c r="E34"/>
      <c r="F34"/>
      <c r="G34" s="51"/>
      <c r="H34"/>
      <c r="I34" s="51"/>
      <c r="J34"/>
      <c r="K34"/>
      <c r="L34" s="51"/>
      <c r="M34"/>
      <c r="N34" s="51"/>
      <c r="O34" s="51"/>
      <c r="P34"/>
      <c r="Q34"/>
      <c r="R34" s="51"/>
      <c r="S34" s="51"/>
      <c r="T34" s="51"/>
      <c r="U34" s="51"/>
      <c r="V34"/>
      <c r="W34"/>
    </row>
    <row r="35" spans="1:23">
      <c r="A35"/>
      <c r="B35"/>
      <c r="C35"/>
      <c r="D35"/>
      <c r="E35"/>
      <c r="F35"/>
      <c r="G35" s="51"/>
      <c r="H35"/>
      <c r="I35" s="51"/>
      <c r="J35"/>
      <c r="K35"/>
      <c r="L35" s="51"/>
      <c r="M35"/>
      <c r="N35" s="51"/>
      <c r="O35" s="51"/>
      <c r="P35"/>
      <c r="Q35"/>
      <c r="R35" s="51"/>
      <c r="S35" s="51"/>
      <c r="T35" s="51"/>
      <c r="U35" s="51"/>
      <c r="V35"/>
      <c r="W35"/>
    </row>
  </sheetData>
  <pageMargins left="0.75" right="0.75" top="1" bottom="1" header="0.5" footer="0.5"/>
  <headerFooter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8"/>
  <dimension ref="A1:AW86"/>
  <sheetViews>
    <sheetView topLeftCell="A13" workbookViewId="0">
      <selection activeCell="B60" sqref="B60"/>
    </sheetView>
  </sheetViews>
  <sheetFormatPr defaultColWidth="9" defaultRowHeight="14.25"/>
  <cols>
    <col min="1" max="1" width="15.75" style="1" customWidth="1"/>
    <col min="2" max="2" width="11.125" style="1" customWidth="1"/>
    <col min="3" max="4" width="9" style="1"/>
    <col min="5" max="5" width="13.25" style="1" customWidth="1"/>
    <col min="6" max="7" width="11.125" style="1" customWidth="1"/>
    <col min="8" max="8" width="4" style="1" customWidth="1"/>
    <col min="9" max="9" width="9" style="1"/>
    <col min="10" max="10" width="11.125" style="1" customWidth="1"/>
    <col min="11" max="11" width="5.875" style="1" customWidth="1"/>
    <col min="12" max="12" width="8.875" style="1" customWidth="1"/>
    <col min="13" max="13" width="11.125" style="1"/>
    <col min="14" max="14" width="15.875" style="1" customWidth="1"/>
    <col min="15" max="17" width="11.125" style="1" customWidth="1"/>
    <col min="18" max="18" width="9" style="1"/>
    <col min="19" max="19" width="15.875" style="1" customWidth="1"/>
    <col min="20" max="20" width="5.875" style="1" customWidth="1"/>
    <col min="21" max="21" width="8.875" style="1" customWidth="1"/>
    <col min="22" max="22" width="12.875" style="1"/>
    <col min="23" max="23" width="7.5" style="1" customWidth="1"/>
    <col min="24" max="24" width="8.875" style="1" customWidth="1"/>
    <col min="25" max="25" width="11.125" style="1" customWidth="1"/>
    <col min="26" max="26" width="7.375" style="1" customWidth="1"/>
    <col min="27" max="27" width="7.5" style="1" customWidth="1"/>
    <col min="28" max="28" width="5.75" style="1" customWidth="1"/>
    <col min="29" max="33" width="7.375" style="1" customWidth="1"/>
    <col min="34" max="34" width="8.375" style="1" customWidth="1"/>
    <col min="35" max="37" width="4.375" style="1" customWidth="1"/>
    <col min="38" max="38" width="11.125" style="1" customWidth="1"/>
    <col min="39" max="39" width="9.5" style="1" customWidth="1"/>
    <col min="40" max="40" width="9.625" style="1" customWidth="1"/>
    <col min="41" max="41" width="10.875" style="1" customWidth="1"/>
    <col min="42" max="42" width="10.75" style="1" customWidth="1"/>
    <col min="43" max="43" width="13.25" style="1" customWidth="1"/>
    <col min="44" max="44" width="3.625" style="1" customWidth="1"/>
    <col min="45" max="45" width="11.125" style="1" customWidth="1"/>
    <col min="46" max="49" width="11.125" style="1"/>
    <col min="50" max="16383" width="9" style="1"/>
  </cols>
  <sheetData>
    <row r="1" spans="1:49">
      <c r="A1" s="1" t="s">
        <v>930</v>
      </c>
      <c r="E1" s="48" t="s">
        <v>165</v>
      </c>
      <c r="J1" s="1" t="s">
        <v>931</v>
      </c>
      <c r="N1" s="18" t="s">
        <v>932</v>
      </c>
      <c r="S1" s="1" t="s">
        <v>931</v>
      </c>
      <c r="W1" s="1" t="s">
        <v>933</v>
      </c>
      <c r="X1" s="1" t="s">
        <v>436</v>
      </c>
      <c r="Z1" s="1" t="s">
        <v>934</v>
      </c>
      <c r="AA1" s="1" t="s">
        <v>393</v>
      </c>
      <c r="AC1" s="1" t="s">
        <v>83</v>
      </c>
      <c r="AE1" s="1" t="s">
        <v>387</v>
      </c>
      <c r="AG1" s="1" t="s">
        <v>368</v>
      </c>
      <c r="AI1" s="1" t="s">
        <v>383</v>
      </c>
      <c r="AK1" s="1" t="s">
        <v>367</v>
      </c>
      <c r="AM1" s="1" t="s">
        <v>369</v>
      </c>
      <c r="AO1" s="1" t="s">
        <v>438</v>
      </c>
      <c r="AP1" s="1" t="s">
        <v>439</v>
      </c>
      <c r="AQ1" s="12" t="s">
        <v>440</v>
      </c>
      <c r="AR1" s="12"/>
      <c r="AS1" s="12"/>
      <c r="AU1" s="12"/>
      <c r="AW1" s="12" t="s">
        <v>441</v>
      </c>
    </row>
    <row r="2" spans="1:49">
      <c r="A2" s="1" t="s">
        <v>935</v>
      </c>
      <c r="B2" s="1">
        <f ca="1">加速计算!$B$20</f>
        <v>2.215</v>
      </c>
      <c r="E2" s="49" t="s">
        <v>936</v>
      </c>
      <c r="F2" s="12" t="s">
        <v>375</v>
      </c>
      <c r="G2" s="12" t="s">
        <v>937</v>
      </c>
      <c r="H2" s="12" t="s">
        <v>938</v>
      </c>
      <c r="J2" s="12" t="s">
        <v>936</v>
      </c>
      <c r="K2" s="1" t="s">
        <v>939</v>
      </c>
      <c r="L2" s="1" t="s">
        <v>940</v>
      </c>
      <c r="N2" s="1" t="s">
        <v>936</v>
      </c>
      <c r="O2" s="1" t="s">
        <v>375</v>
      </c>
      <c r="P2" s="1" t="s">
        <v>937</v>
      </c>
      <c r="Q2" s="1" t="s">
        <v>938</v>
      </c>
      <c r="S2" s="12" t="s">
        <v>936</v>
      </c>
      <c r="T2" s="1" t="s">
        <v>939</v>
      </c>
      <c r="U2" s="1" t="s">
        <v>940</v>
      </c>
      <c r="X2" s="1" t="s">
        <v>365</v>
      </c>
      <c r="Y2" s="1" t="s">
        <v>375</v>
      </c>
      <c r="Z2" s="1" t="s">
        <v>365</v>
      </c>
      <c r="AA2" s="1" t="s">
        <v>375</v>
      </c>
      <c r="AB2" s="1" t="s">
        <v>365</v>
      </c>
      <c r="AC2" s="1" t="s">
        <v>375</v>
      </c>
      <c r="AD2" s="1" t="s">
        <v>365</v>
      </c>
      <c r="AE2" s="1" t="s">
        <v>375</v>
      </c>
      <c r="AF2" s="1" t="s">
        <v>365</v>
      </c>
      <c r="AG2" s="1" t="s">
        <v>375</v>
      </c>
      <c r="AH2" s="1" t="s">
        <v>365</v>
      </c>
      <c r="AI2" s="1" t="s">
        <v>375</v>
      </c>
      <c r="AJ2" s="1" t="s">
        <v>365</v>
      </c>
      <c r="AK2" s="1" t="s">
        <v>375</v>
      </c>
      <c r="AL2" s="1" t="s">
        <v>365</v>
      </c>
      <c r="AM2" s="1" t="s">
        <v>375</v>
      </c>
      <c r="AN2" s="1" t="s">
        <v>365</v>
      </c>
      <c r="AQ2" s="12" t="s">
        <v>368</v>
      </c>
      <c r="AR2" s="12" t="s">
        <v>383</v>
      </c>
      <c r="AS2" s="12" t="s">
        <v>367</v>
      </c>
      <c r="AT2" s="12" t="s">
        <v>369</v>
      </c>
      <c r="AU2" s="12" t="s">
        <v>83</v>
      </c>
      <c r="AV2" s="1" t="s">
        <v>393</v>
      </c>
    </row>
    <row r="3" spans="1:49">
      <c r="A3" s="1" t="s">
        <v>386</v>
      </c>
      <c r="B3" s="1">
        <f ca="1">加速计算!$B$19</f>
        <v>1.2775</v>
      </c>
      <c r="E3" s="12" t="s">
        <v>941</v>
      </c>
      <c r="F3" s="36">
        <f>H3-G3</f>
        <v>180</v>
      </c>
      <c r="G3" s="36">
        <f>INT(H3/技能数据!J25)*技能数据!K25+MIN(MOD(H3/技能数据!J25,1)*技能数据!J25,技能数据!K25)+IF(角色属性!AK15,技能数据!K25,0)</f>
        <v>120</v>
      </c>
      <c r="H3" s="36">
        <f>300</f>
        <v>300</v>
      </c>
      <c r="J3" s="12" t="s">
        <v>883</v>
      </c>
      <c r="K3" s="20">
        <f ca="1">技能数!F12</f>
        <v>38.488849382298</v>
      </c>
      <c r="L3" s="20">
        <f ca="1">技能数!G12</f>
        <v>24.2548477174146</v>
      </c>
      <c r="N3" s="1" t="s">
        <v>941</v>
      </c>
      <c r="O3" s="1">
        <f ca="1">Q3-P3</f>
        <v>200.7875</v>
      </c>
      <c r="P3" s="1">
        <f ca="1">技能数!Y8*技能数据!K61</f>
        <v>100</v>
      </c>
      <c r="Q3" s="1">
        <f ca="1">技能数!AI8</f>
        <v>300.7875</v>
      </c>
      <c r="S3" s="1" t="s">
        <v>623</v>
      </c>
      <c r="T3" s="20" cm="1">
        <f ca="1" t="array" ref="T3">_xlfn.XLOOKUP(S3,无界技能数[技能],无界技能数[平时],0)</f>
        <v>142.5</v>
      </c>
      <c r="U3" s="20" cm="1">
        <f ca="1" t="array" ref="U3">_xlfn.XLOOKUP(S3,无界技能数[技能],无界技能数[繁音期间],0)</f>
        <v>82.65</v>
      </c>
      <c r="X3" s="1">
        <f ca="1">IF(全局设置!$H$3,1,_xlfn.XLOOKUP(循环模拟!$B$3,循环模拟!$E$69:$E$74,循环模拟!F69:F74))</f>
        <v>4.4575</v>
      </c>
      <c r="Y3" s="1">
        <f ca="1">IF(全局设置!$H$3,1,_xlfn.XLOOKUP(循环模拟!$B$3,循环模拟!$E$69:$E$74,循环模拟!G69:G74))</f>
        <v>4.77</v>
      </c>
      <c r="Z3" s="1">
        <f ca="1">IF(全局设置!$H$3,1,_xlfn.XLOOKUP(循环模拟!$B$3,循环模拟!$E$69:$E$74,循环模拟!H69:H74))</f>
        <v>0.108162060033591</v>
      </c>
      <c r="AA3" s="1">
        <f ca="1">IF(全局设置!$H$3,1,_xlfn.XLOOKUP(循环模拟!$B$3,循环模拟!$E$69:$E$74,循环模拟!I69:I74))</f>
        <v>0.131102941176471</v>
      </c>
      <c r="AB3" s="1">
        <f ca="1">IF(全局设置!$H$3,1,_xlfn.XLOOKUP(循环模拟!$B$3,循环模拟!$E$69:$E$74,循环模拟!J69:J74))</f>
        <v>0.477</v>
      </c>
      <c r="AC3" s="1">
        <f ca="1">IF(全局设置!$H$3,1,_xlfn.XLOOKUP(循环模拟!$B$3,循环模拟!$E$69:$E$74,循环模拟!K69:K74))</f>
        <v>1.37703431372549</v>
      </c>
      <c r="AD3" s="1">
        <f ca="1">IF(全局设置!$H$3,1,_xlfn.XLOOKUP(循环模拟!$B$3,循环模拟!$E$69:$E$74,循环模拟!L69:L74))</f>
        <v>1.559</v>
      </c>
      <c r="AE3" s="1">
        <f>IF(全局设置!$H$3,1,_xlfn.XLOOKUP(循环模拟!$B$3,循环模拟!$E$69:$E$74,循环模拟!M69:M74))</f>
        <v>2</v>
      </c>
      <c r="AF3" s="1">
        <f>IF(全局设置!$H$3,1,_xlfn.XLOOKUP(循环模拟!$B$3,循环模拟!$E$69:$E$74,循环模拟!N69:N74))</f>
        <v>3</v>
      </c>
      <c r="AG3" s="1">
        <f>IF(全局设置!$H$3,1,_xlfn.XLOOKUP(循环模拟!$B$3,循环模拟!$E$69:$E$74,循环模拟!O69:O74))</f>
        <v>1</v>
      </c>
      <c r="AH3" s="1">
        <f>IF(全局设置!$H$3,1,_xlfn.XLOOKUP(循环模拟!$B$3,循环模拟!$E$69:$E$74,循环模拟!P69:P74))</f>
        <v>1</v>
      </c>
      <c r="AI3" s="1">
        <f>IF(全局设置!$H$3,1,_xlfn.XLOOKUP(循环模拟!$B$3,循环模拟!$E$69:$E$74,循环模拟!Q69:Q74))</f>
        <v>1</v>
      </c>
      <c r="AJ3" s="1">
        <f>IF(全局设置!$H$3,1,_xlfn.XLOOKUP(循环模拟!$B$3,循环模拟!$E$69:$E$74,循环模拟!R69:R74))</f>
        <v>1</v>
      </c>
      <c r="AK3" s="1">
        <f>IF(全局设置!$H$3,1,_xlfn.XLOOKUP(循环模拟!$B$3,循环模拟!$E$69:$E$74,循环模拟!S69:S74))</f>
        <v>0</v>
      </c>
      <c r="AL3" s="1">
        <f>IF(全局设置!$H$3,1,_xlfn.XLOOKUP(循环模拟!$B$3,循环模拟!$E$69:$E$74,循环模拟!T69:T74))</f>
        <v>0</v>
      </c>
      <c r="AM3" s="1">
        <f>IF(全局设置!$H$3,1,_xlfn.XLOOKUP(循环模拟!$B$3,循环模拟!$E$69:$E$74,循环模拟!U69:U74))</f>
        <v>1</v>
      </c>
      <c r="AN3" s="1">
        <f>IF(全局设置!$H$3,1,_xlfn.XLOOKUP(循环模拟!$B$3,循环模拟!$E$69:$E$74,循环模拟!V69:V74))</f>
        <v>1</v>
      </c>
      <c r="AO3" s="1">
        <f ca="1">IF(全局设置!$H$3,1,_xlfn.XLOOKUP(循环模拟!$B$3,循环模拟!$E$69:$E$74,循环模拟!W69:W74))</f>
        <v>0.0487341176470588</v>
      </c>
      <c r="AP3" s="1">
        <f ca="1">IF(全局设置!$H$3,1,_xlfn.XLOOKUP(循环模拟!$B$3,循环模拟!$E$69:$E$74,循环模拟!X69:X74))</f>
        <v>0</v>
      </c>
      <c r="AQ3" s="1">
        <f ca="1">IF(全局设置!$H$3,1,_xlfn.XLOOKUP(循环模拟!$B$3,循环模拟!$E$69:$E$74,循环模拟!Y69:Y74))</f>
        <v>14.6750524109015</v>
      </c>
      <c r="AR3" s="1">
        <f ca="1">IF(全局设置!$H$3,1,_xlfn.XLOOKUP(循环模拟!$B$3,循环模拟!$E$69:$E$74,循环模拟!Z69:Z74))</f>
        <v>14.6750524109015</v>
      </c>
      <c r="AS3" s="1">
        <f ca="1">IF(全局设置!$H$3,1,_xlfn.XLOOKUP(循环模拟!$B$3,循环模拟!$E$69:$E$74,循环模拟!AA69:AA74))</f>
        <v>0</v>
      </c>
      <c r="AT3" s="1">
        <f ca="1">IF(全局设置!$H$3,1,_xlfn.XLOOKUP(循环模拟!$B$3,循环模拟!$E$69:$E$74,循环模拟!AB69:AB74))</f>
        <v>14.6750524109015</v>
      </c>
      <c r="AU3" s="1">
        <f ca="1">IF(全局设置!$H$3,1,_xlfn.XLOOKUP(循环模拟!$B$3,循环模拟!$E$69:$E$74,循环模拟!AC69:AC74))</f>
        <v>22.8784067085954</v>
      </c>
      <c r="AV3" s="1">
        <f>IF(全局设置!$H$3,1,_xlfn.XLOOKUP(循环模拟!$B$3,循环模拟!$E$69:$E$74,循环模拟!AD69:AD74))</f>
        <v>0</v>
      </c>
      <c r="AW3" s="1">
        <f ca="1">IF(全局设置!$H$3,1,_xlfn.XLOOKUP(循环模拟!$B$3,循环模拟!$E$69:$E$74,循环模拟!AE69:AE74))</f>
        <v>2.60681950160957</v>
      </c>
    </row>
    <row r="4" spans="1:49">
      <c r="A4" s="1" t="s">
        <v>418</v>
      </c>
      <c r="B4" s="1">
        <f>技能数据!K25</f>
        <v>20</v>
      </c>
      <c r="E4" s="1" t="s">
        <v>942</v>
      </c>
      <c r="F4" s="36">
        <f ca="1">X3</f>
        <v>4.4575</v>
      </c>
      <c r="G4" s="36">
        <f ca="1">Y3</f>
        <v>4.77</v>
      </c>
      <c r="H4" s="36"/>
      <c r="J4" s="12" t="str">
        <f>E21</f>
        <v>玳弦2</v>
      </c>
      <c r="K4" s="20">
        <f ca="1">F21+IF(B65,F22,0)</f>
        <v>95.3901277989014</v>
      </c>
      <c r="L4" s="20">
        <f ca="1">G21+IF(B65,G22,0)</f>
        <v>0</v>
      </c>
      <c r="N4" s="1" t="s">
        <v>642</v>
      </c>
      <c r="O4" s="1">
        <f ca="1">技能数据!I57*(O5)</f>
        <v>0</v>
      </c>
      <c r="P4" s="1">
        <f ca="1">技能数据!J60*P5</f>
        <v>0</v>
      </c>
      <c r="Q4" s="1">
        <f ca="1">O4+P4</f>
        <v>0</v>
      </c>
      <c r="R4" s="12"/>
      <c r="S4" s="1" t="s">
        <v>943</v>
      </c>
      <c r="T4" s="20" cm="1">
        <f ca="1" t="array" ref="T4">_xlfn.XLOOKUP(S4,无界技能数[技能],无界技能数[平时],0)</f>
        <v>668.445</v>
      </c>
      <c r="U4" s="20" cm="1">
        <f ca="1" t="array" ref="U4">_xlfn.XLOOKUP(S4,无界技能数[技能],无界技能数[繁音期间],0)</f>
        <v>367.95</v>
      </c>
    </row>
    <row r="5" spans="1:49">
      <c r="A5" s="1" t="s">
        <v>944</v>
      </c>
      <c r="B5" s="1" t="b">
        <f>LEFT(计算主页!K3,3)="拼好玳"</f>
        <v>0</v>
      </c>
      <c r="E5" s="36" t="s">
        <v>945</v>
      </c>
      <c r="F5" s="36">
        <f ca="1">(技能数!F3-$B$7-IF(B66,2,0)*B3)/F4</f>
        <v>24.6775098149187</v>
      </c>
      <c r="G5" s="36">
        <f ca="1">(IF(B5,G11*B4,技能数!G3)-$B$8)/G4</f>
        <v>25.1345572201187</v>
      </c>
      <c r="H5" s="36"/>
      <c r="J5" s="12" t="str">
        <f>E22</f>
        <v>玳弦3</v>
      </c>
      <c r="K5" s="20">
        <f ca="1">IF(B65,0,F22)</f>
        <v>63.1781387044025</v>
      </c>
      <c r="L5" s="20">
        <f ca="1">IF(B65,0,G22)</f>
        <v>36.8912463598293</v>
      </c>
      <c r="N5" s="1" t="s">
        <v>946</v>
      </c>
      <c r="O5" s="1">
        <f ca="1">IF(角色属性!AK28,技能数!X8,0)</f>
        <v>0</v>
      </c>
      <c r="P5" s="1">
        <f ca="1">IF(角色属性!AK28,技能数!AD8,0)</f>
        <v>0</v>
      </c>
      <c r="Q5" s="1">
        <f ca="1">O5+P5</f>
        <v>0</v>
      </c>
      <c r="R5" s="12"/>
      <c r="S5" s="1" t="s">
        <v>947</v>
      </c>
      <c r="T5" s="20">
        <f ca="1">O9</f>
        <v>275.307732052624</v>
      </c>
      <c r="U5" s="20">
        <f ca="1">P9</f>
        <v>168.947275458643</v>
      </c>
    </row>
    <row r="6" spans="1:49">
      <c r="A6" s="1" t="s">
        <v>81</v>
      </c>
      <c r="B6" s="1" t="b">
        <f>角色属性!AK11</f>
        <v>1</v>
      </c>
      <c r="E6" s="36" t="s">
        <v>948</v>
      </c>
      <c r="F6" s="36"/>
      <c r="G6" s="36">
        <f ca="1">IF(B5,B4*(G10-G11)/F4,0)</f>
        <v>0</v>
      </c>
      <c r="H6" s="36"/>
      <c r="J6" s="12" t="s">
        <v>949</v>
      </c>
      <c r="K6" s="20">
        <f ca="1">技能数!F37</f>
        <v>1593.56955018653</v>
      </c>
      <c r="L6" s="20">
        <f ca="1">技能数!G37</f>
        <v>932.198191889678</v>
      </c>
      <c r="N6" s="18" t="s">
        <v>950</v>
      </c>
      <c r="Q6" s="18">
        <f ca="1">Q4+Q5</f>
        <v>0</v>
      </c>
      <c r="R6" s="12"/>
      <c r="S6" s="1" t="s">
        <v>627</v>
      </c>
      <c r="T6" s="20" cm="1">
        <f ca="1" t="array" ref="T6">_xlfn.XLOOKUP(S6,无界技能数[技能],无界技能数[平时],0)</f>
        <v>11</v>
      </c>
      <c r="U6" s="20" cm="1">
        <f ca="1" t="array" ref="U6">_xlfn.XLOOKUP(S6,无界技能数[技能],无界技能数[繁音期间],0)</f>
        <v>7</v>
      </c>
      <c r="W6" s="1" t="s">
        <v>932</v>
      </c>
      <c r="X6" s="1" t="s">
        <v>951</v>
      </c>
      <c r="Y6" s="1" t="str">
        <f ca="1">加速计算!B34&amp;加速计算!B35</f>
        <v>0.96252.65</v>
      </c>
      <c r="Z6" s="1" t="s">
        <v>559</v>
      </c>
      <c r="AA6" s="1">
        <f ca="1">_xlfn.XLOOKUP(加速计算!B3,加速计算!V2:V10,加速计算!T2:T10,,-1)</f>
        <v>2.5</v>
      </c>
      <c r="AC6" s="1" t="s">
        <v>952</v>
      </c>
      <c r="AD6" s="1" t="b">
        <f>计算主页!K3="自定义序列"</f>
        <v>0</v>
      </c>
      <c r="AF6" s="1" t="s">
        <v>953</v>
      </c>
      <c r="AG6" s="1">
        <v>0.95</v>
      </c>
    </row>
    <row r="7" spans="1:49">
      <c r="A7" s="1" t="s">
        <v>381</v>
      </c>
      <c r="B7" s="1">
        <f ca="1">循环模拟!B4</f>
        <v>70</v>
      </c>
      <c r="E7" s="36" t="s">
        <v>954</v>
      </c>
      <c r="F7" s="36"/>
      <c r="G7" s="36"/>
      <c r="H7" s="36"/>
      <c r="J7" s="12" t="s">
        <v>82</v>
      </c>
      <c r="K7" s="20">
        <f ca="1">技能数!F38</f>
        <v>202.754893664251</v>
      </c>
      <c r="L7" s="20">
        <f ca="1">技能数!G38</f>
        <v>143.875860803334</v>
      </c>
      <c r="N7" s="1" t="s">
        <v>943</v>
      </c>
      <c r="O7" s="1">
        <f ca="1">(O3/AA6+O10)*技能数据!I50</f>
        <v>668.445</v>
      </c>
      <c r="P7" s="1">
        <f ca="1">(P3/AA6+P10)*技能数据!I50</f>
        <v>367.95</v>
      </c>
      <c r="Q7" s="1">
        <f ca="1">O7+P7</f>
        <v>1036.395</v>
      </c>
      <c r="R7" s="12"/>
      <c r="S7" s="1" t="s">
        <v>630</v>
      </c>
      <c r="T7" s="20" cm="1">
        <f ca="1" t="array" ref="T7">_xlfn.XLOOKUP(S7,无界技能数[技能],无界技能数[平时],0)</f>
        <v>21</v>
      </c>
      <c r="U7" s="20" cm="1">
        <f ca="1" t="array" ref="U7">_xlfn.XLOOKUP(S7,无界技能数[技能],无界技能数[繁音期间],0)</f>
        <v>12</v>
      </c>
      <c r="X7" s="1" t="s">
        <v>364</v>
      </c>
      <c r="Y7" s="1" t="s">
        <v>365</v>
      </c>
      <c r="Z7" s="1" t="s">
        <v>366</v>
      </c>
      <c r="AA7" s="1" t="s">
        <v>367</v>
      </c>
      <c r="AB7" s="1" t="s">
        <v>368</v>
      </c>
      <c r="AC7" s="1" t="s">
        <v>369</v>
      </c>
      <c r="AD7" s="1" t="s">
        <v>370</v>
      </c>
      <c r="AE7" s="1" t="s">
        <v>371</v>
      </c>
      <c r="AF7" s="1" t="s">
        <v>372</v>
      </c>
      <c r="AG7" s="1" t="s">
        <v>373</v>
      </c>
      <c r="AH7" s="1" t="s">
        <v>374</v>
      </c>
      <c r="AI7" s="1" t="s">
        <v>306</v>
      </c>
    </row>
    <row r="8" spans="1:49">
      <c r="A8" s="1" t="s">
        <v>955</v>
      </c>
      <c r="B8" s="1">
        <f ca="1">技能数!Z3</f>
        <v>0.108162060033591</v>
      </c>
      <c r="E8" s="12" t="s">
        <v>956</v>
      </c>
      <c r="F8" s="12">
        <f ca="1">F3/F4*AA3</f>
        <v>5.29411764705882</v>
      </c>
      <c r="G8" s="12">
        <f ca="1">G3/G4*AB3</f>
        <v>12</v>
      </c>
      <c r="H8" s="12"/>
      <c r="J8" s="12" t="s">
        <v>137</v>
      </c>
      <c r="K8" s="20">
        <f ca="1">技能数!F16</f>
        <v>0</v>
      </c>
      <c r="L8" s="20">
        <f ca="1">技能数!G16</f>
        <v>0</v>
      </c>
      <c r="N8" s="18" t="s">
        <v>949</v>
      </c>
      <c r="Q8" s="18">
        <f ca="1">Q7/3</f>
        <v>345.465</v>
      </c>
      <c r="R8" s="12"/>
      <c r="S8" s="1" t="s">
        <v>632</v>
      </c>
      <c r="T8" s="20" cm="1">
        <f ca="1" t="array" ref="T8">_xlfn.XLOOKUP(S8,无界技能数[技能],无界技能数[平时],0)</f>
        <v>16</v>
      </c>
      <c r="U8" s="20" cm="1">
        <f ca="1" t="array" ref="U8">_xlfn.XLOOKUP(S8,无界技能数[技能],无界技能数[繁音期间],0)</f>
        <v>7</v>
      </c>
      <c r="X8" s="1" cm="1">
        <f ca="1" t="array" ref="X8">_xlfn.XLOOKUP($Y$6,加速计算!$F$2:$F$37&amp;加速计算!$G$2:$G$37,IF($AD$6,无界循环!P2:P37,无界循环!A2:A37))</f>
        <v>8</v>
      </c>
      <c r="Y8" s="1" cm="1">
        <f ca="1" t="array" ref="Y8">_xlfn.XLOOKUP($Y$6,加速计算!$F$2:$F$37&amp;加速计算!$G$2:$G$37,IF($AD$6,无界循环!Q2:Q37,无界循环!B2:B37))</f>
        <v>10</v>
      </c>
      <c r="Z8" s="1" cm="1">
        <f ca="1" t="array" ref="Z8">_xlfn.XLOOKUP($Y$6,加速计算!$F$2:$F$37&amp;加速计算!$G$2:$G$37,IF($AD$6,无界循环!R2:R37,无界循环!C2:C37))</f>
        <v>16</v>
      </c>
      <c r="AA8" s="1" cm="1">
        <f ca="1" t="array" ref="AA8">_xlfn.XLOOKUP($Y$6,加速计算!$F$2:$F$37&amp;加速计算!$G$2:$G$37,IF($AD$6,无界循环!S2:S37,无界循环!D2:D37))</f>
        <v>21</v>
      </c>
      <c r="AB8" s="1" cm="1">
        <f ca="1" t="array" ref="AB8">_xlfn.XLOOKUP($Y$6,加速计算!$F$2:$F$37&amp;加速计算!$G$2:$G$37,IF($AD$6,无界循环!T2:T37,无界循环!E2:E37))</f>
        <v>11</v>
      </c>
      <c r="AC8" s="1" cm="1">
        <f ca="1" t="array" ref="AC8">_xlfn.XLOOKUP($Y$6,加速计算!$F$2:$F$37&amp;加速计算!$G$2:$G$37,IF($AD$6,无界循环!U2:U37,无界循环!F2:F37))</f>
        <v>50</v>
      </c>
      <c r="AD8" s="1" cm="1">
        <f ca="1" t="array" ref="AD8">_xlfn.XLOOKUP($Y$6,加速计算!$F$2:$F$37&amp;加速计算!$G$2:$G$37,IF($AD$6,无界循环!V2:V37,无界循环!G2:G37))</f>
        <v>3</v>
      </c>
      <c r="AE8" s="1" cm="1">
        <f ca="1" t="array" ref="AE8">_xlfn.XLOOKUP($Y$6,加速计算!$F$2:$F$37&amp;加速计算!$G$2:$G$37,IF($AD$6,无界循环!W2:W37,无界循环!H2:H37))</f>
        <v>7</v>
      </c>
      <c r="AF8" s="1" cm="1">
        <f ca="1" t="array" ref="AF8">_xlfn.XLOOKUP($Y$6,加速计算!$F$2:$F$37&amp;加速计算!$G$2:$G$37,IF($AD$6,无界循环!X2:X37,无界循环!I2:I37))</f>
        <v>12</v>
      </c>
      <c r="AG8" s="1" cm="1">
        <f ca="1" t="array" ref="AG8">_xlfn.XLOOKUP($Y$6,加速计算!$F$2:$F$37&amp;加速计算!$G$2:$G$37,IF($AD$6,无界循环!Y2:Y37,无界循环!J2:J37))</f>
        <v>7</v>
      </c>
      <c r="AH8" s="1" cm="1">
        <f ca="1" t="array" ref="AH8">_xlfn.XLOOKUP($Y$6,加速计算!$F$2:$F$37&amp;加速计算!$G$2:$G$37,IF($AD$6,无界循环!Z2:Z37,无界循环!K2:K37))</f>
        <v>29</v>
      </c>
      <c r="AI8" s="1" cm="1">
        <f ca="1" t="array" ref="AI8">_xlfn.XLOOKUP($Y$6,加速计算!$F$2:$F$37&amp;加速计算!$G$2:$G$37,IF($AD$6,无界循环!AA2:AA37,无界循环!L2:L37))</f>
        <v>300.7875</v>
      </c>
    </row>
    <row r="9" spans="1:49">
      <c r="A9" s="1" t="s">
        <v>388</v>
      </c>
      <c r="B9" s="1">
        <f>技能数据!J16</f>
        <v>15</v>
      </c>
      <c r="E9" s="12"/>
      <c r="F9" s="12"/>
      <c r="G9" s="12"/>
      <c r="H9" s="12"/>
      <c r="J9" s="12" t="str">
        <f>E19</f>
        <v>玳弦•流玉2</v>
      </c>
      <c r="K9" s="20">
        <f ca="1">F19+IF(B65,F20,0)</f>
        <v>25.9014705882353</v>
      </c>
      <c r="L9" s="20">
        <f ca="1">G19+IF(B65,G20,0)</f>
        <v>0</v>
      </c>
      <c r="N9" s="18" t="s">
        <v>947</v>
      </c>
      <c r="O9" s="1">
        <f ca="1">O5+3*MIN(_xlfn.XLOOKUP(技能数据!A53,技能数据表[技能],技能数据表[会心])+_xlfn.XLOOKUP(伤害计算!B1,实战面板表[实战面板],实战面板表[会心]),1)*O14+O11+O10/3*4+O25*3</f>
        <v>275.307732052624</v>
      </c>
      <c r="P9" s="1">
        <f ca="1">P5+3*MIN(_xlfn.XLOOKUP(技能数据!A53,技能数据表[技能],技能数据表[会心])+_xlfn.XLOOKUP(伤害计算!B1,实战面板表[实战面板],实战面板表[繁音会心]),1)*P14+P15+P11*2+P10/3*4+P25*3</f>
        <v>168.947275458643</v>
      </c>
      <c r="Q9" s="18">
        <f ca="1">O9+P9</f>
        <v>444.255007511267</v>
      </c>
      <c r="R9" s="12"/>
      <c r="S9" s="1" t="s">
        <v>957</v>
      </c>
      <c r="T9" s="20" cm="1">
        <f ca="1" t="array" ref="T9">_xlfn.XLOOKUP(S9,无界技能数[技能],无界技能数[平时],0)</f>
        <v>33</v>
      </c>
      <c r="U9" s="20" cm="1">
        <f ca="1" t="array" ref="U9">_xlfn.XLOOKUP(S9,无界技能数[技能],无界技能数[繁音期间],0)</f>
        <v>21</v>
      </c>
    </row>
    <row r="10" spans="1:49">
      <c r="A10" s="1" t="s">
        <v>867</v>
      </c>
      <c r="B10" s="1" t="b">
        <f ca="1">角色属性!Z42</f>
        <v>0</v>
      </c>
      <c r="E10" s="12" t="s">
        <v>365</v>
      </c>
      <c r="F10" s="12"/>
      <c r="G10" s="12">
        <f>ROUNDUP(H3/技能数据!J25,0)</f>
        <v>6</v>
      </c>
      <c r="H10" s="12"/>
      <c r="J10" s="12" t="str">
        <f>E20</f>
        <v>玳弦•流玉3</v>
      </c>
      <c r="K10" s="20">
        <f ca="1">IF(B65,0,F20)</f>
        <v>23.484</v>
      </c>
      <c r="L10" s="20">
        <f ca="1">IF(B65,0,G20)</f>
        <v>110.673739079488</v>
      </c>
      <c r="N10" s="18" t="s">
        <v>623</v>
      </c>
      <c r="O10" s="1">
        <f ca="1">技能数!AC8*技能数据!I49*IF(AD6,1,AG6)</f>
        <v>142.5</v>
      </c>
      <c r="P10" s="1">
        <f ca="1">技能数!AH8*技能数据!I49*IF(AD6,1,AG6)</f>
        <v>82.65</v>
      </c>
      <c r="Q10" s="18">
        <f ca="1">O10+P10</f>
        <v>225.15</v>
      </c>
      <c r="R10" s="12"/>
      <c r="S10" s="1" t="s">
        <v>636</v>
      </c>
      <c r="T10" s="20">
        <f ca="1">_xlfn.XLOOKUP(S10,无界技能数[技能],无界技能数[平时],0)</f>
        <v>48</v>
      </c>
      <c r="U10" s="20">
        <f ca="1">_xlfn.XLOOKUP(S10,无界技能数[技能],无界技能数[繁音期间],0)</f>
        <v>18</v>
      </c>
    </row>
    <row r="11" spans="1:49">
      <c r="A11" s="1" t="s">
        <v>958</v>
      </c>
      <c r="B11" s="1">
        <f ca="1">技能数据!E24</f>
        <v>6.26287781728402</v>
      </c>
      <c r="E11" s="12" t="s">
        <v>959</v>
      </c>
      <c r="F11" s="12"/>
      <c r="G11" s="12">
        <v>3</v>
      </c>
      <c r="H11" s="12"/>
      <c r="J11" s="12" t="str">
        <f>E24</f>
        <v>破•霜降2</v>
      </c>
      <c r="K11" s="20">
        <f ca="1">IF(B65,F25,0)+F24</f>
        <v>69.5000858758293</v>
      </c>
      <c r="L11" s="20">
        <f ca="1">G24+IF(B65,G25,0)</f>
        <v>0</v>
      </c>
      <c r="N11" s="1" t="s">
        <v>627</v>
      </c>
      <c r="O11" s="1">
        <f ca="1">技能数!AB8</f>
        <v>11</v>
      </c>
      <c r="P11" s="1">
        <f ca="1">技能数!AG8</f>
        <v>7</v>
      </c>
      <c r="Q11" s="1">
        <f ca="1">O11+P11</f>
        <v>18</v>
      </c>
      <c r="R11" s="12"/>
      <c r="S11" s="1" t="s">
        <v>960</v>
      </c>
      <c r="T11" s="20">
        <f ca="1">_xlfn.XLOOKUP(S11,无界技能数[技能],无界技能数[平时],0)</f>
        <v>24</v>
      </c>
      <c r="U11" s="20">
        <f ca="1">_xlfn.XLOOKUP(S11,无界技能数[技能],无界技能数[繁音期间],0)</f>
        <v>9</v>
      </c>
    </row>
    <row r="12" spans="1:49">
      <c r="A12" s="1" t="s">
        <v>961</v>
      </c>
      <c r="B12" s="1">
        <f ca="1">技能数据!F24</f>
        <v>6.24992852156499</v>
      </c>
      <c r="E12" s="36" t="s">
        <v>883</v>
      </c>
      <c r="F12" s="12">
        <f ca="1">AG3*F5*B85+AQ3</f>
        <v>38.488849382298</v>
      </c>
      <c r="G12" s="12">
        <f ca="1">(AH3*G5+G6*AG3)*B85</f>
        <v>24.2548477174146</v>
      </c>
      <c r="H12" s="36">
        <f ca="1">(F12+G12)</f>
        <v>62.7436970997126</v>
      </c>
      <c r="J12" s="12" t="str">
        <f>E25</f>
        <v>破•霜降3</v>
      </c>
      <c r="K12" s="20">
        <f ca="1">IF(B65,0,F25)</f>
        <v>41.3811712313522</v>
      </c>
      <c r="L12" s="20">
        <f ca="1">IF(B65,0,G25)</f>
        <v>70.4622805472739</v>
      </c>
      <c r="N12" s="1" t="s">
        <v>957</v>
      </c>
      <c r="O12" s="1">
        <f ca="1">O11*技能数据!I62</f>
        <v>33</v>
      </c>
      <c r="P12" s="1">
        <f ca="1">P11*技能数据!I62</f>
        <v>21</v>
      </c>
      <c r="Q12" s="1">
        <f ca="1">O12+P12</f>
        <v>54</v>
      </c>
      <c r="R12" s="12"/>
      <c r="S12" s="1" t="s">
        <v>962</v>
      </c>
      <c r="T12" s="20">
        <f ca="1">_xlfn.XLOOKUP(S12,无界技能数[技能],无界技能数[平时],0)</f>
        <v>8</v>
      </c>
      <c r="U12" s="20">
        <f ca="1">_xlfn.XLOOKUP(S12,无界技能数[技能],无界技能数[繁音期间],0)</f>
        <v>3</v>
      </c>
    </row>
    <row r="13" spans="1:49">
      <c r="A13" s="1" t="s">
        <v>963</v>
      </c>
      <c r="B13" s="1">
        <f>技能数据!G11</f>
        <v>0</v>
      </c>
      <c r="E13" s="12" t="s">
        <v>924</v>
      </c>
      <c r="F13" s="12"/>
      <c r="G13" s="12">
        <f ca="1">IF(AND(B18,B69="破气玳"),G39,0)</f>
        <v>0</v>
      </c>
      <c r="H13" s="12"/>
      <c r="J13" s="12" t="s">
        <v>81</v>
      </c>
      <c r="K13" s="20">
        <f ca="1">F27</f>
        <v>113.74674151893</v>
      </c>
      <c r="L13" s="20">
        <f ca="1">G27</f>
        <v>80.5263159946316</v>
      </c>
      <c r="N13" s="18" t="s">
        <v>368</v>
      </c>
      <c r="Q13" s="18">
        <f ca="1">Q11+Q12</f>
        <v>72</v>
      </c>
      <c r="R13" s="12"/>
      <c r="S13" s="1" t="str">
        <f>技能数据!A24</f>
        <v>剑风</v>
      </c>
      <c r="T13" s="20">
        <f ca="1">_xlfn.XLOOKUP(S13,无界技能数[技能],无界技能数[平时],0)</f>
        <v>0</v>
      </c>
      <c r="U13" s="20">
        <f ca="1">_xlfn.XLOOKUP(S13,无界技能数[技能],无界技能数[繁音期间],0)</f>
        <v>0</v>
      </c>
    </row>
    <row r="14" spans="1:49">
      <c r="A14" s="1" t="s">
        <v>964</v>
      </c>
      <c r="B14" s="1">
        <f>技能数据!I9</f>
        <v>6</v>
      </c>
      <c r="E14" s="12" t="s">
        <v>965</v>
      </c>
      <c r="F14" s="12">
        <f ca="1">F12</f>
        <v>38.488849382298</v>
      </c>
      <c r="G14" s="12">
        <f ca="1">G12</f>
        <v>24.2548477174146</v>
      </c>
      <c r="H14" s="12"/>
      <c r="J14" s="12" t="s">
        <v>147</v>
      </c>
      <c r="K14" s="20">
        <f ca="1">技能数!F15</f>
        <v>37.9752225479164</v>
      </c>
      <c r="L14" s="20">
        <f ca="1">技能数!G15</f>
        <v>24.2548477174146</v>
      </c>
      <c r="N14" s="1" t="s">
        <v>630</v>
      </c>
      <c r="O14" s="1">
        <f ca="1">技能数!AA8</f>
        <v>21</v>
      </c>
      <c r="P14" s="1">
        <f ca="1">技能数!AF8</f>
        <v>12</v>
      </c>
      <c r="Q14" s="18">
        <f ca="1" t="shared" ref="Q14:Q25" si="0">O14+P14</f>
        <v>33</v>
      </c>
      <c r="R14" s="12"/>
    </row>
    <row r="15" spans="1:49">
      <c r="A15" s="1" t="s">
        <v>559</v>
      </c>
      <c r="B15" s="1">
        <f ca="1">加速计算!B31</f>
        <v>2.4375</v>
      </c>
      <c r="E15" s="12" t="s">
        <v>147</v>
      </c>
      <c r="F15" s="12">
        <f ca="1">(AI3*F5+AR3)*B64*B85</f>
        <v>37.9752225479164</v>
      </c>
      <c r="G15" s="12">
        <f ca="1">(AJ3*G5-G52+G6*AI3)*B64*B85</f>
        <v>24.2548477174146</v>
      </c>
      <c r="H15" s="36">
        <f ca="1">(F15+G15)</f>
        <v>62.230070265331</v>
      </c>
      <c r="J15" s="12" t="s">
        <v>83</v>
      </c>
      <c r="K15" s="20">
        <f ca="1">技能数!F30</f>
        <v>54.0171752759842</v>
      </c>
      <c r="L15" s="20">
        <f ca="1">技能数!G30</f>
        <v>37.2255359708569</v>
      </c>
      <c r="N15" s="18" t="s">
        <v>632</v>
      </c>
      <c r="O15" s="1">
        <f ca="1">技能数!Z8</f>
        <v>16</v>
      </c>
      <c r="P15" s="1">
        <f ca="1">技能数!AE8</f>
        <v>7</v>
      </c>
      <c r="Q15" s="18">
        <f ca="1" t="shared" si="0"/>
        <v>23</v>
      </c>
      <c r="R15" s="50"/>
    </row>
    <row r="16" spans="1:49">
      <c r="A16" s="1" t="s">
        <v>966</v>
      </c>
      <c r="B16" s="1">
        <f>技能数据!H9</f>
        <v>6</v>
      </c>
      <c r="E16" s="12" t="s">
        <v>137</v>
      </c>
      <c r="F16" s="12">
        <f ca="1">(AK3*F5+AS3)*B63</f>
        <v>0</v>
      </c>
      <c r="G16" s="12">
        <f ca="1">(AL3*G5+G52+G6*AK3)*B63-G13</f>
        <v>0</v>
      </c>
      <c r="H16" s="36">
        <f ca="1">(F16+G16+G13)</f>
        <v>0</v>
      </c>
      <c r="J16" s="12" t="str">
        <f>技能数据!A32</f>
        <v>破•钗燕</v>
      </c>
      <c r="K16" s="20">
        <f ca="1">技能数!F31</f>
        <v>54.0171752759842</v>
      </c>
      <c r="L16" s="20">
        <f ca="1">技能数!G31</f>
        <v>37.2255359708569</v>
      </c>
      <c r="N16" s="1" t="str">
        <f>技能数据!A27</f>
        <v>无修·荒</v>
      </c>
      <c r="O16" s="1">
        <f ca="1">IF(角色属性!AA75,O3/(技能数据!$J$27+O3/(O4+O5+O10+O11+O14+O15+O12+O9+O23+O24+O25)*(1/技能数据!$G$27)),0)</f>
        <v>0</v>
      </c>
      <c r="P16" s="1">
        <f ca="1">IF(角色属性!AA75,P3/(技能数据!$J$27+P3/(P4+P5+P10+P11+P14+P15+P12+P9+P23+P24+P25)*(1/技能数据!$G$27)),0)</f>
        <v>0</v>
      </c>
      <c r="Q16" s="1">
        <f ca="1" t="shared" si="0"/>
        <v>0</v>
      </c>
      <c r="R16" s="50"/>
    </row>
    <row r="17" spans="1:18">
      <c r="A17" s="1" t="s">
        <v>82</v>
      </c>
      <c r="B17" s="1" t="b">
        <f>角色属性!AK13</f>
        <v>1</v>
      </c>
      <c r="E17" s="36" t="s">
        <v>967</v>
      </c>
      <c r="F17" s="36">
        <f ca="1">(F19+F20+F21+F22)*B51</f>
        <v>202.754893664251</v>
      </c>
      <c r="G17" s="36">
        <f ca="1">(G19+G20+G21+G22)*B51</f>
        <v>143.875860803334</v>
      </c>
      <c r="H17" s="36">
        <f ca="1">(F17+G17)*2</f>
        <v>693.26150893517</v>
      </c>
      <c r="J17" s="12" t="s">
        <v>925</v>
      </c>
      <c r="K17" s="20">
        <f>技能数!F41</f>
        <v>0</v>
      </c>
      <c r="L17" s="20">
        <f ca="1">G40</f>
        <v>0</v>
      </c>
      <c r="N17" s="1" t="str">
        <f>技能数据!A29</f>
        <v>巽</v>
      </c>
      <c r="O17" s="1">
        <f ca="1">IF(B47,O3/(技能数据!J29+O3/(O4+O5+O10+O11+O14+O15+O12+O9+O23+O24+O25)*(1/技能数据!G29)),0)</f>
        <v>19.4055736741949</v>
      </c>
      <c r="P17" s="1">
        <f ca="1">IF(B47,P3/(技能数据!J29+P3/(P4+P5+P10+P11+P14+P15+P12+P9+P23+P24+P25)*(1/技能数据!G29)),0)</f>
        <v>9.7046638964695</v>
      </c>
      <c r="Q17" s="1">
        <f ca="1" t="shared" si="0"/>
        <v>29.1102375706644</v>
      </c>
      <c r="R17" s="12"/>
    </row>
    <row r="18" spans="1:18">
      <c r="A18" s="1" t="s">
        <v>442</v>
      </c>
      <c r="B18" s="1" t="b">
        <f ca="1">角色属性!AA38</f>
        <v>0</v>
      </c>
      <c r="E18" s="36" t="s">
        <v>968</v>
      </c>
      <c r="F18" s="36">
        <f ca="1">F19+F20</f>
        <v>49.3854705882353</v>
      </c>
      <c r="G18" s="36">
        <f ca="1">G20+G19</f>
        <v>110.673739079488</v>
      </c>
      <c r="H18" s="36"/>
      <c r="J18" s="1" t="s">
        <v>969</v>
      </c>
      <c r="K18" s="20">
        <f ca="1">技能数!F46</f>
        <v>50.6887234160627</v>
      </c>
      <c r="L18" s="20">
        <f ca="1">技能数!G46</f>
        <v>143.875860803334</v>
      </c>
      <c r="N18" s="1" t="str">
        <f>技能数据!A28</f>
        <v>速·震</v>
      </c>
      <c r="O18" s="1" cm="1">
        <f ca="1" t="array" ref="O18">IF(B76,_xlfn.LET(_xlpm.totalTime,O3,_xlpm.TriggerCount,B74,_xlpm.dotCount,_xlfn.IFS(B56&gt;=42057,22,B56&gt;=36108,21,B56&gt;=30158,20,B56&gt;=26534,19,B56&gt;=22910,18,B56&gt;=19285,17,B56&gt;=14259,16,B56&gt;=9232,15,B56&gt;=6155,14,B56&gt;=3078,13,B56&gt;=0,12),_xlpm.totalTime/_xlpm.TriggerCount*_xlpm.dotCount),0)</f>
        <v>0</v>
      </c>
      <c r="P18" s="1" cm="1">
        <f ca="1" t="array" ref="P18">IF(B76,_xlfn.LET(_xlpm.totalTime,P3,_xlpm.TriggerCount,B75,_xlpm.dotCount,_xlfn.IFS(B56&gt;=42057,22,B56&gt;=36108,21,B56&gt;=30158,20,B56&gt;=26534,19,B56&gt;=22910,18,B56&gt;=19285,17,B56&gt;=14259,16,B56&gt;=9232,15,B56&gt;=6155,14,B56&gt;=3078,13,B56&gt;=0,12),_xlpm.totalTime/_xlpm.TriggerCount*_xlpm.dotCount),0)</f>
        <v>0</v>
      </c>
      <c r="Q18" s="1">
        <f ca="1" t="shared" si="0"/>
        <v>0</v>
      </c>
      <c r="R18" s="12"/>
    </row>
    <row r="19" spans="1:18">
      <c r="A19" s="1" t="s">
        <v>970</v>
      </c>
      <c r="B19" s="1">
        <v>38.1178702728872</v>
      </c>
      <c r="E19" s="12" t="str">
        <f>"玳弦•流玉"&amp;AE3</f>
        <v>玳弦•流玉2</v>
      </c>
      <c r="F19" s="12">
        <f ca="1">F8*(B43+AE3)*B49</f>
        <v>25.9014705882353</v>
      </c>
      <c r="H19" s="12"/>
      <c r="J19" s="1" t="s">
        <v>971</v>
      </c>
      <c r="K19" s="20">
        <f ca="1">技能数!F47</f>
        <v>38.488849382298</v>
      </c>
      <c r="L19" s="20">
        <f ca="1">技能数!G47</f>
        <v>24.2548477174146</v>
      </c>
      <c r="N19" s="1" t="str">
        <f>技能数据!A24</f>
        <v>剑风</v>
      </c>
      <c r="O19" s="1">
        <f ca="1">IF(角色属性!Z42,O3/(技能数据!$J$24+O3/(O4+O5+O10+O11+O14+O15+O12+O9+O23+O24+O25)*(1/技能数据!$G$24)),0)</f>
        <v>0</v>
      </c>
      <c r="P19" s="1">
        <f ca="1">IF(角色属性!Z42,P3/(技能数据!$J$24+P3/(P4+P5+P10+P11+P14+P15+P12+P9+P23+P24+P25)*(1/技能数据!$G$24)),0)</f>
        <v>0</v>
      </c>
      <c r="Q19" s="1">
        <f ca="1" t="shared" si="0"/>
        <v>0</v>
      </c>
      <c r="R19" s="12"/>
    </row>
    <row r="20" spans="1:18">
      <c r="A20" s="1" t="s">
        <v>972</v>
      </c>
      <c r="B20" s="1">
        <v>36.6838287894007</v>
      </c>
      <c r="E20" s="12" t="str">
        <f>"玳弦•流玉"&amp;AF3</f>
        <v>玳弦•流玉3</v>
      </c>
      <c r="F20" s="12">
        <f ca="1">(B43+AF3)*AM3*B49*(G10-2)</f>
        <v>23.484</v>
      </c>
      <c r="G20" s="12">
        <f ca="1">(G5*(B43+AF3)*AN3+G6*(B43+AE3)*AM3)*B49*B67</f>
        <v>110.673739079488</v>
      </c>
      <c r="H20" s="12"/>
      <c r="J20" s="1" t="s">
        <v>973</v>
      </c>
      <c r="K20" s="20">
        <f>技能数!F48</f>
        <v>0</v>
      </c>
      <c r="L20" s="20">
        <f>技能数!G48</f>
        <v>0</v>
      </c>
      <c r="N20" s="1" t="str">
        <f>技能数据!A47</f>
        <v>昆吾·弦刃</v>
      </c>
      <c r="O20" s="1">
        <f ca="1">IF(角色属性!AA68,O3/(技能数据!$J$47+O3/(O4+O5+O10+O11+O14+O15+O12+O9+O23+O24+O25)*(1/技能数据!$G$47)),0)</f>
        <v>14.9073971621816</v>
      </c>
      <c r="P20" s="1">
        <f ca="1">IF(角色属性!AA68,P3/(技能数据!$J$47+P3/(P4+P5+P10+P11+P14+P15+P12+P9+P23+P24+P25)*(1/技能数据!$G$47)),0)</f>
        <v>7.66680738012182</v>
      </c>
      <c r="Q20" s="1">
        <f ca="1" t="shared" si="0"/>
        <v>22.5742045423035</v>
      </c>
      <c r="R20" s="12"/>
    </row>
    <row r="21" spans="1:18">
      <c r="A21" s="1" t="s">
        <v>974</v>
      </c>
      <c r="B21" s="1">
        <f>技能数据!I33</f>
        <v>6</v>
      </c>
      <c r="E21" s="12" t="str">
        <f>"玳弦"&amp;AE3</f>
        <v>玳弦2</v>
      </c>
      <c r="F21" s="12">
        <f ca="1">(F5*AM3*(B43+AE3)-F19)*B49</f>
        <v>95.3901277989014</v>
      </c>
      <c r="G21" s="12"/>
      <c r="H21" s="12"/>
      <c r="J21" s="1" t="s">
        <v>975</v>
      </c>
      <c r="K21" s="20">
        <f ca="1">技能数!F49</f>
        <v>0</v>
      </c>
      <c r="L21" s="20">
        <f ca="1">技能数!G49</f>
        <v>0</v>
      </c>
      <c r="N21" s="1" t="str">
        <f>技能数据!A48</f>
        <v>刃凌</v>
      </c>
      <c r="O21" s="1">
        <f ca="1">IF(角色属性!AA70,O3/(技能数据!J48+O3/(O4+O5+O10+O11+O14+O15+O12+O9+O23+O24+O25)*(1/实战面板!D5)),0)</f>
        <v>19.242807152678</v>
      </c>
      <c r="P21" s="1">
        <f ca="1">IF(角色属性!AA70,P3/(技能数据!J48+P3/(P4+P5+P10+P11+P14+P15+P12+P9+P23+P24+P25)*(1/实战面板!E5)),0)</f>
        <v>9.63288817733834</v>
      </c>
      <c r="Q21" s="1">
        <f ca="1" t="shared" si="0"/>
        <v>28.8756953300163</v>
      </c>
      <c r="R21" s="12"/>
    </row>
    <row r="22" spans="1:18">
      <c r="A22" s="1" t="s">
        <v>976</v>
      </c>
      <c r="B22" s="1">
        <f>技能数据!H33</f>
        <v>3</v>
      </c>
      <c r="E22" s="12" t="str">
        <f>"玳弦"&amp;AF3</f>
        <v>玳弦3</v>
      </c>
      <c r="F22" s="12">
        <f ca="1">MAX((AT3*(AF3+B43)-F20)*B49,0)</f>
        <v>63.1781387044025</v>
      </c>
      <c r="G22" s="12">
        <f ca="1">(G5*(B43+AF3)*AN3+G6*(B43+AE3)*AM3)*B49*(1-B67)</f>
        <v>36.8912463598293</v>
      </c>
      <c r="H22" s="12"/>
      <c r="J22" s="12" t="s">
        <v>977</v>
      </c>
      <c r="K22" s="20">
        <f ca="1">技能数!F29</f>
        <v>202.754893664251</v>
      </c>
      <c r="L22" s="20">
        <f ca="1">技能数!G29</f>
        <v>143.875860803334</v>
      </c>
      <c r="N22" s="1" t="s">
        <v>893</v>
      </c>
      <c r="O22" s="1">
        <f ca="1">IF(B26,O3/B27*B28,0)</f>
        <v>48.189</v>
      </c>
      <c r="P22" s="1">
        <f ca="1">IF(B26,P3/B27*B28,0)</f>
        <v>24</v>
      </c>
      <c r="Q22" s="1">
        <f ca="1" t="shared" si="0"/>
        <v>72.189</v>
      </c>
      <c r="R22" s="12"/>
    </row>
    <row r="23" spans="1:18">
      <c r="A23" s="1" t="s">
        <v>978</v>
      </c>
      <c r="B23" s="1" t="b">
        <f ca="1">角色属性!AA75</f>
        <v>0</v>
      </c>
      <c r="E23" s="36" t="s">
        <v>979</v>
      </c>
      <c r="F23" s="36">
        <f ca="1">F24+F25</f>
        <v>110.881257107181</v>
      </c>
      <c r="G23" s="36">
        <f ca="1">G24+G25</f>
        <v>70.4622805472739</v>
      </c>
      <c r="H23" s="36">
        <f ca="1">(F23+G23)</f>
        <v>181.343537654455</v>
      </c>
      <c r="J23" s="12" t="s">
        <v>965</v>
      </c>
      <c r="K23" s="20">
        <f ca="1">技能数!F14</f>
        <v>38.488849382298</v>
      </c>
      <c r="L23" s="20">
        <f ca="1">技能数!G14</f>
        <v>24.2548477174146</v>
      </c>
      <c r="N23" s="1" t="s">
        <v>636</v>
      </c>
      <c r="O23" s="1">
        <f ca="1">O25*技能数据!$I$54</f>
        <v>48</v>
      </c>
      <c r="P23" s="1">
        <f ca="1">P25*技能数据!$I$54</f>
        <v>18</v>
      </c>
      <c r="Q23" s="1">
        <f ca="1" t="shared" si="0"/>
        <v>66</v>
      </c>
      <c r="R23" s="12"/>
    </row>
    <row r="24" spans="1:18">
      <c r="A24" s="1" t="s">
        <v>980</v>
      </c>
      <c r="B24" s="1">
        <f ca="1">技能数据!E27</f>
        <v>10.262877817284</v>
      </c>
      <c r="E24" s="12" t="str">
        <f>"破•霜降"&amp;AE3</f>
        <v>破•霜降2</v>
      </c>
      <c r="F24" s="12">
        <f ca="1">(F19+F21)/(B43+AE3)*B44*B50</f>
        <v>69.5000858758293</v>
      </c>
      <c r="G24" s="12"/>
      <c r="H24" s="12"/>
      <c r="J24" s="12" t="str">
        <f>技能数据!A24</f>
        <v>剑风</v>
      </c>
      <c r="K24" s="20">
        <f ca="1">技能数!F28</f>
        <v>0</v>
      </c>
      <c r="L24" s="20">
        <f ca="1">技能数!G28</f>
        <v>0</v>
      </c>
      <c r="N24" s="1" t="s">
        <v>960</v>
      </c>
      <c r="O24" s="1">
        <f ca="1">IF(AD6,O25,O25*3)</f>
        <v>24</v>
      </c>
      <c r="P24" s="1">
        <f ca="1">IF(AD6,P25,P25*3)</f>
        <v>9</v>
      </c>
      <c r="Q24" s="1">
        <f ca="1" t="shared" si="0"/>
        <v>33</v>
      </c>
      <c r="R24" s="12"/>
    </row>
    <row r="25" spans="1:18">
      <c r="A25" s="1" t="s">
        <v>981</v>
      </c>
      <c r="B25" s="1">
        <f ca="1">技能数据!F27</f>
        <v>10.249928521565</v>
      </c>
      <c r="E25" s="12" t="str">
        <f>"破•霜降"&amp;AF3</f>
        <v>破•霜降3</v>
      </c>
      <c r="F25" s="12">
        <f ca="1">(F20+F22)/(B43+AF3)*B44*B50</f>
        <v>41.3811712313522</v>
      </c>
      <c r="G25" s="12">
        <f ca="1">(G20+G22)/(B43+AF3)*B44*B50</f>
        <v>70.4622805472739</v>
      </c>
      <c r="H25" s="12"/>
      <c r="J25" s="12" t="str">
        <f>E44</f>
        <v>广陵月</v>
      </c>
      <c r="K25" s="12">
        <f ca="1">F44</f>
        <v>0</v>
      </c>
      <c r="L25" s="12">
        <f ca="1">G44</f>
        <v>0</v>
      </c>
      <c r="N25" s="1" t="s">
        <v>962</v>
      </c>
      <c r="O25" s="1">
        <f ca="1">IF(角色属性!AK29,技能数!X8,0)</f>
        <v>8</v>
      </c>
      <c r="P25" s="1">
        <f ca="1">IF(角色属性!AK29,技能数!AD8,0)</f>
        <v>3</v>
      </c>
      <c r="Q25" s="1">
        <f ca="1" t="shared" si="0"/>
        <v>11</v>
      </c>
      <c r="R25" s="12"/>
    </row>
    <row r="26" spans="1:18">
      <c r="A26" s="1" t="s">
        <v>893</v>
      </c>
      <c r="B26" s="1" t="b">
        <f>AND(伤害计算!$B$1&lt;&gt;"无增益",增益大全!G87)</f>
        <v>1</v>
      </c>
      <c r="E26" s="36" t="s">
        <v>982</v>
      </c>
      <c r="F26" s="36">
        <f ca="1">IF($B$6,F12+F15+F16+F8,0)*B52*B53*B81</f>
        <v>77.6702800984096</v>
      </c>
      <c r="G26" s="36">
        <f ca="1">IF($B$6,G12+G15+G16+G8+G13,0)*B52*B53</f>
        <v>57.4842106630877</v>
      </c>
      <c r="H26" s="36">
        <f ca="1">(F26+G26)</f>
        <v>135.154490761497</v>
      </c>
      <c r="J26" s="12" t="str">
        <f>E13</f>
        <v>满堂剑气</v>
      </c>
      <c r="K26" s="12">
        <f>F13</f>
        <v>0</v>
      </c>
      <c r="L26" s="12">
        <f ca="1">G13</f>
        <v>0</v>
      </c>
      <c r="N26" s="18" t="s">
        <v>983</v>
      </c>
      <c r="Q26" s="18">
        <f ca="1">SUM(Q23:Q25)</f>
        <v>110</v>
      </c>
      <c r="R26" s="12"/>
    </row>
    <row r="27" spans="1:18">
      <c r="A27" s="1" t="s">
        <v>984</v>
      </c>
      <c r="B27" s="1">
        <f>技能数据!J35</f>
        <v>50</v>
      </c>
      <c r="E27" s="12" t="s">
        <v>81</v>
      </c>
      <c r="F27" s="12">
        <f ca="1">IF($B$6,F12+F15*B48+F16*$B$48+F8,0)*B52*B53*B81</f>
        <v>113.74674151893</v>
      </c>
      <c r="G27" s="12">
        <f ca="1">IF($B$6,G12+G15*$B$48+G16*$B$48+G8+G13*B48,0)*B52*B53</f>
        <v>80.5263159946316</v>
      </c>
      <c r="R27" s="12"/>
    </row>
    <row r="28" spans="1:18">
      <c r="A28" s="1" t="s">
        <v>985</v>
      </c>
      <c r="B28" s="1">
        <f>技能数据!I35</f>
        <v>12</v>
      </c>
      <c r="E28" s="12" t="str">
        <f>技能数据!A24</f>
        <v>剑风</v>
      </c>
      <c r="F28" s="12">
        <f ca="1">IF(B10,技能数!F3/B11,0)</f>
        <v>0</v>
      </c>
      <c r="G28" s="12">
        <f ca="1">IF(B10,技能数!G3/B12,0)</f>
        <v>0</v>
      </c>
      <c r="H28" s="12"/>
      <c r="R28" s="12"/>
    </row>
    <row r="29" spans="1:18">
      <c r="A29" s="1" t="s">
        <v>986</v>
      </c>
      <c r="B29" s="1">
        <f>循环模拟!B32</f>
        <v>2</v>
      </c>
      <c r="E29" s="12" t="s">
        <v>977</v>
      </c>
      <c r="F29" s="12">
        <f ca="1">F17</f>
        <v>202.754893664251</v>
      </c>
      <c r="G29" s="12">
        <f ca="1">G17</f>
        <v>143.875860803334</v>
      </c>
      <c r="H29" s="36">
        <f ca="1">(F29+G29)</f>
        <v>346.630754467585</v>
      </c>
      <c r="J29" s="1" t="s">
        <v>936</v>
      </c>
      <c r="K29" s="1" t="s">
        <v>939</v>
      </c>
      <c r="L29" s="1" t="s">
        <v>940</v>
      </c>
      <c r="R29" s="12"/>
    </row>
    <row r="30" spans="1:18">
      <c r="A30" s="1" t="s">
        <v>987</v>
      </c>
      <c r="B30" s="1">
        <f>循环模拟!B33</f>
        <v>1</v>
      </c>
      <c r="E30" s="36" t="s">
        <v>83</v>
      </c>
      <c r="F30" s="36">
        <f ca="1">(F5*技能数!AC3+技能数!AU3)*B83</f>
        <v>54.0171752759842</v>
      </c>
      <c r="G30" s="36">
        <f ca="1">(G5*技能数!AD3+G6*AC3)*B83</f>
        <v>37.2255359708569</v>
      </c>
      <c r="H30" s="36">
        <f ca="1">(F30+G30)</f>
        <v>91.242711246841</v>
      </c>
      <c r="J30" s="1" t="str">
        <f>技能数据!A47</f>
        <v>昆吾·弦刃</v>
      </c>
      <c r="K30" s="1">
        <f ca="1">IF(全局设置!$H$2,技能数!F50,技能数!O20)</f>
        <v>14.253160324497</v>
      </c>
      <c r="L30" s="1">
        <f ca="1">IF(全局设置!$H$2,技能数!G50,技能数!P20)</f>
        <v>9.60054898577335</v>
      </c>
      <c r="R30" s="12"/>
    </row>
    <row r="31" spans="1:18">
      <c r="A31" s="1" t="s">
        <v>988</v>
      </c>
      <c r="B31" s="1">
        <f>循环模拟!B34</f>
        <v>2</v>
      </c>
      <c r="E31" s="12" t="str">
        <f>技能数据!A32</f>
        <v>破•钗燕</v>
      </c>
      <c r="F31" s="12">
        <f ca="1">F30</f>
        <v>54.0171752759842</v>
      </c>
      <c r="G31" s="12">
        <f ca="1">G30</f>
        <v>37.2255359708569</v>
      </c>
      <c r="H31" s="12"/>
      <c r="J31" s="1" t="str">
        <f>技能数据!A48</f>
        <v>刃凌</v>
      </c>
      <c r="K31" s="1">
        <f ca="1">IF(全局设置!$H$2,技能数!F51,技能数!O21)</f>
        <v>17.426325466205</v>
      </c>
      <c r="L31" s="1">
        <f ca="1">IF(全局设置!$H$2,技能数!G51,技能数!P21)</f>
        <v>11.6358179402064</v>
      </c>
      <c r="R31" s="12"/>
    </row>
    <row r="32" spans="1:18">
      <c r="A32" s="1" t="s">
        <v>989</v>
      </c>
      <c r="B32" s="1">
        <f>循环模拟!B35</f>
        <v>1</v>
      </c>
      <c r="E32" s="36" t="s">
        <v>990</v>
      </c>
      <c r="F32" s="12">
        <f ca="1">F33+F35</f>
        <v>75.7188122915062</v>
      </c>
      <c r="G32" s="12">
        <f ca="1">G33+G35</f>
        <v>34.0921267278734</v>
      </c>
      <c r="H32" s="12"/>
      <c r="J32" s="1" t="s">
        <v>893</v>
      </c>
      <c r="K32" s="1">
        <f ca="1">IF(全局设置!$H$2,技能数!F45,O22)</f>
        <v>43.2</v>
      </c>
      <c r="L32" s="1">
        <f ca="1">IF(全局设置!$H$2,技能数!G45,P22)</f>
        <v>28.8</v>
      </c>
      <c r="R32" s="12"/>
    </row>
    <row r="33" spans="1:18">
      <c r="A33" s="1" t="s">
        <v>991</v>
      </c>
      <c r="B33" s="1">
        <f>循环模拟!C32</f>
        <v>1</v>
      </c>
      <c r="E33" s="12" t="s">
        <v>992</v>
      </c>
      <c r="F33" s="12">
        <f ca="1">F15</f>
        <v>37.9752225479164</v>
      </c>
      <c r="G33" s="12">
        <f ca="1">G15</f>
        <v>24.2548477174146</v>
      </c>
      <c r="H33" s="12"/>
      <c r="J33" s="1" t="str">
        <f>E43</f>
        <v>巽</v>
      </c>
      <c r="K33" s="1">
        <f ca="1">IF(全局设置!$H$2,F43,O17)</f>
        <v>17.5389401690875</v>
      </c>
      <c r="L33" s="1">
        <f ca="1">IF(全局设置!$H$2,G43,P17)</f>
        <v>11.7073987147842</v>
      </c>
      <c r="R33" s="12"/>
    </row>
    <row r="34" spans="1:18">
      <c r="A34" s="1" t="s">
        <v>993</v>
      </c>
      <c r="B34" s="1">
        <f>循环模拟!C33</f>
        <v>1</v>
      </c>
      <c r="E34" s="12" t="s">
        <v>994</v>
      </c>
      <c r="F34" s="12">
        <f ca="1">IF(F15=0,0,IF(B69="纯手打",IF(B6,$B$16,2)*$B$14,$B$16*B14)*F33)</f>
        <v>1367.10801172499</v>
      </c>
      <c r="G34" s="12">
        <f ca="1">IF(G15=0,0,IF(B69="纯手打",IF(B6,$B$16,2)*$B$14,$B$16*B14)*G33)</f>
        <v>873.174517826925</v>
      </c>
      <c r="H34" s="12"/>
      <c r="J34" s="1" t="str">
        <f>技能数据!A27</f>
        <v>无修·荒</v>
      </c>
      <c r="K34" s="1">
        <f ca="1">IF(全局设置!$H$2,技能数!F42,技能数!O16)</f>
        <v>0</v>
      </c>
      <c r="L34" s="1">
        <f ca="1">IF(全局设置!$H$2,技能数!G42,技能数!P16)</f>
        <v>0</v>
      </c>
      <c r="R34" s="12"/>
    </row>
    <row r="35" spans="1:18">
      <c r="A35" s="1" t="s">
        <v>995</v>
      </c>
      <c r="B35" s="1">
        <f>循环模拟!C34</f>
        <v>2</v>
      </c>
      <c r="E35" s="12" t="s">
        <v>996</v>
      </c>
      <c r="F35" s="12">
        <f ca="1">IF(F15=0,F3/$B$15,F4/B15*F5*B70)+IF(AR3=0,0,B7/B15)</f>
        <v>37.7435897435897</v>
      </c>
      <c r="G35" s="12">
        <f ca="1">IF(G15=0,G3/$B$15,IF(B5,G11*B4/B15,G4/B15*G5*B70))</f>
        <v>9.83727901045878</v>
      </c>
      <c r="H35" s="12"/>
      <c r="J35" s="1" t="str">
        <f>技能数据!A28</f>
        <v>速·震</v>
      </c>
      <c r="K35" s="1">
        <f ca="1">IF(全局设置!$H$2,F53,O18)</f>
        <v>0</v>
      </c>
      <c r="L35" s="1">
        <f ca="1">IF(全局设置!$H$2,G53,P18)</f>
        <v>0</v>
      </c>
      <c r="R35" s="12"/>
    </row>
    <row r="36" spans="1:18">
      <c r="A36" s="1" t="s">
        <v>997</v>
      </c>
      <c r="B36" s="1">
        <f>循环模拟!C35</f>
        <v>1</v>
      </c>
      <c r="E36" s="12" t="s">
        <v>998</v>
      </c>
      <c r="F36" s="12">
        <f ca="1">F35*$B$16</f>
        <v>226.461538461538</v>
      </c>
      <c r="G36" s="12">
        <f ca="1">G35*$B$16</f>
        <v>59.0236740627527</v>
      </c>
      <c r="H36" s="12"/>
      <c r="R36" s="12"/>
    </row>
    <row r="37" spans="1:18">
      <c r="A37" s="1" t="s">
        <v>40</v>
      </c>
      <c r="B37" s="1" t="b">
        <f ca="1">角色属性!AA68</f>
        <v>1</v>
      </c>
      <c r="E37" s="1" t="s">
        <v>949</v>
      </c>
      <c r="F37" s="1">
        <f ca="1">F34+F36</f>
        <v>1593.56955018653</v>
      </c>
      <c r="G37" s="1">
        <f ca="1">G34+G36</f>
        <v>932.198191889678</v>
      </c>
      <c r="R37" s="12"/>
    </row>
    <row r="38" spans="1:18">
      <c r="A38" s="1" t="s">
        <v>48</v>
      </c>
      <c r="B38" s="1" t="b">
        <f ca="1">角色属性!AA70</f>
        <v>1</v>
      </c>
      <c r="E38" s="12" t="s">
        <v>82</v>
      </c>
      <c r="F38" s="12">
        <f ca="1">IF($B$17,F17,0)</f>
        <v>202.754893664251</v>
      </c>
      <c r="G38" s="12">
        <f ca="1">IF($B$17,G17,0)</f>
        <v>143.875860803334</v>
      </c>
      <c r="H38" s="36">
        <f ca="1">(F38+G38)</f>
        <v>346.630754467585</v>
      </c>
      <c r="R38" s="12"/>
    </row>
    <row r="39" spans="1:18">
      <c r="A39" s="1" t="s">
        <v>999</v>
      </c>
      <c r="B39" s="1">
        <f ca="1">技能数据!E47</f>
        <v>12.6287781728402</v>
      </c>
      <c r="E39" s="12" t="s">
        <v>1000</v>
      </c>
      <c r="F39" s="12"/>
      <c r="G39" s="12">
        <f ca="1">IF($B$18,G10,0)</f>
        <v>0</v>
      </c>
      <c r="H39" s="12"/>
      <c r="R39" s="12"/>
    </row>
    <row r="40" spans="1:18">
      <c r="A40" s="1" t="s">
        <v>1001</v>
      </c>
      <c r="B40" s="1">
        <f ca="1">技能数据!F47</f>
        <v>12.4992852156499</v>
      </c>
      <c r="E40" s="12" t="s">
        <v>1002</v>
      </c>
      <c r="F40" s="12"/>
      <c r="G40" s="12">
        <f ca="1">G39*($B$21+0.05)*$B$22</f>
        <v>0</v>
      </c>
      <c r="H40" s="12"/>
      <c r="R40" s="12"/>
    </row>
    <row r="41" spans="1:18">
      <c r="A41" s="1" t="s">
        <v>1003</v>
      </c>
      <c r="B41" s="1">
        <f ca="1">技能数据!E48</f>
        <v>10.3291999422985</v>
      </c>
      <c r="E41" s="1" t="s">
        <v>925</v>
      </c>
      <c r="G41" s="1">
        <f ca="1">G40/B22</f>
        <v>0</v>
      </c>
      <c r="H41" s="36">
        <f ca="1">(F41+G41)</f>
        <v>0</v>
      </c>
      <c r="R41" s="12"/>
    </row>
    <row r="42" spans="1:18">
      <c r="A42" s="1" t="s">
        <v>1004</v>
      </c>
      <c r="B42" s="1">
        <f ca="1">技能数据!F48</f>
        <v>10.3129836352417</v>
      </c>
      <c r="E42" s="12" t="str">
        <f>技能数据!A27</f>
        <v>无修·荒</v>
      </c>
      <c r="F42" s="12">
        <f ca="1">IF($B$23,技能数!$F$3/$B$24,0)</f>
        <v>0</v>
      </c>
      <c r="G42" s="12">
        <f ca="1">IF($B$23,技能数!$G$3/$B$25,0)</f>
        <v>0</v>
      </c>
      <c r="H42" s="36">
        <f ca="1">(F42+G42)</f>
        <v>0</v>
      </c>
    </row>
    <row r="43" spans="1:18">
      <c r="A43" s="1" t="s">
        <v>1005</v>
      </c>
      <c r="B43" s="1">
        <v>3</v>
      </c>
      <c r="E43" s="12" t="s">
        <v>1006</v>
      </c>
      <c r="F43" s="12">
        <f ca="1">IF(B47,技能数!$F$3/B45,0)</f>
        <v>17.5389401690875</v>
      </c>
      <c r="G43" s="12">
        <f ca="1">IF(B47,技能数!$G$3/B46,0)</f>
        <v>11.7073987147842</v>
      </c>
      <c r="H43" s="12"/>
    </row>
    <row r="44" spans="1:18">
      <c r="A44" s="1" t="s">
        <v>1007</v>
      </c>
      <c r="B44" s="1">
        <f>技能数据!I17</f>
        <v>3</v>
      </c>
      <c r="E44" s="12" t="s">
        <v>438</v>
      </c>
      <c r="F44" s="12">
        <f ca="1">IF($B$57,SUM(伤害招式表[平时数量])*B58,0)</f>
        <v>0</v>
      </c>
      <c r="G44" s="12">
        <f ca="1">IF($B$57,SUM(伤害招式表[繁音数量])*B58,0)</f>
        <v>0</v>
      </c>
      <c r="H44" s="12"/>
    </row>
    <row r="45" spans="1:18">
      <c r="A45" s="1" t="s">
        <v>1008</v>
      </c>
      <c r="B45" s="1">
        <f ca="1">技能数据!E29</f>
        <v>10.262877817284</v>
      </c>
      <c r="E45" s="12" t="s">
        <v>893</v>
      </c>
      <c r="F45" s="12">
        <f>IF($B$26,F3/$B$27*$B$28,0)</f>
        <v>43.2</v>
      </c>
      <c r="G45" s="12">
        <f>IF($B$26,G3/$B$27*$B$28,0)</f>
        <v>28.8</v>
      </c>
      <c r="H45" s="12"/>
    </row>
    <row r="46" spans="1:18">
      <c r="A46" s="1" t="s">
        <v>1009</v>
      </c>
      <c r="B46" s="1">
        <f ca="1">技能数据!F29</f>
        <v>10.249928521565</v>
      </c>
      <c r="E46" s="1" t="s">
        <v>969</v>
      </c>
      <c r="F46" s="1">
        <f ca="1">IF(OR(B5,B69="破气玳"),B54*F17,F17*(B33-1)+IF(AND(B29=2,B33=1),F17*B54,0))</f>
        <v>50.6887234160627</v>
      </c>
      <c r="G46" s="1">
        <f ca="1">IF(B5,G11*B4/G3*G17,G17*(B29-1))</f>
        <v>143.875860803334</v>
      </c>
      <c r="H46" s="36">
        <f ca="1" t="shared" ref="H46:H47" si="1">(F46+G46)</f>
        <v>194.564584219397</v>
      </c>
    </row>
    <row r="47" spans="1:18">
      <c r="A47" s="1" t="s">
        <v>1010</v>
      </c>
      <c r="B47" s="1" t="b">
        <f ca="1">OR(角色属性!Z44,角色属性!Z55)</f>
        <v>1</v>
      </c>
      <c r="E47" s="1" t="s">
        <v>971</v>
      </c>
      <c r="F47" s="1">
        <f ca="1">F12*(B35-1)+IF(AND(B31=2,B35=1),技能数!AQ3,0)*B86</f>
        <v>38.488849382298</v>
      </c>
      <c r="G47" s="1">
        <f ca="1">G12*(B31-1)</f>
        <v>24.2548477174146</v>
      </c>
      <c r="H47" s="36">
        <f ca="1" t="shared" si="1"/>
        <v>62.7436970997126</v>
      </c>
    </row>
    <row r="48" spans="1:18">
      <c r="A48" s="1" t="s">
        <v>1011</v>
      </c>
      <c r="B48" s="1">
        <v>2</v>
      </c>
      <c r="E48" s="1" t="s">
        <v>973</v>
      </c>
    </row>
    <row r="49" spans="1:8">
      <c r="A49" s="1" t="s">
        <v>1012</v>
      </c>
      <c r="B49" s="1" cm="1">
        <f ca="1" t="array" ref="B49">_xlfn.IFS(B69="破气玳",1,B5,1.047,TRUE(),1.03)*B72*B79*B59</f>
        <v>0.9785</v>
      </c>
      <c r="C49" s="1">
        <v>1.0403</v>
      </c>
      <c r="E49" s="1" t="s">
        <v>975</v>
      </c>
      <c r="F49" s="1">
        <f ca="1">F16*(B34-1)+IF(AND(B30=2,B34=1),技能数!AS3,0)+IF(B5,AS3,0)</f>
        <v>0</v>
      </c>
      <c r="G49" s="1">
        <f ca="1">G16*IF(B5,1,B30-1)-G6*AK3</f>
        <v>0</v>
      </c>
      <c r="H49" s="36">
        <f ca="1">(F49+G49)</f>
        <v>0</v>
      </c>
    </row>
    <row r="50" spans="1:8">
      <c r="A50" s="1" t="s">
        <v>1013</v>
      </c>
      <c r="B50" s="1">
        <f>IF(B5,0.955,0.955)</f>
        <v>0.955</v>
      </c>
      <c r="C50" s="1">
        <v>0.955</v>
      </c>
      <c r="E50" s="1" t="str">
        <f>技能数据!A47</f>
        <v>昆吾·弦刃</v>
      </c>
      <c r="F50" s="1">
        <f ca="1">IF($B$37,技能数!F3/B39,0)</f>
        <v>14.253160324497</v>
      </c>
      <c r="G50" s="1">
        <f ca="1">IF(B37,技能数!G3/B40,0)</f>
        <v>9.60054898577335</v>
      </c>
      <c r="H50" s="36">
        <f ca="1">(F50+G50)</f>
        <v>23.8537093102704</v>
      </c>
    </row>
    <row r="51" spans="1:8">
      <c r="A51" s="1" t="s">
        <v>1014</v>
      </c>
      <c r="B51" s="1" cm="1">
        <f ca="1" t="array" ref="B51">_xlfn.IFS(B69="破气玳",0.97,B5,0.96,TRUE(),0.975)*B80*B73*B60</f>
        <v>0.975</v>
      </c>
      <c r="C51" s="1">
        <v>0.975</v>
      </c>
      <c r="E51" s="1" t="str">
        <f>技能数据!A48</f>
        <v>刃凌</v>
      </c>
      <c r="F51" s="1">
        <f ca="1">IF(B38,技能数!F3/B41,0)</f>
        <v>17.426325466205</v>
      </c>
      <c r="G51" s="1">
        <f ca="1">IF(B38,技能数!G3/B42,0)</f>
        <v>11.6358179402064</v>
      </c>
      <c r="H51" s="36">
        <f ca="1">(F51+G51)</f>
        <v>29.0621434064114</v>
      </c>
    </row>
    <row r="52" spans="1:8">
      <c r="A52" s="1" t="s">
        <v>1015</v>
      </c>
      <c r="B52" s="1" cm="1">
        <f t="array" ref="B52">_xlfn.IFS(B69="破气玳",0.98,B5,0.98,TRUE(),0.95)</f>
        <v>0.95</v>
      </c>
      <c r="C52" s="1">
        <v>0.95</v>
      </c>
      <c r="E52" s="1" t="s">
        <v>1016</v>
      </c>
      <c r="G52" s="1">
        <f ca="1">IF(OR(B5,B69="破气玳"),0,G39)</f>
        <v>0</v>
      </c>
    </row>
    <row r="53" spans="1:8">
      <c r="A53" s="1" t="s">
        <v>1017</v>
      </c>
      <c r="B53" s="1" cm="1">
        <f ca="1" t="array" ref="B53">_xlfn.IFS(AND(B18,B69="纯手打"),1,AND(B18,B69="破气玳"),1,TRUE(),1)</f>
        <v>1</v>
      </c>
      <c r="C53" s="1">
        <v>1</v>
      </c>
      <c r="E53" s="1" t="s">
        <v>1018</v>
      </c>
      <c r="F53" s="1" cm="1">
        <f ca="1" t="array" ref="F53">IF(B76,_xlfn.LET(_xlpm.totalTime,F3,_xlpm.TriggerCount,B74,_xlpm.dotCount,_xlfn.IFS(B56&gt;=42057,22,B56&gt;=36108,21,B56&gt;=30158,20,B56&gt;=26534,19,B56&gt;=22910,18,B56&gt;=19285,17,B56&gt;=14259,16,B56&gt;=9232,15,B56&gt;=6155,14,B56&gt;=3078,13,B56&gt;=0,12),_xlpm.totalTime/_xlpm.TriggerCount*_xlpm.dotCount),0)</f>
        <v>0</v>
      </c>
      <c r="G53" s="1" cm="1">
        <f ca="1" t="array" ref="G53">IF(B76,_xlfn.LET(_xlpm.totalTime,G3,_xlpm.TriggerCount,B75,_xlpm.dotCount,_xlfn.IFS(B56&gt;=42057,22,B56&gt;=36108,21,B56&gt;=30158,20,B56&gt;=26534,19,B56&gt;=22910,18,B56&gt;=19285,17,B56&gt;=14259,16,B56&gt;=9232,15,B56&gt;=6155,14,B56&gt;=3078,13,B56&gt;=0,12),_xlpm.totalTime/_xlpm.TriggerCount*_xlpm.dotCount),0)</f>
        <v>0</v>
      </c>
      <c r="H53" s="36">
        <f ca="1">(F53+G53)</f>
        <v>0</v>
      </c>
    </row>
    <row r="54" spans="1:8">
      <c r="A54" s="1" t="s">
        <v>1019</v>
      </c>
      <c r="B54" s="1">
        <f ca="1">IF(OR(B5,B69="破气玳"),0.29,IF(AND(计算主页!K3="武学助手",角色属性!AA38&lt;&gt;TRUE()),0.25,0.36))</f>
        <v>0.25</v>
      </c>
    </row>
    <row r="55" spans="1:8">
      <c r="A55" s="1" t="s">
        <v>1020</v>
      </c>
      <c r="B55" s="1">
        <f>MOD(H3,技能数据!J25)-3*6</f>
        <v>12</v>
      </c>
    </row>
    <row r="56" spans="1:8">
      <c r="A56" s="1" t="s">
        <v>1021</v>
      </c>
      <c r="B56" s="1">
        <f ca="1">实战面板!V2</f>
        <v>32213</v>
      </c>
    </row>
    <row r="57" spans="1:8">
      <c r="A57" s="1" t="s">
        <v>438</v>
      </c>
      <c r="B57" s="1">
        <f>角色属性!AK5</f>
        <v>0</v>
      </c>
    </row>
    <row r="58" spans="1:8">
      <c r="A58" s="1" t="s">
        <v>1022</v>
      </c>
      <c r="B58" s="1">
        <f>技能数据!L14</f>
        <v>0.3</v>
      </c>
    </row>
    <row r="59" spans="1:8">
      <c r="A59" s="8" t="s">
        <v>953</v>
      </c>
      <c r="B59" s="1">
        <f ca="1">IF(AND(OR(计算主页!K3="武学助手",计算主页!K3="自定义序列"),角色属性!AA38&lt;&gt;TRUE()),0.95,1)</f>
        <v>0.95</v>
      </c>
    </row>
    <row r="60" spans="1:8">
      <c r="A60" s="8" t="s">
        <v>1023</v>
      </c>
      <c r="B60" s="1">
        <f ca="1">IF(AND(OR(计算主页!K3="武学助手",计算主页!K3="自定义序列"),角色属性!AA38&lt;&gt;TRUE()),1,1)</f>
        <v>1</v>
      </c>
    </row>
    <row r="61" spans="1:8">
      <c r="A61" s="1" t="s">
        <v>548</v>
      </c>
      <c r="B61" s="1">
        <f>加速计算!R20</f>
        <v>19900</v>
      </c>
    </row>
    <row r="62" spans="1:8">
      <c r="A62" s="1" t="s">
        <v>548</v>
      </c>
      <c r="B62" s="1">
        <f>加速计算!R25</f>
        <v>31799</v>
      </c>
    </row>
    <row r="63" spans="1:8">
      <c r="A63" s="1" t="s">
        <v>1024</v>
      </c>
      <c r="B63" s="1">
        <f>IF(B5,1.045,1)</f>
        <v>1</v>
      </c>
    </row>
    <row r="64" spans="1:8">
      <c r="A64" s="1" t="s">
        <v>1025</v>
      </c>
      <c r="B64" s="1">
        <f>IF(B5,0.845,1)</f>
        <v>1</v>
      </c>
    </row>
    <row r="65" spans="1:2">
      <c r="A65" s="1" t="s">
        <v>1026</v>
      </c>
      <c r="B65" s="1" t="b">
        <f>AE3=AF3</f>
        <v>0</v>
      </c>
    </row>
    <row r="66" spans="1:2">
      <c r="A66" s="1" t="s">
        <v>653</v>
      </c>
      <c r="B66" s="1" t="b">
        <f ca="1">增益大全!G29</f>
        <v>0</v>
      </c>
    </row>
    <row r="67" spans="1:2">
      <c r="A67" s="1" t="s">
        <v>1027</v>
      </c>
      <c r="B67" s="1">
        <f>IF(B78,4,3)/(B68*2)</f>
        <v>0.75</v>
      </c>
    </row>
    <row r="68" spans="1:2">
      <c r="A68" s="1" t="s">
        <v>1028</v>
      </c>
      <c r="B68" s="1">
        <v>2</v>
      </c>
    </row>
    <row r="69" spans="1:2">
      <c r="A69" s="1" t="s">
        <v>378</v>
      </c>
      <c r="B69" s="8" t="str">
        <f>循环模拟!B3</f>
        <v>纯手打</v>
      </c>
    </row>
    <row r="70" spans="1:2">
      <c r="A70" s="1" t="s">
        <v>1029</v>
      </c>
      <c r="B70" s="1">
        <f ca="1">0.2*B71</f>
        <v>0.2</v>
      </c>
    </row>
    <row r="71" spans="1:2">
      <c r="A71" s="1" t="s">
        <v>1030</v>
      </c>
      <c r="B71" s="1">
        <f ca="1">IF(AND(B18,B69&lt;&gt;"破气玳"),2.15,1)</f>
        <v>1</v>
      </c>
    </row>
    <row r="72" spans="1:2">
      <c r="A72" s="1" t="s">
        <v>1031</v>
      </c>
      <c r="B72" s="1" cm="1">
        <f ca="1" t="array" ref="B72">_xlfn.IFS(AND(B18,B69="纯手打"),1.01,AND(B18,B69="破气玳"),_xlfn.IFS(AND(B78,B6),1.01,AND(B78,B82),0.995,TRUE(),1),TRUE(),1)</f>
        <v>1</v>
      </c>
    </row>
    <row r="73" spans="1:2">
      <c r="A73" s="1" t="s">
        <v>1032</v>
      </c>
      <c r="B73" s="1" cm="1">
        <f ca="1" t="array" ref="B73">_xlfn.IFS(AND(B18,B69="纯手打"),1,AND(B18,B69="破气玳"),_xlfn.IFS(AND(B78,B6),0.995,AND(B78,B82),1.005,TRUE(),1),TRUE(),1)</f>
        <v>1</v>
      </c>
    </row>
    <row r="74" spans="1:2">
      <c r="A74" s="1" t="s">
        <v>1033</v>
      </c>
      <c r="B74" s="1">
        <f ca="1">技能数据!E28</f>
        <v>40.262877817284</v>
      </c>
    </row>
    <row r="75" spans="1:2">
      <c r="A75" s="1" t="s">
        <v>1034</v>
      </c>
      <c r="B75" s="1">
        <f ca="1">技能数据!F28</f>
        <v>40.249928521565</v>
      </c>
    </row>
    <row r="76" spans="1:2">
      <c r="A76" s="1" t="s">
        <v>788</v>
      </c>
      <c r="B76" s="1" t="b">
        <f ca="1">OR(角色属性!Z65,角色属性!Z54)</f>
        <v>0</v>
      </c>
    </row>
    <row r="77" spans="1:2">
      <c r="A77" s="1" t="s">
        <v>1035</v>
      </c>
    </row>
    <row r="78" spans="1:2">
      <c r="A78" s="1" t="s">
        <v>435</v>
      </c>
      <c r="B78" s="1" t="b">
        <f>角色属性!AK14</f>
        <v>0</v>
      </c>
    </row>
    <row r="79" spans="1:2">
      <c r="A79" s="1" t="s">
        <v>1036</v>
      </c>
      <c r="B79" s="1">
        <f>IF(B78,0.97,1)</f>
        <v>1</v>
      </c>
    </row>
    <row r="80" spans="1:2">
      <c r="A80" s="1" t="s">
        <v>1037</v>
      </c>
      <c r="B80" s="1">
        <f>IF(B78,1.02,1)</f>
        <v>1</v>
      </c>
    </row>
    <row r="81" spans="1:2">
      <c r="A81" s="1" t="s">
        <v>1038</v>
      </c>
      <c r="B81" s="1" cm="1">
        <f t="array" ref="B81">_xlfn.IFS(AND(B78,NOT(B82),B69="纯手打"),0,AND(B78,NOT(B82),B69="拼好玳"),0.75,TRUE(),1)</f>
        <v>1</v>
      </c>
    </row>
    <row r="82" spans="1:2">
      <c r="A82" s="1" t="s">
        <v>83</v>
      </c>
      <c r="B82" s="1" t="b">
        <f>角色属性!AK12</f>
        <v>1</v>
      </c>
    </row>
    <row r="83" spans="1:2">
      <c r="A83" s="1" t="s">
        <v>1039</v>
      </c>
      <c r="B83" s="1">
        <f>IF(B82,0.95,0)*IF(B69="破气玳",IF(B78,0.98,1.02),1)</f>
        <v>0.95</v>
      </c>
    </row>
    <row r="84" spans="1:2">
      <c r="A84" s="1" t="s">
        <v>1040</v>
      </c>
    </row>
    <row r="85" spans="1:2">
      <c r="A85" s="1" t="s">
        <v>1041</v>
      </c>
      <c r="B85" s="1">
        <f>IF(B69="纯手打",0.965,1)</f>
        <v>0.965</v>
      </c>
    </row>
    <row r="86" spans="1:2">
      <c r="A86" s="1" t="s">
        <v>1042</v>
      </c>
      <c r="B86" s="1">
        <f>IF(OR(B69="破气玳",B5),0.55,1)</f>
        <v>1</v>
      </c>
    </row>
  </sheetData>
  <pageMargins left="0.75" right="0.75" top="1" bottom="1" header="0.5" footer="0.5"/>
  <headerFooter/>
  <legacyDrawing r:id="rId2"/>
  <tableParts count="5">
    <tablePart r:id="rId3"/>
    <tablePart r:id="rId4"/>
    <tablePart r:id="rId5"/>
    <tablePart r:id="rId6"/>
    <tablePart r:id="rId7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/>
  <dimension ref="A1:XEZ63"/>
  <sheetViews>
    <sheetView workbookViewId="0">
      <pane xSplit="4" ySplit="1" topLeftCell="E2" activePane="bottomRight" state="frozen"/>
      <selection/>
      <selection pane="topRight"/>
      <selection pane="bottomLeft"/>
      <selection pane="bottomRight" activeCell="I33" sqref="I33"/>
    </sheetView>
  </sheetViews>
  <sheetFormatPr defaultColWidth="9" defaultRowHeight="14.25"/>
  <cols>
    <col min="1" max="1" width="14.375" style="1" customWidth="1"/>
    <col min="2" max="2" width="12.125" style="1"/>
    <col min="3" max="3" width="12.625" style="1"/>
    <col min="4" max="4" width="11.125" style="1"/>
    <col min="5" max="6" width="12.875" style="1"/>
    <col min="7" max="8" width="11.125" style="1"/>
    <col min="9" max="9" width="12.625" style="1"/>
    <col min="10" max="11" width="11.125" style="1"/>
    <col min="12" max="12" width="11.75" style="1" customWidth="1"/>
    <col min="13" max="16" width="11.125" style="1"/>
    <col min="17" max="17" width="11.125" style="23"/>
    <col min="18" max="18" width="11.125" style="1"/>
    <col min="19" max="19" width="11.125" style="23"/>
    <col min="20" max="25" width="11.125" style="1"/>
    <col min="26" max="27" width="9" style="1"/>
    <col min="29" max="29" width="9" style="1"/>
    <col min="52" max="16379" width="9" style="1"/>
  </cols>
  <sheetData>
    <row r="1" spans="1:51 16377:16379">
      <c r="A1" s="12" t="s">
        <v>936</v>
      </c>
      <c r="B1" s="12" t="s">
        <v>1043</v>
      </c>
      <c r="C1" s="12" t="s">
        <v>1044</v>
      </c>
      <c r="D1" s="12" t="s">
        <v>1045</v>
      </c>
      <c r="E1" s="12" t="s">
        <v>1046</v>
      </c>
      <c r="F1" s="12" t="s">
        <v>1047</v>
      </c>
      <c r="G1" s="12" t="s">
        <v>1048</v>
      </c>
      <c r="H1" s="12" t="s">
        <v>167</v>
      </c>
      <c r="I1" s="12" t="s">
        <v>1049</v>
      </c>
      <c r="J1" s="12" t="s">
        <v>561</v>
      </c>
      <c r="K1" s="12" t="s">
        <v>1050</v>
      </c>
      <c r="L1" s="12" t="s">
        <v>800</v>
      </c>
      <c r="M1" s="39" t="s">
        <v>98</v>
      </c>
      <c r="N1" s="1" t="s">
        <v>42</v>
      </c>
      <c r="O1" s="39" t="s">
        <v>817</v>
      </c>
      <c r="P1" s="12" t="s">
        <v>820</v>
      </c>
      <c r="Q1" s="39" t="s">
        <v>821</v>
      </c>
      <c r="R1" s="39" t="s">
        <v>822</v>
      </c>
      <c r="S1" s="1"/>
      <c r="T1" s="1" t="s">
        <v>360</v>
      </c>
      <c r="Y1"/>
      <c r="AA1"/>
      <c r="AC1"/>
      <c r="AW1" s="1"/>
      <c r="AX1" s="1"/>
      <c r="AY1" s="1"/>
      <c r="XEW1"/>
      <c r="XEX1"/>
      <c r="XEY1"/>
    </row>
    <row r="2" spans="1:51 16377:16379">
      <c r="A2" s="12" t="s">
        <v>883</v>
      </c>
      <c r="B2" s="12">
        <f>IF(全局设置!$D$2,WPS技能数据!B2,Excel技能数据!B2)</f>
        <v>129</v>
      </c>
      <c r="C2" s="12">
        <f>IF(全局设置!$D$2,WPS技能数据!C2,Excel技能数据!C2)</f>
        <v>4.526041667</v>
      </c>
      <c r="D2" s="12">
        <f>IF(全局设置!$D$2,WPS技能数据!D2,Excel技能数据!D2)</f>
        <v>0</v>
      </c>
      <c r="E2" s="12"/>
      <c r="F2" s="12"/>
      <c r="G2" s="12"/>
      <c r="H2" s="12"/>
      <c r="I2" s="12"/>
      <c r="J2" s="12">
        <f>IF(U5,4,10)</f>
        <v>4</v>
      </c>
      <c r="K2" s="12"/>
      <c r="L2" s="12">
        <v>1</v>
      </c>
      <c r="M2" s="23" cm="1">
        <f ca="1" t="array" ref="M2">技能属性(A2,增益数据表[会心提高])</f>
        <v>0.05</v>
      </c>
      <c r="N2" s="23" cm="1">
        <f ca="1" t="array" ref="N2">技能属性(A2,增益数据表[会效提高])</f>
        <v>0</v>
      </c>
      <c r="O2" s="39" cm="1">
        <f ca="1" t="array" ref="O2">技能属性(A2,增益数据表[增伤])</f>
        <v>0</v>
      </c>
      <c r="P2" s="39" cm="1">
        <f ca="1" t="array" ref="P2">技能属性(A2,增益数据表[无视防御])</f>
        <v>0</v>
      </c>
      <c r="Q2" s="39" cm="1">
        <f ca="1" t="array" ref="Q2">技能属性(A2,增益数据表[独立增伤])</f>
        <v>0</v>
      </c>
      <c r="R2" s="39" cm="1">
        <f ca="1" t="array" ref="R2">技能属性(A2,增益数据表[最终增伤])</f>
        <v>0</v>
      </c>
      <c r="S2" s="1"/>
      <c r="T2" s="23" t="s">
        <v>80</v>
      </c>
      <c r="U2" s="1" t="b">
        <f>角色属性!AK10</f>
        <v>1</v>
      </c>
      <c r="W2" s="1" t="s">
        <v>375</v>
      </c>
      <c r="X2" s="1">
        <f>技能数!F3</f>
        <v>180</v>
      </c>
      <c r="Y2"/>
      <c r="AA2"/>
      <c r="AC2"/>
      <c r="AW2" s="1"/>
      <c r="AX2" s="1"/>
      <c r="AY2" s="1"/>
      <c r="XEW2"/>
      <c r="XEX2"/>
      <c r="XEY2"/>
    </row>
    <row r="3" spans="1:51 16377:16379">
      <c r="A3" s="12" t="s">
        <v>130</v>
      </c>
      <c r="B3" s="12">
        <f>IF(全局设置!$D$2,WPS技能数据!B3,Excel技能数据!B3)</f>
        <v>262</v>
      </c>
      <c r="C3" s="12">
        <f>IF(全局设置!$D$2,WPS技能数据!C3,Excel技能数据!C3)</f>
        <v>0.864583333</v>
      </c>
      <c r="D3" s="12">
        <f>IF(全局设置!$D$2,WPS技能数据!D3,Excel技能数据!D3)</f>
        <v>0</v>
      </c>
      <c r="F3" s="12"/>
      <c r="G3" s="40"/>
      <c r="H3" s="12">
        <f>IF(U8,2,1)</f>
        <v>2</v>
      </c>
      <c r="I3" s="12">
        <f>3</f>
        <v>3</v>
      </c>
      <c r="J3" s="12"/>
      <c r="K3" s="12"/>
      <c r="L3" s="12"/>
      <c r="M3" s="23" cm="1">
        <f ca="1" t="array" ref="M3">技能属性(A3,增益数据表[会心提高])</f>
        <v>0</v>
      </c>
      <c r="N3" s="23" cm="1">
        <f ca="1" t="array" ref="N3">技能属性(A3,增益数据表[会效提高])</f>
        <v>0</v>
      </c>
      <c r="O3" s="39" cm="1">
        <f ca="1" t="array" ref="O3">技能属性(A3,增益数据表[增伤])</f>
        <v>0.22</v>
      </c>
      <c r="P3" s="39" cm="1">
        <f ca="1" t="array" ref="P3">技能属性(A3,增益数据表[无视防御])</f>
        <v>0</v>
      </c>
      <c r="Q3" s="39" cm="1">
        <f ca="1" t="array" ref="Q3">技能属性(A3,增益数据表[独立增伤])</f>
        <v>0.45</v>
      </c>
      <c r="R3" s="39" cm="1">
        <f ca="1" t="array" ref="R3">技能属性(A3,增益数据表[最终增伤])</f>
        <v>0</v>
      </c>
      <c r="S3" s="1"/>
      <c r="T3" s="23" t="s">
        <v>1051</v>
      </c>
      <c r="U3" s="1">
        <f>技能数!$AF$3</f>
        <v>3</v>
      </c>
      <c r="W3" s="1" t="s">
        <v>365</v>
      </c>
      <c r="X3" s="1">
        <f>技能数!G3</f>
        <v>120</v>
      </c>
      <c r="Y3"/>
      <c r="AA3"/>
      <c r="AC3"/>
      <c r="AW3" s="1"/>
      <c r="AX3" s="1"/>
      <c r="AY3" s="1"/>
      <c r="XEW3"/>
      <c r="XEX3"/>
      <c r="XEY3"/>
    </row>
    <row r="4" spans="1:51 16377:16379">
      <c r="A4" s="12" t="s">
        <v>1052</v>
      </c>
      <c r="B4" s="12">
        <f>$B$3</f>
        <v>262</v>
      </c>
      <c r="C4" s="12">
        <f>$C$3*(1+(I4-$I$3)*$U$13)</f>
        <v>0.9510416663</v>
      </c>
      <c r="D4" s="12"/>
      <c r="F4" s="12"/>
      <c r="G4" s="40"/>
      <c r="H4" s="12"/>
      <c r="I4" s="12">
        <v>4</v>
      </c>
      <c r="J4" s="12"/>
      <c r="K4" s="12"/>
      <c r="L4" s="12"/>
      <c r="M4" s="41">
        <f ca="1">$M$3</f>
        <v>0</v>
      </c>
      <c r="N4" s="41">
        <f ca="1">$N$3</f>
        <v>0</v>
      </c>
      <c r="O4" s="41">
        <f ca="1">$O$3</f>
        <v>0.22</v>
      </c>
      <c r="P4" s="41">
        <f ca="1">$P$3</f>
        <v>0</v>
      </c>
      <c r="Q4" s="41">
        <f ca="1">$Q$3</f>
        <v>0.45</v>
      </c>
      <c r="R4" s="42">
        <f ca="1">$R$3</f>
        <v>0</v>
      </c>
      <c r="S4" s="1"/>
      <c r="T4" s="23" t="s">
        <v>1053</v>
      </c>
      <c r="U4" s="1">
        <f>技能数!$AE$3</f>
        <v>2</v>
      </c>
      <c r="AA4"/>
      <c r="AC4"/>
      <c r="AW4" s="1"/>
      <c r="AX4" s="1"/>
      <c r="AY4" s="1"/>
      <c r="XEW4"/>
      <c r="XEX4"/>
      <c r="XEY4"/>
    </row>
    <row r="5" spans="1:51 16377:16379">
      <c r="A5" s="12" t="s">
        <v>1054</v>
      </c>
      <c r="B5" s="12">
        <f>$B$3</f>
        <v>262</v>
      </c>
      <c r="C5" s="12">
        <f>$C$3*(1+(I5-$I$3)*$U$13)</f>
        <v>1.0374999996</v>
      </c>
      <c r="D5" s="12">
        <f>IF(全局设置!$B$1=全局设置!$D$1,WPS技能数据!D6)</f>
        <v>0</v>
      </c>
      <c r="F5" s="12"/>
      <c r="G5" s="40"/>
      <c r="H5" s="12"/>
      <c r="I5" s="12">
        <v>5</v>
      </c>
      <c r="J5" s="12"/>
      <c r="K5" s="12"/>
      <c r="L5" s="12"/>
      <c r="M5" s="41">
        <f ca="1">$M$3</f>
        <v>0</v>
      </c>
      <c r="N5" s="41">
        <f ca="1">$N$3</f>
        <v>0</v>
      </c>
      <c r="O5" s="41">
        <f ca="1">$O$3</f>
        <v>0.22</v>
      </c>
      <c r="P5" s="41">
        <f ca="1">$P$3</f>
        <v>0</v>
      </c>
      <c r="Q5" s="41">
        <f ca="1">$Q$3</f>
        <v>0.45</v>
      </c>
      <c r="R5" s="42">
        <f ca="1">$R$3</f>
        <v>0</v>
      </c>
      <c r="S5" s="1"/>
      <c r="T5" s="23" t="s">
        <v>78</v>
      </c>
      <c r="U5" s="1" t="b">
        <f>角色属性!AK8</f>
        <v>1</v>
      </c>
      <c r="Y5"/>
      <c r="AA5"/>
      <c r="AC5"/>
      <c r="AW5" s="1"/>
      <c r="AX5" s="1"/>
      <c r="AY5" s="1"/>
      <c r="XEW5"/>
      <c r="XEX5"/>
      <c r="XEY5"/>
    </row>
    <row r="6" spans="1:51 16377:16379">
      <c r="A6" s="12" t="s">
        <v>1055</v>
      </c>
      <c r="B6" s="12">
        <f>$B$3</f>
        <v>262</v>
      </c>
      <c r="C6" s="12">
        <f>$C$3*(1+(I6-$I$3)*$U$13)</f>
        <v>1.1239583329</v>
      </c>
      <c r="D6" s="12">
        <f>IF(全局设置!$B$1=全局设置!$D$1,WPS技能数据!D6)</f>
        <v>0</v>
      </c>
      <c r="F6" s="12"/>
      <c r="G6" s="40"/>
      <c r="H6" s="12"/>
      <c r="I6" s="12">
        <v>6</v>
      </c>
      <c r="J6" s="12"/>
      <c r="K6" s="12"/>
      <c r="L6" s="12"/>
      <c r="M6" s="41">
        <f ca="1">$M$3</f>
        <v>0</v>
      </c>
      <c r="N6" s="41">
        <f ca="1">$N$3</f>
        <v>0</v>
      </c>
      <c r="O6" s="41">
        <f ca="1">$O$3</f>
        <v>0.22</v>
      </c>
      <c r="P6" s="41">
        <f ca="1">$P$3</f>
        <v>0</v>
      </c>
      <c r="Q6" s="41">
        <f ca="1">$Q$3</f>
        <v>0.45</v>
      </c>
      <c r="R6" s="42">
        <f ca="1">$R$3</f>
        <v>0</v>
      </c>
      <c r="S6" s="1"/>
      <c r="T6" s="23" t="s">
        <v>1056</v>
      </c>
      <c r="U6" s="1" t="b">
        <f>角色属性!AN34</f>
        <v>0</v>
      </c>
      <c r="Y6"/>
      <c r="AA6"/>
      <c r="AC6"/>
      <c r="AW6" s="1"/>
      <c r="AX6" s="1"/>
      <c r="AY6" s="1"/>
      <c r="XEW6"/>
      <c r="XEX6"/>
      <c r="XEY6"/>
    </row>
    <row r="7" spans="1:51 16377:16379">
      <c r="A7" s="12" t="s">
        <v>1057</v>
      </c>
      <c r="B7" s="12">
        <f>$B$3</f>
        <v>262</v>
      </c>
      <c r="C7" s="12">
        <f>$C$3*(1+(I7-$I$3)*$U$13)</f>
        <v>1.2104166662</v>
      </c>
      <c r="D7" s="12">
        <f>IF(全局设置!$B$1=全局设置!$D$1,WPS技能数据!D6)</f>
        <v>0</v>
      </c>
      <c r="F7" s="12"/>
      <c r="G7" s="40"/>
      <c r="H7" s="12"/>
      <c r="I7" s="12">
        <v>7</v>
      </c>
      <c r="J7" s="12"/>
      <c r="K7" s="12"/>
      <c r="L7" s="12"/>
      <c r="M7" s="41">
        <f ca="1">$M$3</f>
        <v>0</v>
      </c>
      <c r="N7" s="41">
        <f ca="1">$N$3</f>
        <v>0</v>
      </c>
      <c r="O7" s="41">
        <f ca="1">$O$3</f>
        <v>0.22</v>
      </c>
      <c r="P7" s="41">
        <f ca="1">$P$3</f>
        <v>0</v>
      </c>
      <c r="Q7" s="41">
        <f ca="1">$Q$3</f>
        <v>0.45</v>
      </c>
      <c r="R7" s="42">
        <f ca="1">$R$3</f>
        <v>0</v>
      </c>
      <c r="S7" s="1"/>
      <c r="T7" s="23" t="s">
        <v>77</v>
      </c>
      <c r="U7" s="1" t="b">
        <f>角色属性!AK6</f>
        <v>1</v>
      </c>
      <c r="Y7"/>
      <c r="AA7"/>
      <c r="AC7"/>
      <c r="AW7" s="1"/>
      <c r="AX7" s="1"/>
      <c r="AY7" s="1"/>
      <c r="XEW7"/>
      <c r="XEX7"/>
      <c r="XEY7"/>
    </row>
    <row r="8" spans="1:51 16377:16379">
      <c r="A8" s="12" t="s">
        <v>1058</v>
      </c>
      <c r="B8" s="12">
        <f>$B$3</f>
        <v>262</v>
      </c>
      <c r="C8" s="12">
        <f>$C$3*(1+(I8-$I$3)*$U$13)</f>
        <v>1.2968749995</v>
      </c>
      <c r="D8" s="12">
        <f>IF(全局设置!$B$1=全局设置!$D$1,WPS技能数据!D5)</f>
        <v>0</v>
      </c>
      <c r="F8" s="12"/>
      <c r="G8" s="40"/>
      <c r="H8" s="12"/>
      <c r="I8" s="12">
        <v>8</v>
      </c>
      <c r="J8" s="12"/>
      <c r="K8" s="12"/>
      <c r="L8" s="12"/>
      <c r="M8" s="41">
        <f ca="1">$M$3</f>
        <v>0</v>
      </c>
      <c r="N8" s="41">
        <f ca="1">$N$3</f>
        <v>0</v>
      </c>
      <c r="O8" s="41">
        <f ca="1">$O$3</f>
        <v>0.22</v>
      </c>
      <c r="P8" s="41">
        <f ca="1">$P$3</f>
        <v>0</v>
      </c>
      <c r="Q8" s="41">
        <f ca="1">$Q$3</f>
        <v>0.45</v>
      </c>
      <c r="R8" s="42">
        <f ca="1">$R$3</f>
        <v>0</v>
      </c>
      <c r="S8" s="1"/>
      <c r="T8" s="23" t="s">
        <v>79</v>
      </c>
      <c r="U8" s="1" t="b">
        <f>角色属性!AK9</f>
        <v>1</v>
      </c>
      <c r="Y8"/>
      <c r="AA8"/>
      <c r="AC8"/>
      <c r="AW8" s="1"/>
      <c r="AX8" s="1"/>
      <c r="AY8" s="1"/>
      <c r="XEW8"/>
      <c r="XEX8"/>
      <c r="XEY8"/>
    </row>
    <row r="9" spans="1:51 16377:16379">
      <c r="A9" s="12" t="s">
        <v>949</v>
      </c>
      <c r="B9" s="12">
        <f>IF(全局设置!$D$2,WPS技能数据!B4,Excel技能数据!B4)</f>
        <v>100</v>
      </c>
      <c r="C9" s="12">
        <f>IF(全局设置!$D$2,WPS技能数据!C4,Excel技能数据!C4)</f>
        <v>0.17838541667</v>
      </c>
      <c r="D9" s="12">
        <f>IF(全局设置!$D$2,WPS技能数据!D4,Excel技能数据!D4)</f>
        <v>0</v>
      </c>
      <c r="F9" s="12"/>
      <c r="G9" s="12"/>
      <c r="H9" s="12">
        <v>6</v>
      </c>
      <c r="I9" s="12">
        <v>6</v>
      </c>
      <c r="J9" s="12"/>
      <c r="K9" s="12"/>
      <c r="L9" s="12"/>
      <c r="M9" s="23" cm="1">
        <f ca="1" t="array" ref="M9">技能属性(A9,增益数据表[会心提高])</f>
        <v>0</v>
      </c>
      <c r="N9" s="23" cm="1">
        <f ca="1" t="array" ref="N9">技能属性(A9,增益数据表[会效提高])</f>
        <v>0</v>
      </c>
      <c r="O9" s="39" cm="1">
        <f ca="1" t="array" ref="O9">技能属性(A9,增益数据表[增伤])</f>
        <v>0</v>
      </c>
      <c r="P9" s="39" cm="1">
        <f ca="1" t="array" ref="P9">技能属性(A9,增益数据表[无视防御])</f>
        <v>0</v>
      </c>
      <c r="Q9" s="39" cm="1">
        <f ca="1" t="array" ref="Q9">技能属性(A9,增益数据表[独立增伤])</f>
        <v>0</v>
      </c>
      <c r="R9" s="39" cm="1">
        <f ca="1" t="array" ref="R9">技能属性(A9,增益数据表[最终增伤])</f>
        <v>0</v>
      </c>
      <c r="S9" s="1"/>
      <c r="T9" s="1" t="s">
        <v>1059</v>
      </c>
      <c r="U9" s="1">
        <f ca="1">IF(全局设置!H2,SUM(伤害招式表[平时数量]),SUM(无界伤害招式表[平时数量]))</f>
        <v>684.728752922966</v>
      </c>
      <c r="Y9"/>
      <c r="AA9"/>
      <c r="AC9"/>
      <c r="AW9" s="1"/>
      <c r="AX9" s="1"/>
      <c r="AY9" s="1"/>
      <c r="XEW9"/>
      <c r="XEX9"/>
      <c r="XEY9"/>
    </row>
    <row r="10" spans="1:51 16377:16379">
      <c r="A10" s="12" t="s">
        <v>924</v>
      </c>
      <c r="B10" s="12">
        <f>B11</f>
        <v>178</v>
      </c>
      <c r="C10" s="12">
        <f>C11</f>
        <v>3.78645833</v>
      </c>
      <c r="D10" s="12">
        <f>IF(全局设置!$D$2,WPS技能数据!D5,Excel技能数据!D5)</f>
        <v>0</v>
      </c>
      <c r="E10" s="12"/>
      <c r="F10" s="12"/>
      <c r="G10" s="12"/>
      <c r="H10" s="12"/>
      <c r="I10" s="12"/>
      <c r="J10" s="12"/>
      <c r="K10" s="12"/>
      <c r="L10" s="12"/>
      <c r="M10" s="41" cm="1">
        <f ca="1" t="array" ref="M10">技能属性(A10,增益数据表[会心提高])+M11</f>
        <v>0.1</v>
      </c>
      <c r="N10" s="41" cm="1">
        <f ca="1" t="array" ref="N10">技能属性(A10,增益数据表[会效提高])+N11</f>
        <v>0</v>
      </c>
      <c r="O10" s="42" cm="1">
        <f ca="1" t="array" ref="O10">技能属性(A10,增益数据表[增伤])+O11</f>
        <v>0.1</v>
      </c>
      <c r="P10" s="42" cm="1">
        <f ca="1" t="array" ref="P10">技能属性(A10,增益数据表[无视防御])+P11</f>
        <v>0</v>
      </c>
      <c r="Q10" s="42" cm="1">
        <f ca="1" t="array" ref="Q10">技能属性(A10,增益数据表[独立增伤])+Q11</f>
        <v>0</v>
      </c>
      <c r="R10" s="42" cm="1">
        <f ca="1" t="array" ref="R10">技能属性(A10,增益数据表[最终增伤])+R11</f>
        <v>0</v>
      </c>
      <c r="S10" s="1"/>
      <c r="T10" s="1" t="s">
        <v>1060</v>
      </c>
      <c r="U10" s="1">
        <f ca="1">IF(全局设置!H2,SUM(伤害招式表[繁音数量]),SUM(无界伤害招式表[繁音数量]))</f>
        <v>480.137277844832</v>
      </c>
      <c r="Y10"/>
      <c r="AA10"/>
      <c r="AC10"/>
      <c r="AW10" s="1"/>
      <c r="AX10" s="1"/>
      <c r="AY10" s="1"/>
      <c r="XEW10"/>
      <c r="XEX10"/>
      <c r="XEY10"/>
    </row>
    <row r="11" spans="1:51 16377:16379">
      <c r="A11" s="12" t="s">
        <v>137</v>
      </c>
      <c r="B11" s="12">
        <f>IF(全局设置!$D$2,WPS技能数据!B6,Excel技能数据!B6)</f>
        <v>178</v>
      </c>
      <c r="C11" s="12">
        <f>IF(全局设置!$D$2,WPS技能数据!C6,Excel技能数据!C6)</f>
        <v>3.78645833</v>
      </c>
      <c r="D11" s="12">
        <f>IF(全局设置!$D$2,WPS技能数据!D6,Excel技能数据!D6)</f>
        <v>0</v>
      </c>
      <c r="E11" s="12"/>
      <c r="F11" s="12"/>
      <c r="G11" s="12">
        <f>IF(U6,0.3,0)</f>
        <v>0</v>
      </c>
      <c r="H11" s="12"/>
      <c r="I11" s="12"/>
      <c r="J11" s="12"/>
      <c r="K11" s="12"/>
      <c r="L11" s="12"/>
      <c r="M11" s="23" cm="1">
        <f ca="1" t="array" ref="M11">技能属性(A11,增益数据表[会心提高])</f>
        <v>0.1</v>
      </c>
      <c r="N11" s="23" cm="1">
        <f ca="1" t="array" ref="N11">技能属性(A11,增益数据表[会效提高])</f>
        <v>0</v>
      </c>
      <c r="O11" s="39" cm="1">
        <f ca="1" t="array" ref="O11">技能属性(A11,增益数据表[增伤])</f>
        <v>0.1</v>
      </c>
      <c r="P11" s="39" cm="1">
        <f ca="1" t="array" ref="P11">技能属性(A11,增益数据表[无视防御])</f>
        <v>0</v>
      </c>
      <c r="Q11" s="39" cm="1">
        <f ca="1" t="array" ref="Q11">技能属性(A11,增益数据表[独立增伤])</f>
        <v>0</v>
      </c>
      <c r="R11" s="39" cm="1">
        <f ca="1" t="array" ref="R11">技能属性(A11,增益数据表[最终增伤])</f>
        <v>0</v>
      </c>
      <c r="S11" s="1"/>
      <c r="T11" s="1" t="s">
        <v>620</v>
      </c>
      <c r="U11" s="1" t="b">
        <f>角色属性!AK15</f>
        <v>0</v>
      </c>
      <c r="Y11"/>
      <c r="AA11"/>
      <c r="AC11"/>
      <c r="AW11" s="1"/>
      <c r="AX11" s="1"/>
      <c r="AY11" s="1"/>
      <c r="XEW11"/>
      <c r="XEX11"/>
      <c r="XEY11"/>
    </row>
    <row r="12" spans="1:51 16377:16379">
      <c r="A12" s="43" t="s">
        <v>977</v>
      </c>
      <c r="B12" s="43">
        <f>IF(全局设置!$D$2,WPS技能数据!B8,Excel技能数据!B8)</f>
        <v>0</v>
      </c>
      <c r="C12" s="43">
        <f>IF(全局设置!$D$2,WPS技能数据!C8,Excel技能数据!C8)</f>
        <v>0</v>
      </c>
      <c r="D12" s="43">
        <f>IF(全局设置!$D$2,WPS技能数据!D8,Excel技能数据!D8)*常更新数据!$AE$9</f>
        <v>0.33795234</v>
      </c>
      <c r="E12" s="12"/>
      <c r="F12" s="12"/>
      <c r="G12" s="12"/>
      <c r="H12" s="12"/>
      <c r="I12" s="12"/>
      <c r="J12" s="12"/>
      <c r="K12" s="12"/>
      <c r="L12" s="12"/>
      <c r="M12" s="23" cm="1">
        <f ca="1" t="array" ref="M12">技能属性(A12,增益数据表[会心提高])</f>
        <v>0</v>
      </c>
      <c r="N12" s="23" cm="1">
        <f ca="1" t="array" ref="N12">技能属性(A12,增益数据表[会效提高])</f>
        <v>0</v>
      </c>
      <c r="O12" s="39" cm="1">
        <f ca="1" t="array" ref="O12">技能属性(A12,增益数据表[增伤])</f>
        <v>0</v>
      </c>
      <c r="P12" s="39" cm="1">
        <f ca="1" t="array" ref="P12">技能属性(A12,增益数据表[无视防御])</f>
        <v>0</v>
      </c>
      <c r="Q12" s="39" cm="1">
        <f ca="1" t="array" ref="Q12">技能属性(A12,增益数据表[独立增伤])</f>
        <v>0</v>
      </c>
      <c r="R12" s="39" cm="1">
        <f ca="1" t="array" ref="R12">技能属性(A12,增益数据表[最终增伤])</f>
        <v>0</v>
      </c>
      <c r="S12" s="1"/>
      <c r="T12" s="1" t="s">
        <v>619</v>
      </c>
      <c r="U12" s="1">
        <f ca="1">角色属性!Z15</f>
        <v>820991</v>
      </c>
      <c r="Y12"/>
      <c r="AA12"/>
      <c r="AC12"/>
      <c r="AW12" s="1"/>
      <c r="AX12" s="1"/>
      <c r="AY12" s="1"/>
      <c r="XEW12"/>
      <c r="XEX12"/>
      <c r="XEY12"/>
    </row>
    <row r="13" spans="1:51 16377:16379">
      <c r="A13" s="12" t="s">
        <v>82</v>
      </c>
      <c r="B13" s="12">
        <f>IF(全局设置!$D$2,WPS技能数据!B9,Excel技能数据!B9)</f>
        <v>21</v>
      </c>
      <c r="C13" s="12">
        <f>IF(全局设置!$D$2,WPS技能数据!C9,Excel技能数据!C9)</f>
        <v>0.630208333</v>
      </c>
      <c r="D13" s="12">
        <f>IF(全局设置!$D$2,WPS技能数据!D9,Excel技能数据!D9)</f>
        <v>0</v>
      </c>
      <c r="E13" s="12"/>
      <c r="F13" s="12"/>
      <c r="G13" s="12"/>
      <c r="H13" s="12"/>
      <c r="I13" s="12"/>
      <c r="J13" s="12"/>
      <c r="K13" s="12"/>
      <c r="L13" s="12"/>
      <c r="M13" s="23" cm="1">
        <f ca="1" t="array" ref="M13">技能属性(A13,增益数据表[会心提高])</f>
        <v>0</v>
      </c>
      <c r="N13" s="23" cm="1">
        <f ca="1" t="array" ref="N13">技能属性(A13,增益数据表[会效提高])</f>
        <v>0</v>
      </c>
      <c r="O13" s="39" cm="1">
        <f ca="1" t="array" ref="O13">技能属性(A13,增益数据表[增伤])</f>
        <v>0</v>
      </c>
      <c r="P13" s="39" cm="1">
        <f ca="1" t="array" ref="P13">技能属性(A13,增益数据表[无视防御])</f>
        <v>0</v>
      </c>
      <c r="Q13" s="39" cm="1">
        <f ca="1" t="array" ref="Q13">技能属性(A13,增益数据表[独立增伤])</f>
        <v>0</v>
      </c>
      <c r="R13" s="39" cm="1">
        <f ca="1" t="array" ref="R13">技能属性(A13,增益数据表[最终增伤])</f>
        <v>0</v>
      </c>
      <c r="S13" s="1"/>
      <c r="T13" s="1" t="s">
        <v>1061</v>
      </c>
      <c r="U13" s="1">
        <f>增益大全!L46</f>
        <v>0.1</v>
      </c>
      <c r="Y13"/>
      <c r="AA13"/>
      <c r="AC13"/>
      <c r="AX13" s="1"/>
      <c r="AY13" s="1"/>
      <c r="XEX13"/>
      <c r="XEY13"/>
    </row>
    <row r="14" spans="1:51 16377:16379">
      <c r="A14" s="12" t="s">
        <v>438</v>
      </c>
      <c r="B14" s="12">
        <f>IF(全局设置!$D$2,WPS技能数据!B10,Excel技能数据!B10)</f>
        <v>28.5</v>
      </c>
      <c r="C14" s="12">
        <f>IF(全局设置!$D$2,WPS技能数据!C10,Excel技能数据!C10)</f>
        <v>0.088541667</v>
      </c>
      <c r="D14" s="12">
        <f>IF(全局设置!$D$2,WPS技能数据!D10,Excel技能数据!D10)</f>
        <v>0</v>
      </c>
      <c r="E14" s="12"/>
      <c r="F14" s="12"/>
      <c r="G14" s="12"/>
      <c r="H14" s="12"/>
      <c r="I14" s="12"/>
      <c r="J14" s="12">
        <v>20</v>
      </c>
      <c r="K14" s="12">
        <v>6</v>
      </c>
      <c r="L14" s="12">
        <f>K14/J14</f>
        <v>0.3</v>
      </c>
      <c r="M14" s="23" cm="1">
        <f ca="1" t="array" ref="M14">技能属性(A14,增益数据表[会心提高])</f>
        <v>0</v>
      </c>
      <c r="N14" s="23" cm="1">
        <f ca="1" t="array" ref="N14">技能属性(A14,增益数据表[会效提高])</f>
        <v>0</v>
      </c>
      <c r="O14" s="39" cm="1">
        <f ca="1" t="array" ref="O14">技能属性(A14,增益数据表[增伤])</f>
        <v>0</v>
      </c>
      <c r="P14" s="39" cm="1">
        <f ca="1" t="array" ref="P14">技能属性(A14,增益数据表[无视防御])</f>
        <v>0</v>
      </c>
      <c r="Q14" s="39" cm="1">
        <f ca="1" t="array" ref="Q14">技能属性(A14,增益数据表[独立增伤])</f>
        <v>0</v>
      </c>
      <c r="R14" s="39" cm="1">
        <f ca="1" t="array" ref="R14">技能属性(A14,增益数据表[最终增伤])</f>
        <v>0</v>
      </c>
      <c r="S14" s="1"/>
      <c r="T14" s="23"/>
      <c r="AA14"/>
      <c r="AC14"/>
      <c r="AX14" s="1"/>
      <c r="AY14" s="1"/>
      <c r="XEX14"/>
      <c r="XEY14"/>
    </row>
    <row r="15" spans="1:51 16377:16379">
      <c r="A15" s="12" t="s">
        <v>81</v>
      </c>
      <c r="B15" s="12">
        <f>IF(全局设置!$D$2,WPS技能数据!B60,Excel技能数据!B60)</f>
        <v>75</v>
      </c>
      <c r="C15" s="12">
        <f>IF(全局设置!$D$2,WPS技能数据!C60,Excel技能数据!C60)</f>
        <v>1.072916667</v>
      </c>
      <c r="D15" s="12">
        <f>IF(全局设置!$D$2,WPS技能数据!D60,Excel技能数据!D60)</f>
        <v>0</v>
      </c>
      <c r="E15" s="12"/>
      <c r="F15" s="12"/>
      <c r="G15" s="12"/>
      <c r="H15" s="12"/>
      <c r="I15" s="12"/>
      <c r="J15" s="12"/>
      <c r="K15" s="12"/>
      <c r="L15" s="12"/>
      <c r="M15" s="23" cm="1">
        <f ca="1" t="array" ref="M15">技能属性(A15,增益数据表[会心提高])</f>
        <v>0</v>
      </c>
      <c r="N15" s="23" cm="1">
        <f ca="1" t="array" ref="N15">技能属性(A15,增益数据表[会效提高])</f>
        <v>0</v>
      </c>
      <c r="O15" s="39" cm="1">
        <f ca="1" t="array" ref="O15">技能属性(A15,增益数据表[增伤])</f>
        <v>0</v>
      </c>
      <c r="P15" s="39" cm="1">
        <f ca="1" t="array" ref="P15">技能属性(A15,增益数据表[无视防御])</f>
        <v>0</v>
      </c>
      <c r="Q15" s="39" cm="1">
        <f ca="1" t="array" ref="Q15">技能属性(A15,增益数据表[独立增伤])</f>
        <v>0</v>
      </c>
      <c r="R15" s="39" cm="1">
        <f ca="1" t="array" ref="R15">技能属性(A15,增益数据表[最终增伤])</f>
        <v>0</v>
      </c>
      <c r="S15" s="1"/>
      <c r="T15" s="23"/>
      <c r="AA15"/>
      <c r="AC15"/>
      <c r="AX15" s="1"/>
      <c r="AY15" s="1"/>
      <c r="XEX15"/>
      <c r="XEY15"/>
    </row>
    <row r="16" spans="1:51 16377:16379">
      <c r="A16" s="12" t="s">
        <v>956</v>
      </c>
      <c r="B16" s="12"/>
      <c r="C16" s="12"/>
      <c r="D16" s="12"/>
      <c r="E16" s="12"/>
      <c r="F16" s="12"/>
      <c r="G16" s="12"/>
      <c r="H16" s="12"/>
      <c r="I16" s="12"/>
      <c r="J16" s="12">
        <f>IF(U7,15,10)</f>
        <v>15</v>
      </c>
      <c r="K16" s="12"/>
      <c r="L16" s="12"/>
      <c r="M16" s="23" cm="1">
        <f ca="1" t="array" ref="M16">技能属性(A16,增益数据表[会心提高])</f>
        <v>0</v>
      </c>
      <c r="N16" s="23" cm="1">
        <f ca="1" t="array" ref="N16">技能属性(A16,增益数据表[会效提高])</f>
        <v>0</v>
      </c>
      <c r="O16" s="39" cm="1">
        <f ca="1" t="array" ref="O16">技能属性(A16,增益数据表[增伤])</f>
        <v>0</v>
      </c>
      <c r="P16" s="39" cm="1">
        <f ca="1" t="array" ref="P16">技能属性(A16,增益数据表[无视防御])</f>
        <v>0</v>
      </c>
      <c r="Q16" s="39" cm="1">
        <f ca="1" t="array" ref="Q16">技能属性(A16,增益数据表[独立增伤])</f>
        <v>0</v>
      </c>
      <c r="R16" s="39" cm="1">
        <f ca="1" t="array" ref="R16">技能属性(A16,增益数据表[最终增伤])</f>
        <v>0</v>
      </c>
      <c r="S16" s="1"/>
      <c r="T16" s="23"/>
      <c r="AA16"/>
      <c r="AC16"/>
      <c r="AX16" s="1"/>
      <c r="AY16" s="1"/>
      <c r="XEX16"/>
      <c r="XEY16"/>
    </row>
    <row r="17" spans="1:51 16377:16379">
      <c r="A17" s="12" t="s">
        <v>1062</v>
      </c>
      <c r="B17" s="12"/>
      <c r="C17" s="12"/>
      <c r="D17" s="12" cm="1">
        <f t="array" ref="D17">IF(WPS数据源,WPS技能数据!D21,Excel技能数据!D21)*常更新数据!$AE$9</f>
        <v>0.801356685</v>
      </c>
      <c r="E17" s="12"/>
      <c r="F17" s="12"/>
      <c r="G17" s="12"/>
      <c r="H17" s="12"/>
      <c r="I17" s="12">
        <v>3</v>
      </c>
      <c r="J17" s="12"/>
      <c r="K17" s="12"/>
      <c r="L17" s="12"/>
      <c r="M17" s="23" cm="1">
        <f ca="1" t="array" ref="M17">技能属性(A17,增益数据表[会心提高])</f>
        <v>0</v>
      </c>
      <c r="N17" s="23" cm="1">
        <f ca="1" t="array" ref="N17">技能属性(A17,增益数据表[会效提高])</f>
        <v>0</v>
      </c>
      <c r="O17" s="39" cm="1">
        <f ca="1" t="array" ref="O17">技能属性(A17,增益数据表[增伤])</f>
        <v>0</v>
      </c>
      <c r="P17" s="39" cm="1">
        <f ca="1" t="array" ref="P17">技能属性(A17,增益数据表[无视防御])</f>
        <v>0</v>
      </c>
      <c r="Q17" s="39" cm="1">
        <f ca="1" t="array" ref="Q17">技能属性(A17,增益数据表[独立增伤])</f>
        <v>0</v>
      </c>
      <c r="R17" s="39" cm="1">
        <f ca="1" t="array" ref="R17">技能属性(A17,增益数据表[最终增伤])</f>
        <v>0</v>
      </c>
      <c r="S17" s="1"/>
      <c r="T17" s="23"/>
      <c r="AA17"/>
      <c r="AC17"/>
      <c r="AX17" s="1"/>
      <c r="AY17" s="1"/>
      <c r="XEX17"/>
      <c r="XEY17"/>
    </row>
    <row r="18" spans="1:51 16377:16379">
      <c r="A18" s="12" t="s">
        <v>1063</v>
      </c>
      <c r="B18" s="12"/>
      <c r="C18" s="12"/>
      <c r="D18" s="12" cm="1">
        <f t="array" ref="D18">IF(WPS数据源,WPS技能数据!D55,Excel技能数据!D55)*常更新数据!$AE$9</f>
        <v>0.800844636</v>
      </c>
      <c r="E18" s="12"/>
      <c r="F18" s="12"/>
      <c r="G18" s="12"/>
      <c r="H18" s="12"/>
      <c r="I18" s="12"/>
      <c r="J18" s="12"/>
      <c r="K18" s="12"/>
      <c r="L18" s="12"/>
      <c r="M18" s="41">
        <f ca="1">$M$17</f>
        <v>0</v>
      </c>
      <c r="N18" s="41">
        <f ca="1">$N$17</f>
        <v>0</v>
      </c>
      <c r="O18" s="42">
        <f ca="1">$O$17</f>
        <v>0</v>
      </c>
      <c r="P18" s="42">
        <f ca="1">$P$17</f>
        <v>0</v>
      </c>
      <c r="Q18" s="42">
        <f ca="1">$Q$17</f>
        <v>0</v>
      </c>
      <c r="R18" s="42">
        <f ca="1">$R$17</f>
        <v>0</v>
      </c>
      <c r="S18" s="1"/>
      <c r="T18" s="23"/>
      <c r="AA18"/>
      <c r="AC18"/>
      <c r="AX18" s="1"/>
      <c r="AY18" s="1"/>
      <c r="XEX18"/>
      <c r="XEY18"/>
    </row>
    <row r="19" spans="1:51 16377:16379">
      <c r="A19" s="12" t="s">
        <v>1064</v>
      </c>
      <c r="B19" s="12"/>
      <c r="C19" s="12"/>
      <c r="D19" s="12" cm="1">
        <f t="array" ref="D19">IF(WPS数据源,WPS技能数据!D56,Excel技能数据!D56)*常更新数据!$AE$9</f>
        <v>1.994430855</v>
      </c>
      <c r="E19" s="12"/>
      <c r="F19" s="12"/>
      <c r="G19" s="12"/>
      <c r="H19" s="12"/>
      <c r="I19" s="12"/>
      <c r="J19" s="12"/>
      <c r="K19" s="12"/>
      <c r="L19" s="12"/>
      <c r="M19" s="41">
        <f ca="1">$M$17</f>
        <v>0</v>
      </c>
      <c r="N19" s="41">
        <f ca="1">$N$17</f>
        <v>0</v>
      </c>
      <c r="O19" s="42">
        <f ca="1">$O$17</f>
        <v>0</v>
      </c>
      <c r="P19" s="42">
        <f ca="1">$P$17</f>
        <v>0</v>
      </c>
      <c r="Q19" s="42">
        <f ca="1">$Q$17</f>
        <v>0</v>
      </c>
      <c r="R19" s="42">
        <f ca="1">$R$17</f>
        <v>0</v>
      </c>
      <c r="S19" s="1"/>
      <c r="T19" s="23"/>
      <c r="AA19"/>
      <c r="AC19"/>
      <c r="AW19" s="1"/>
      <c r="AX19" s="1"/>
      <c r="AY19" s="1"/>
      <c r="XEW19"/>
      <c r="XEX19"/>
      <c r="XEY19"/>
    </row>
    <row r="20" spans="1:51 16377:16379">
      <c r="A20" s="12" t="s">
        <v>1065</v>
      </c>
      <c r="B20" s="12"/>
      <c r="C20" s="12"/>
      <c r="D20" s="12" cm="1">
        <f t="array" ref="D20">IF(WPS数据源,WPS技能数据!D57,Excel技能数据!D57)*常更新数据!$AE$9</f>
        <v>2.561610464</v>
      </c>
      <c r="E20" s="12"/>
      <c r="F20" s="12"/>
      <c r="G20" s="12"/>
      <c r="H20" s="12"/>
      <c r="I20" s="12"/>
      <c r="J20" s="12"/>
      <c r="K20" s="12"/>
      <c r="L20" s="12"/>
      <c r="M20" s="41">
        <f ca="1">$M$17</f>
        <v>0</v>
      </c>
      <c r="N20" s="41">
        <f ca="1">$N$17</f>
        <v>0</v>
      </c>
      <c r="O20" s="42">
        <f ca="1">$O$17</f>
        <v>0</v>
      </c>
      <c r="P20" s="42">
        <f ca="1">$P$17</f>
        <v>0</v>
      </c>
      <c r="Q20" s="42">
        <f ca="1">$Q$17</f>
        <v>0</v>
      </c>
      <c r="R20" s="42">
        <f ca="1">$R$17</f>
        <v>0</v>
      </c>
      <c r="S20" s="1"/>
      <c r="T20" s="23"/>
      <c r="Y20"/>
      <c r="AA20"/>
      <c r="AC20"/>
      <c r="AW20" s="1"/>
      <c r="AX20" s="1"/>
      <c r="AY20" s="1"/>
      <c r="XEW20"/>
      <c r="XEX20"/>
      <c r="XEY20"/>
    </row>
    <row r="21" spans="1:51 16377:16379">
      <c r="A21" s="12" t="s">
        <v>1066</v>
      </c>
      <c r="B21" s="12"/>
      <c r="C21" s="12"/>
      <c r="D21" s="12" cm="1">
        <f t="array" ref="D21">IF(WPS数据源,WPS技能数据!D58,Excel技能数据!D58)*常更新数据!$AE$9</f>
        <v>3.16446282</v>
      </c>
      <c r="E21" s="12"/>
      <c r="F21" s="12"/>
      <c r="G21" s="12"/>
      <c r="H21" s="12"/>
      <c r="I21" s="12"/>
      <c r="J21" s="12"/>
      <c r="K21" s="12"/>
      <c r="L21" s="12"/>
      <c r="M21" s="41">
        <f ca="1">$M$17</f>
        <v>0</v>
      </c>
      <c r="N21" s="41">
        <f ca="1">$N$17</f>
        <v>0</v>
      </c>
      <c r="O21" s="42">
        <f ca="1">$O$17</f>
        <v>0</v>
      </c>
      <c r="P21" s="42">
        <f ca="1">$P$17</f>
        <v>0</v>
      </c>
      <c r="Q21" s="42">
        <f ca="1">$Q$17</f>
        <v>0</v>
      </c>
      <c r="R21" s="42">
        <f ca="1">$R$17</f>
        <v>0</v>
      </c>
      <c r="S21" s="1"/>
      <c r="T21" s="23"/>
      <c r="Y21"/>
      <c r="AA21"/>
      <c r="AC21"/>
      <c r="AW21" s="1"/>
      <c r="AX21" s="1"/>
      <c r="AY21" s="1"/>
      <c r="XEW21"/>
      <c r="XEX21"/>
      <c r="XEY21"/>
    </row>
    <row r="22" spans="1:51 16377:16379">
      <c r="A22" s="12" t="s">
        <v>1067</v>
      </c>
      <c r="B22" s="12"/>
      <c r="C22" s="12"/>
      <c r="D22" s="12" cm="1">
        <f t="array" ref="D22">IF(WPS数据源,WPS技能数据!D59,Excel技能数据!D59)*常更新数据!$AE$9</f>
        <v>5.3253096</v>
      </c>
      <c r="E22" s="12"/>
      <c r="F22" s="12"/>
      <c r="G22" s="12"/>
      <c r="H22" s="12"/>
      <c r="I22" s="12"/>
      <c r="J22" s="12"/>
      <c r="K22" s="12"/>
      <c r="L22" s="12"/>
      <c r="M22" s="41">
        <f ca="1">$M$17</f>
        <v>0</v>
      </c>
      <c r="N22" s="41">
        <f ca="1">$N$17</f>
        <v>0</v>
      </c>
      <c r="O22" s="42">
        <f ca="1">$O$17</f>
        <v>0</v>
      </c>
      <c r="P22" s="42">
        <f ca="1">$P$17</f>
        <v>0</v>
      </c>
      <c r="Q22" s="42">
        <f ca="1">$Q$17</f>
        <v>0</v>
      </c>
      <c r="R22" s="42">
        <f ca="1">$R$17</f>
        <v>0</v>
      </c>
      <c r="S22" s="1"/>
      <c r="T22" s="23"/>
      <c r="Y22"/>
      <c r="AA22"/>
      <c r="AC22"/>
      <c r="AW22" s="1"/>
      <c r="AX22" s="1"/>
      <c r="AY22" s="1"/>
      <c r="XEW22"/>
      <c r="XEX22"/>
      <c r="XEY22"/>
    </row>
    <row r="23" spans="1:51 16377:16379">
      <c r="A23" s="43" t="s">
        <v>965</v>
      </c>
      <c r="B23" s="43">
        <f>IF(全局设置!$D$2,WPS技能数据!B12,Excel技能数据!B12)</f>
        <v>0</v>
      </c>
      <c r="C23" s="43">
        <f>IF(全局设置!$D$2,WPS技能数据!C12,Excel技能数据!C12)</f>
        <v>0</v>
      </c>
      <c r="D23" s="43">
        <f>IF(全局设置!$D$2,WPS技能数据!D12,Excel技能数据!D12)*常更新数据!$AE$9</f>
        <v>3.18153112</v>
      </c>
      <c r="E23" s="12"/>
      <c r="F23" s="12"/>
      <c r="G23" s="12"/>
      <c r="H23" s="12"/>
      <c r="I23" s="12"/>
      <c r="J23" s="12"/>
      <c r="K23" s="12"/>
      <c r="L23" s="12"/>
      <c r="M23" s="23" cm="1">
        <f ca="1" t="array" ref="M23">技能属性(A23,增益数据表[会心提高])</f>
        <v>0</v>
      </c>
      <c r="N23" s="23" cm="1">
        <f ca="1" t="array" ref="N23">技能属性(A23,增益数据表[会效提高])</f>
        <v>0</v>
      </c>
      <c r="O23" s="39" cm="1">
        <f ca="1" t="array" ref="O23">技能属性(A23,增益数据表[增伤])</f>
        <v>0</v>
      </c>
      <c r="P23" s="39" cm="1">
        <f ca="1" t="array" ref="P23">技能属性(A23,增益数据表[无视防御])</f>
        <v>0</v>
      </c>
      <c r="Q23" s="39" cm="1">
        <f ca="1" t="array" ref="Q23">技能属性(A23,增益数据表[独立增伤])</f>
        <v>0</v>
      </c>
      <c r="R23" s="39" cm="1">
        <f ca="1" t="array" ref="R23">技能属性(A23,增益数据表[最终增伤])</f>
        <v>0</v>
      </c>
      <c r="S23" s="1"/>
      <c r="T23" s="23" t="s">
        <v>936</v>
      </c>
      <c r="U23" s="1" t="s">
        <v>1068</v>
      </c>
      <c r="V23" s="1" t="s">
        <v>1069</v>
      </c>
      <c r="X23" s="1" t="s">
        <v>1070</v>
      </c>
      <c r="Y23" s="1" t="s">
        <v>1068</v>
      </c>
      <c r="Z23" s="1" t="s">
        <v>1069</v>
      </c>
      <c r="AA23"/>
      <c r="AC23"/>
      <c r="AW23" s="1"/>
      <c r="AX23" s="1"/>
      <c r="AY23" s="1"/>
      <c r="XEW23"/>
      <c r="XEX23"/>
      <c r="XEY23"/>
    </row>
    <row r="24" spans="1:51 16377:16379">
      <c r="A24" s="12" t="s">
        <v>1071</v>
      </c>
      <c r="B24" s="12">
        <f>IF(全局设置!$D$2,WPS技能数据!B14,Excel技能数据!B14)</f>
        <v>43065.5510204081</v>
      </c>
      <c r="C24" s="12">
        <f>IF(全局设置!$D$2,WPS技能数据!C14,Excel技能数据!C14)</f>
        <v>0</v>
      </c>
      <c r="D24" s="12">
        <f>IF(全局设置!$D$2,WPS技能数据!D14,Excel技能数据!D14)</f>
        <v>0</v>
      </c>
      <c r="E24" s="12">
        <f ca="1">($J$24+X2/(U9)*(1/$G$24))</f>
        <v>6.26287781728402</v>
      </c>
      <c r="F24" s="12">
        <f ca="1">($J$24+X3/U10*(1/$G$24))</f>
        <v>6.24992852156499</v>
      </c>
      <c r="G24" s="12">
        <v>1</v>
      </c>
      <c r="H24" s="12"/>
      <c r="I24" s="12"/>
      <c r="J24" s="12">
        <v>6</v>
      </c>
      <c r="K24" s="12"/>
      <c r="L24" s="12"/>
      <c r="M24" s="23" cm="1">
        <f ca="1" t="array" ref="M24">技能属性(A24,增益数据表[会心提高])</f>
        <v>0</v>
      </c>
      <c r="N24" s="23" cm="1">
        <f ca="1" t="array" ref="N24">技能属性(A24,增益数据表[会效提高])</f>
        <v>0</v>
      </c>
      <c r="O24" s="39" cm="1">
        <f ca="1" t="array" ref="O24">技能属性(A24,增益数据表[增伤])</f>
        <v>0</v>
      </c>
      <c r="P24" s="39" cm="1">
        <f ca="1" t="array" ref="P24">技能属性(A24,增益数据表[无视防御])</f>
        <v>0</v>
      </c>
      <c r="Q24" s="39" cm="1">
        <f ca="1" t="array" ref="Q24">技能属性(A24,增益数据表[独立增伤])</f>
        <v>0</v>
      </c>
      <c r="R24" s="39" cm="1">
        <f ca="1" t="array" ref="R24">技能属性(A24,增益数据表[最终增伤])</f>
        <v>0</v>
      </c>
      <c r="S24" s="1"/>
      <c r="T24" s="23" t="s">
        <v>369</v>
      </c>
      <c r="U24" s="1">
        <f ca="1">技能数!F17*H3</f>
        <v>405.509787328501</v>
      </c>
      <c r="V24" s="1">
        <f ca="1">技能数!G17*H3</f>
        <v>287.751721606668</v>
      </c>
      <c r="X24" s="1" t="s">
        <v>369</v>
      </c>
      <c r="Y24" s="1">
        <f ca="1">技能数!T3</f>
        <v>142.5</v>
      </c>
      <c r="Z24" s="1">
        <f ca="1">技能数!U3</f>
        <v>82.65</v>
      </c>
      <c r="AA24"/>
      <c r="AC24"/>
      <c r="AW24" s="1"/>
      <c r="AX24" s="1"/>
      <c r="AY24" s="1"/>
      <c r="XEW24"/>
      <c r="XEX24"/>
      <c r="XEY24"/>
    </row>
    <row r="25" spans="1:51 16377:16379">
      <c r="A25" s="12" t="s">
        <v>365</v>
      </c>
      <c r="B25" s="12">
        <f>IF(全局设置!$D$2,WPS技能数据!B15,Excel技能数据!B15)</f>
        <v>0</v>
      </c>
      <c r="C25" s="12">
        <f>IF(全局设置!$D$2,WPS技能数据!C15,Excel技能数据!C15)</f>
        <v>0</v>
      </c>
      <c r="D25" s="12">
        <f>IF(全局设置!$D$2,WPS技能数据!D15,Excel技能数据!D15)</f>
        <v>0</v>
      </c>
      <c r="E25" s="12"/>
      <c r="F25" s="12"/>
      <c r="G25" s="12"/>
      <c r="H25" s="12"/>
      <c r="I25" s="12"/>
      <c r="J25" s="12">
        <f>54-IF(U11,10,0)</f>
        <v>54</v>
      </c>
      <c r="K25" s="12">
        <v>20</v>
      </c>
      <c r="L25" s="12"/>
      <c r="M25" s="23" cm="1">
        <f ca="1" t="array" ref="M25">技能属性(A25,增益数据表[会心提高])</f>
        <v>0</v>
      </c>
      <c r="N25" s="23" cm="1">
        <f ca="1" t="array" ref="N25">技能属性(A25,增益数据表[会效提高])</f>
        <v>0</v>
      </c>
      <c r="O25" s="39" cm="1">
        <f ca="1" t="array" ref="O25">技能属性(A25,增益数据表[增伤])</f>
        <v>0</v>
      </c>
      <c r="P25" s="39" cm="1">
        <f ca="1" t="array" ref="P25">技能属性(A25,增益数据表[无视防御])</f>
        <v>0</v>
      </c>
      <c r="Q25" s="39" cm="1">
        <f ca="1" t="array" ref="Q25">技能属性(A25,增益数据表[独立增伤])</f>
        <v>0</v>
      </c>
      <c r="R25" s="39" cm="1">
        <f ca="1" t="array" ref="R25">技能属性(A25,增益数据表[最终增伤])</f>
        <v>0</v>
      </c>
      <c r="S25" s="1"/>
      <c r="T25" s="23" t="s">
        <v>368</v>
      </c>
      <c r="U25" s="1">
        <f ca="1">技能数!K3</f>
        <v>38.488849382298</v>
      </c>
      <c r="V25" s="1">
        <f ca="1">技能数!L3</f>
        <v>24.2548477174146</v>
      </c>
      <c r="X25" s="1" t="s">
        <v>368</v>
      </c>
      <c r="Y25" s="1">
        <f ca="1">技能数!T6</f>
        <v>11</v>
      </c>
      <c r="Z25" s="1">
        <f ca="1">技能数!U6</f>
        <v>7</v>
      </c>
      <c r="AA25"/>
      <c r="AC25"/>
      <c r="AW25" s="1"/>
      <c r="AX25" s="1"/>
      <c r="AY25" s="1"/>
      <c r="XEW25"/>
      <c r="XEX25"/>
      <c r="XEY25"/>
    </row>
    <row r="26" spans="1:51 16377:16379">
      <c r="A26" s="12" t="s">
        <v>1072</v>
      </c>
      <c r="B26" s="12">
        <f>IF(全局设置!$D$2,WPS技能数据!B16,Excel技能数据!B16)</f>
        <v>0</v>
      </c>
      <c r="C26" s="12">
        <f>IF(全局设置!$D$2,WPS技能数据!C16,Excel技能数据!C16)</f>
        <v>0</v>
      </c>
      <c r="D26" s="12">
        <f>IF(全局设置!$D$2,WPS技能数据!D16,Excel技能数据!D16)</f>
        <v>0</v>
      </c>
      <c r="E26" s="12">
        <f ca="1">($J$26+X2/U9*(1/$G$26))</f>
        <v>31.3143890864201</v>
      </c>
      <c r="F26" s="12">
        <f ca="1">($J$26+X3/U10*(1/$G$26))</f>
        <v>31.249642607825</v>
      </c>
      <c r="G26" s="12">
        <v>0.2</v>
      </c>
      <c r="H26" s="12"/>
      <c r="I26" s="12"/>
      <c r="J26" s="12">
        <v>30</v>
      </c>
      <c r="K26" s="12">
        <v>8</v>
      </c>
      <c r="L26" s="12">
        <f ca="1">K26/AVERAGE(E26:F26)</f>
        <v>0.25573799460676</v>
      </c>
      <c r="M26" s="23" cm="1">
        <f ca="1" t="array" ref="M26">技能属性(A26,增益数据表[会心提高])</f>
        <v>0</v>
      </c>
      <c r="N26" s="23" cm="1">
        <f ca="1" t="array" ref="N26">技能属性(A26,增益数据表[会效提高])</f>
        <v>0</v>
      </c>
      <c r="O26" s="39" cm="1">
        <f ca="1" t="array" ref="O26">技能属性(A26,增益数据表[增伤])</f>
        <v>0</v>
      </c>
      <c r="P26" s="39" cm="1">
        <f ca="1" t="array" ref="P26">技能属性(A26,增益数据表[无视防御])</f>
        <v>0</v>
      </c>
      <c r="Q26" s="39" cm="1">
        <f ca="1" t="array" ref="Q26">技能属性(A26,增益数据表[独立增伤])</f>
        <v>0</v>
      </c>
      <c r="R26" s="39" cm="1">
        <f ca="1" t="array" ref="R26">技能属性(A26,增益数据表[最终增伤])</f>
        <v>0</v>
      </c>
      <c r="S26" s="1"/>
      <c r="T26" s="23" t="s">
        <v>367</v>
      </c>
      <c r="U26" s="1">
        <f ca="1">技能数!K8</f>
        <v>0</v>
      </c>
      <c r="V26" s="1">
        <f ca="1">技能数!L8</f>
        <v>0</v>
      </c>
      <c r="X26" s="1" t="s">
        <v>367</v>
      </c>
      <c r="Y26" s="1">
        <f ca="1">技能数!T7</f>
        <v>21</v>
      </c>
      <c r="Z26" s="1">
        <f ca="1">技能数!U7</f>
        <v>12</v>
      </c>
      <c r="AA26"/>
      <c r="AC26"/>
      <c r="AW26" s="1"/>
      <c r="AX26" s="1"/>
      <c r="AY26" s="1"/>
      <c r="XEW26"/>
      <c r="XEX26"/>
      <c r="XEY26"/>
    </row>
    <row r="27" spans="1:51 16377:16379">
      <c r="A27" s="43" t="s">
        <v>1073</v>
      </c>
      <c r="B27" s="43">
        <f ca="1">常更新数据!K33</f>
        <v>0</v>
      </c>
      <c r="C27" s="43"/>
      <c r="D27" s="43"/>
      <c r="E27" s="1">
        <f ca="1">(J27+$X$2/$U$9*(1/G27))</f>
        <v>10.262877817284</v>
      </c>
      <c r="F27" s="1">
        <f ca="1">(J27+$X$3/$U$10*(1/G27))</f>
        <v>10.249928521565</v>
      </c>
      <c r="G27" s="1">
        <v>1</v>
      </c>
      <c r="J27" s="1">
        <v>10</v>
      </c>
      <c r="K27" s="12"/>
      <c r="L27" s="12"/>
      <c r="M27" s="23" cm="1">
        <f ca="1" t="array" ref="M27">技能属性(A27,增益数据表[会心提高])</f>
        <v>0</v>
      </c>
      <c r="N27" s="23" cm="1">
        <f ca="1" t="array" ref="N27">技能属性(A27,增益数据表[会效提高])</f>
        <v>0</v>
      </c>
      <c r="O27" s="39" cm="1">
        <f ca="1" t="array" ref="O27">技能属性(A27,增益数据表[增伤])</f>
        <v>0</v>
      </c>
      <c r="P27" s="39" cm="1">
        <f ca="1" t="array" ref="P27">技能属性(A27,增益数据表[无视防御])</f>
        <v>0</v>
      </c>
      <c r="Q27" s="39" cm="1">
        <f ca="1" t="array" ref="Q27">技能属性(A27,增益数据表[独立增伤])</f>
        <v>0</v>
      </c>
      <c r="R27" s="39" cm="1">
        <f ca="1" t="array" ref="R27">技能属性(A27,增益数据表[最终增伤])</f>
        <v>0</v>
      </c>
      <c r="S27" s="1"/>
      <c r="T27" s="23" t="s">
        <v>82</v>
      </c>
      <c r="U27" s="1">
        <f ca="1">技能数!K7</f>
        <v>202.754893664251</v>
      </c>
      <c r="V27" s="1">
        <f ca="1">技能数!L7</f>
        <v>143.875860803334</v>
      </c>
      <c r="X27" s="1" t="s">
        <v>366</v>
      </c>
      <c r="Y27" s="1">
        <f ca="1">技能数!T8</f>
        <v>16</v>
      </c>
      <c r="Z27" s="1">
        <f ca="1">技能数!U8</f>
        <v>7</v>
      </c>
      <c r="AA27"/>
      <c r="AC27"/>
      <c r="AW27" s="1"/>
      <c r="AX27" s="1"/>
      <c r="AY27" s="1"/>
      <c r="XEW27"/>
      <c r="XEX27"/>
      <c r="XEY27"/>
    </row>
    <row r="28" spans="1:51 16377:16379">
      <c r="A28" s="43" t="s">
        <v>1018</v>
      </c>
      <c r="B28" s="43">
        <f ca="1">常更新数据!K35</f>
        <v>0</v>
      </c>
      <c r="C28" s="43"/>
      <c r="D28" s="43"/>
      <c r="E28" s="1">
        <f ca="1">(J28+$X$2/$U$9*(1/G28))</f>
        <v>40.262877817284</v>
      </c>
      <c r="F28" s="1">
        <f ca="1">(J28+$X$3/$U$10*(1/G28))</f>
        <v>40.249928521565</v>
      </c>
      <c r="G28" s="1">
        <v>1</v>
      </c>
      <c r="J28" s="1">
        <v>40</v>
      </c>
      <c r="K28" s="12"/>
      <c r="L28" s="12"/>
      <c r="M28" s="23" cm="1">
        <f ca="1" t="array" ref="M28">技能属性(A28,增益数据表[会心提高])</f>
        <v>0</v>
      </c>
      <c r="N28" s="23" cm="1">
        <f ca="1" t="array" ref="N28">技能属性(A28,增益数据表[会效提高])</f>
        <v>0</v>
      </c>
      <c r="O28" s="39" cm="1">
        <f ca="1" t="array" ref="O28">技能属性(A28,增益数据表[增伤])</f>
        <v>0</v>
      </c>
      <c r="P28" s="39" cm="1">
        <f ca="1" t="array" ref="P28">技能属性(A28,增益数据表[无视防御])</f>
        <v>0</v>
      </c>
      <c r="Q28" s="39" cm="1">
        <f ca="1" t="array" ref="Q28">技能属性(A28,增益数据表[独立增伤])</f>
        <v>0</v>
      </c>
      <c r="R28" s="39" cm="1">
        <f ca="1" t="array" ref="R28">技能属性(A28,增益数据表[最终增伤])</f>
        <v>0</v>
      </c>
      <c r="S28" s="1"/>
      <c r="T28" s="23" t="s">
        <v>383</v>
      </c>
      <c r="U28" s="1">
        <f ca="1">技能数!K14</f>
        <v>37.9752225479164</v>
      </c>
      <c r="V28" s="1">
        <f ca="1">技能数!L14</f>
        <v>24.2548477174146</v>
      </c>
      <c r="X28" s="1" t="s">
        <v>364</v>
      </c>
      <c r="Y28" s="1">
        <f ca="1">技能数!T10+技能数!T11+技能数!T12</f>
        <v>80</v>
      </c>
      <c r="Z28" s="1">
        <f ca="1">技能数!U10+技能数!U11+技能数!U12</f>
        <v>30</v>
      </c>
      <c r="AA28"/>
      <c r="AC28"/>
      <c r="AW28" s="1"/>
      <c r="AX28" s="1"/>
      <c r="AY28" s="1"/>
      <c r="XEW28"/>
      <c r="XEX28"/>
      <c r="XEY28"/>
    </row>
    <row r="29" spans="1:51 16377:16379">
      <c r="A29" s="43" t="s">
        <v>1006</v>
      </c>
      <c r="B29" s="43">
        <f ca="1">常更新数据!K34</f>
        <v>1138845</v>
      </c>
      <c r="C29" s="43"/>
      <c r="D29" s="43"/>
      <c r="E29" s="1">
        <f ca="1">(J29+$X$2/$U$9*(1/G29))</f>
        <v>10.262877817284</v>
      </c>
      <c r="F29" s="1">
        <f ca="1">(J29+$X$3/$U$10*(1/G29))</f>
        <v>10.249928521565</v>
      </c>
      <c r="G29" s="1">
        <v>1</v>
      </c>
      <c r="J29" s="1">
        <v>10</v>
      </c>
      <c r="K29" s="12"/>
      <c r="L29" s="12"/>
      <c r="M29" s="23" cm="1">
        <f ca="1" t="array" ref="M29">技能属性(A29,增益数据表[会心提高])</f>
        <v>0</v>
      </c>
      <c r="N29" s="23" cm="1">
        <f ca="1" t="array" ref="N29">技能属性(A29,增益数据表[会效提高])</f>
        <v>0</v>
      </c>
      <c r="O29" s="39" cm="1">
        <f ca="1" t="array" ref="O29">技能属性(A29,增益数据表[增伤])</f>
        <v>0</v>
      </c>
      <c r="P29" s="39" cm="1">
        <f ca="1" t="array" ref="P29">技能属性(A29,增益数据表[无视防御])</f>
        <v>0</v>
      </c>
      <c r="Q29" s="39" cm="1">
        <f ca="1" t="array" ref="Q29">技能属性(A29,增益数据表[独立增伤])</f>
        <v>0</v>
      </c>
      <c r="R29" s="39" cm="1">
        <f ca="1" t="array" ref="R29">技能属性(A29,增益数据表[最终增伤])</f>
        <v>0</v>
      </c>
      <c r="S29" s="1"/>
      <c r="T29" s="23"/>
      <c r="Y29"/>
      <c r="AA29"/>
      <c r="AC29"/>
      <c r="AW29" s="1"/>
      <c r="AX29" s="1"/>
      <c r="AY29" s="1"/>
      <c r="XEW29"/>
      <c r="XEX29"/>
      <c r="XEY29"/>
    </row>
    <row r="30" spans="1:51 16377:16379">
      <c r="A30" s="12" t="s">
        <v>147</v>
      </c>
      <c r="B30" s="12">
        <f>IF(全局设置!$D$2,WPS技能数据!B19,Excel技能数据!B19)</f>
        <v>85</v>
      </c>
      <c r="C30" s="12">
        <f>IF(全局设置!$D$2,WPS技能数据!C19,Excel技能数据!C19)</f>
        <v>1.90625</v>
      </c>
      <c r="D30" s="12">
        <f>IF(全局设置!$D$2,WPS技能数据!D19,Excel技能数据!D19)</f>
        <v>0</v>
      </c>
      <c r="E30" s="12"/>
      <c r="F30" s="12"/>
      <c r="G30" s="12"/>
      <c r="H30" s="12"/>
      <c r="I30" s="12"/>
      <c r="J30" s="12"/>
      <c r="K30" s="12"/>
      <c r="L30" s="12"/>
      <c r="M30" s="23" cm="1">
        <f ca="1" t="array" ref="M30">技能属性(A30,增益数据表[会心提高])</f>
        <v>0.05</v>
      </c>
      <c r="N30" s="23" cm="1">
        <f ca="1" t="array" ref="N30">技能属性(A30,增益数据表[会效提高])</f>
        <v>0</v>
      </c>
      <c r="O30" s="39" cm="1">
        <f ca="1" t="array" ref="O30">技能属性(A30,增益数据表[增伤])</f>
        <v>0.3</v>
      </c>
      <c r="P30" s="39" cm="1">
        <f ca="1" t="array" ref="P30">技能属性(A30,增益数据表[无视防御])</f>
        <v>0</v>
      </c>
      <c r="Q30" s="39" cm="1">
        <f ca="1" t="array" ref="Q30">技能属性(A30,增益数据表[独立增伤])</f>
        <v>0</v>
      </c>
      <c r="R30" s="39" cm="1">
        <f ca="1" t="array" ref="R30">技能属性(A30,增益数据表[最终增伤])</f>
        <v>0</v>
      </c>
      <c r="S30" s="1"/>
      <c r="T30" s="23"/>
      <c r="Y30"/>
      <c r="AA30"/>
      <c r="AC30"/>
      <c r="AW30" s="1"/>
      <c r="AX30" s="1"/>
      <c r="AY30" s="1"/>
      <c r="XEW30"/>
      <c r="XEX30"/>
      <c r="XEY30"/>
    </row>
    <row r="31" spans="1:51 16377:16379">
      <c r="A31" s="12" t="s">
        <v>83</v>
      </c>
      <c r="B31" s="12">
        <f>IF(全局设置!$D$2,WPS技能数据!B22,Excel技能数据!B22)</f>
        <v>138</v>
      </c>
      <c r="C31" s="12">
        <f>IF(全局设置!$D$2,WPS技能数据!C22,Excel技能数据!C22)</f>
        <v>2.08687500000036</v>
      </c>
      <c r="D31" s="12">
        <f>IF(全局设置!$D$2,WPS技能数据!D22,Excel技能数据!D22)</f>
        <v>0</v>
      </c>
      <c r="E31" s="12"/>
      <c r="F31" s="12"/>
      <c r="G31" s="12"/>
      <c r="H31" s="12"/>
      <c r="I31" s="12"/>
      <c r="J31" s="12"/>
      <c r="K31" s="12"/>
      <c r="L31" s="12"/>
      <c r="M31" s="23" cm="1">
        <f ca="1" t="array" ref="M31">技能属性(A31,增益数据表[会心提高])</f>
        <v>0</v>
      </c>
      <c r="N31" s="23" cm="1">
        <f ca="1" t="array" ref="N31">技能属性(A31,增益数据表[会效提高])</f>
        <v>0</v>
      </c>
      <c r="O31" s="39" cm="1">
        <f ca="1" t="array" ref="O31">技能属性(A31,增益数据表[增伤])</f>
        <v>0</v>
      </c>
      <c r="P31" s="39" cm="1">
        <f ca="1" t="array" ref="P31">技能属性(A31,增益数据表[无视防御])</f>
        <v>0</v>
      </c>
      <c r="Q31" s="39" cm="1">
        <f ca="1" t="array" ref="Q31">技能属性(A31,增益数据表[独立增伤])</f>
        <v>0</v>
      </c>
      <c r="R31" s="39" cm="1">
        <f ca="1" t="array" ref="R31">技能属性(A31,增益数据表[最终增伤])</f>
        <v>0</v>
      </c>
      <c r="S31" s="1"/>
      <c r="T31" s="23"/>
      <c r="Y31"/>
      <c r="AA31"/>
      <c r="AC31"/>
      <c r="AW31" s="1"/>
      <c r="AX31" s="1"/>
      <c r="AY31" s="1"/>
      <c r="XEW31"/>
      <c r="XEX31"/>
      <c r="XEY31"/>
    </row>
    <row r="32" spans="1:51 16377:16379">
      <c r="A32" s="43" t="s">
        <v>1074</v>
      </c>
      <c r="B32" s="43">
        <f>IF(全局设置!$D$2,WPS技能数据!B23,Excel技能数据!B23)</f>
        <v>0</v>
      </c>
      <c r="C32" s="43">
        <f>IF(全局设置!$D$2,WPS技能数据!C23,Excel技能数据!C23)</f>
        <v>0</v>
      </c>
      <c r="D32" s="43">
        <f>IF(全局设置!$D$2,WPS技能数据!D23,Excel技能数据!D23)*常更新数据!$AE$9</f>
        <v>3.9584996621352</v>
      </c>
      <c r="E32" s="12"/>
      <c r="F32" s="12"/>
      <c r="G32" s="12"/>
      <c r="H32" s="12"/>
      <c r="I32" s="12"/>
      <c r="J32" s="12"/>
      <c r="K32" s="12"/>
      <c r="L32" s="12"/>
      <c r="M32" s="23" cm="1">
        <f ca="1" t="array" ref="M32">技能属性(A32,增益数据表[会心提高])</f>
        <v>0</v>
      </c>
      <c r="N32" s="23" cm="1">
        <f ca="1" t="array" ref="N32">技能属性(A32,增益数据表[会效提高])</f>
        <v>0</v>
      </c>
      <c r="O32" s="39" cm="1">
        <f ca="1" t="array" ref="O32">技能属性(A32,增益数据表[增伤])</f>
        <v>0</v>
      </c>
      <c r="P32" s="39" cm="1">
        <f ca="1" t="array" ref="P32">技能属性(A32,增益数据表[无视防御])</f>
        <v>0</v>
      </c>
      <c r="Q32" s="39" cm="1">
        <f ca="1" t="array" ref="Q32">技能属性(A32,增益数据表[独立增伤])</f>
        <v>0</v>
      </c>
      <c r="R32" s="39" cm="1">
        <f ca="1" t="array" ref="R32">技能属性(A32,增益数据表[最终增伤])</f>
        <v>0</v>
      </c>
      <c r="S32" s="1"/>
      <c r="T32" s="23"/>
      <c r="Y32"/>
      <c r="AA32"/>
      <c r="AC32"/>
      <c r="AW32" s="1"/>
      <c r="AX32" s="1"/>
      <c r="AY32" s="1"/>
      <c r="XEW32"/>
      <c r="XEX32"/>
      <c r="XEY32"/>
    </row>
    <row r="33" spans="1:51 16377:16379">
      <c r="A33" s="12" t="s">
        <v>925</v>
      </c>
      <c r="B33" s="12">
        <f>IF(全局设置!$D$2,WPS技能数据!B24,Excel技能数据!B24)</f>
        <v>25</v>
      </c>
      <c r="C33" s="12">
        <f>IF(全局设置!$D$2,WPS技能数据!C24,Excel技能数据!C24)</f>
        <v>2.44651038333333</v>
      </c>
      <c r="D33" s="12">
        <f>IF(全局设置!$D$2,WPS技能数据!D24,Excel技能数据!D24)</f>
        <v>0</v>
      </c>
      <c r="E33" s="12">
        <f ca="1">($J$33+X2/U9*(1/$G$33))</f>
        <v>33.8098234388989</v>
      </c>
      <c r="F33" s="12">
        <f ca="1">($J$33+X3/U10*(1/$G$33))</f>
        <v>33.6221524864492</v>
      </c>
      <c r="G33" s="12">
        <v>0.069</v>
      </c>
      <c r="H33" s="12">
        <v>3</v>
      </c>
      <c r="I33" s="12">
        <v>6</v>
      </c>
      <c r="J33" s="12">
        <v>30</v>
      </c>
      <c r="K33" s="12"/>
      <c r="L33" s="12"/>
      <c r="M33" s="23" cm="1">
        <f ca="1" t="array" ref="M33">技能属性(A33,增益数据表[会心提高])</f>
        <v>0</v>
      </c>
      <c r="N33" s="23" cm="1">
        <f ca="1" t="array" ref="N33">技能属性(A33,增益数据表[会效提高])</f>
        <v>0</v>
      </c>
      <c r="O33" s="39" cm="1">
        <f ca="1" t="array" ref="O33">技能属性(A33,增益数据表[增伤])</f>
        <v>0</v>
      </c>
      <c r="P33" s="39" cm="1">
        <f ca="1" t="array" ref="P33">技能属性(A33,增益数据表[无视防御])</f>
        <v>0</v>
      </c>
      <c r="Q33" s="39" cm="1">
        <f ca="1" t="array" ref="Q33">技能属性(A33,增益数据表[独立增伤])</f>
        <v>0</v>
      </c>
      <c r="R33" s="39" cm="1">
        <f ca="1" t="array" ref="R33">技能属性(A33,增益数据表[最终增伤])</f>
        <v>0</v>
      </c>
      <c r="S33" s="1"/>
      <c r="T33" s="23"/>
      <c r="Y33"/>
      <c r="AA33"/>
      <c r="AC33"/>
      <c r="AW33" s="1"/>
      <c r="AX33" s="1"/>
      <c r="AY33" s="1"/>
      <c r="XEW33"/>
      <c r="XEX33"/>
      <c r="XEY33"/>
    </row>
    <row r="34" spans="1:51 16377:16379">
      <c r="A34" s="12" t="s">
        <v>1075</v>
      </c>
      <c r="B34" s="12">
        <f>IF(全局设置!$D$2,WPS技能数据!B25,Excel技能数据!B25)</f>
        <v>21</v>
      </c>
      <c r="C34" s="12">
        <f>IF(全局设置!$D$2,WPS技能数据!C25,Excel技能数据!C25)</f>
        <v>0.338541667</v>
      </c>
      <c r="D34" s="12">
        <f>IF(全局设置!$D$2,WPS技能数据!D25,Excel技能数据!D25)</f>
        <v>0</v>
      </c>
      <c r="E34" s="12"/>
      <c r="F34" s="12"/>
      <c r="G34" s="12"/>
      <c r="H34" s="12"/>
      <c r="I34" s="12"/>
      <c r="J34" s="12"/>
      <c r="K34" s="12"/>
      <c r="L34" s="12"/>
      <c r="M34" s="23" cm="1">
        <f ca="1" t="array" ref="M34">技能属性(A34,增益数据表[会心提高])</f>
        <v>0</v>
      </c>
      <c r="N34" s="23" cm="1">
        <f ca="1" t="array" ref="N34">技能属性(A34,增益数据表[会效提高])</f>
        <v>0</v>
      </c>
      <c r="O34" s="39" cm="1">
        <f ca="1" t="array" ref="O34">技能属性(A34,增益数据表[增伤])</f>
        <v>0</v>
      </c>
      <c r="P34" s="39" cm="1">
        <f ca="1" t="array" ref="P34">技能属性(A34,增益数据表[无视防御])</f>
        <v>0</v>
      </c>
      <c r="Q34" s="39" cm="1">
        <f ca="1" t="array" ref="Q34">技能属性(A34,增益数据表[独立增伤])</f>
        <v>0</v>
      </c>
      <c r="R34" s="39" cm="1">
        <f ca="1" t="array" ref="R34">技能属性(A34,增益数据表[最终增伤])</f>
        <v>0</v>
      </c>
      <c r="S34" s="1"/>
      <c r="T34" s="23"/>
      <c r="Y34"/>
      <c r="AA34"/>
      <c r="AC34"/>
      <c r="AW34" s="1"/>
      <c r="AX34" s="1"/>
      <c r="AY34" s="1"/>
      <c r="XEW34"/>
      <c r="XEX34"/>
      <c r="XEY34"/>
    </row>
    <row r="35" spans="1:51 16377:16379">
      <c r="A35" s="43" t="s">
        <v>893</v>
      </c>
      <c r="B35" s="44">
        <f ca="1">IF(全局设置!$D$2,WPS技能数据!B26,Excel技能数据!B26)*U12*(1+O35)</f>
        <v>348445.572151974</v>
      </c>
      <c r="C35" s="45"/>
      <c r="D35" s="43"/>
      <c r="E35" s="12"/>
      <c r="F35" s="12"/>
      <c r="G35" s="12"/>
      <c r="H35" s="12"/>
      <c r="I35" s="12">
        <v>12</v>
      </c>
      <c r="J35" s="12">
        <f>80-6-24</f>
        <v>50</v>
      </c>
      <c r="K35" s="12">
        <v>30</v>
      </c>
      <c r="L35" s="12">
        <f>K35/J35</f>
        <v>0.6</v>
      </c>
      <c r="M35" s="23" cm="1">
        <f ca="1" t="array" ref="M35">技能属性(A35,增益数据表[会心提高])</f>
        <v>0</v>
      </c>
      <c r="N35" s="23" cm="1">
        <f ca="1" t="array" ref="N35">技能属性(A35,增益数据表[会效提高])</f>
        <v>0</v>
      </c>
      <c r="O35" s="39" cm="1">
        <f ca="1" t="array" ref="O35">技能属性(A35,增益数据表[增伤])</f>
        <v>80</v>
      </c>
      <c r="P35" s="39" cm="1">
        <f ca="1" t="array" ref="P35">技能属性(A35,增益数据表[无视防御])</f>
        <v>0</v>
      </c>
      <c r="Q35" s="39" cm="1">
        <f ca="1" t="array" ref="Q35">技能属性(A35,增益数据表[独立增伤])</f>
        <v>0</v>
      </c>
      <c r="R35" s="39" cm="1">
        <f ca="1" t="array" ref="R35">技能属性(A35,增益数据表[最终增伤])</f>
        <v>0</v>
      </c>
      <c r="S35" s="1"/>
      <c r="T35" s="23"/>
      <c r="Y35"/>
      <c r="AA35"/>
      <c r="AC35"/>
      <c r="AW35" s="1"/>
      <c r="AX35" s="1"/>
      <c r="AY35" s="1"/>
      <c r="XEW35"/>
      <c r="XEX35"/>
      <c r="XEY35"/>
    </row>
    <row r="36" spans="1:51 16377:16379">
      <c r="A36" s="1" t="s">
        <v>969</v>
      </c>
      <c r="B36" s="12">
        <f>IF(全局设置!$D$2,WPS技能数据!B29,Excel技能数据!B29)</f>
        <v>72.5</v>
      </c>
      <c r="C36" s="12">
        <f>IF(全局设置!$D$2,WPS技能数据!C29,Excel技能数据!C29)</f>
        <v>0.359375</v>
      </c>
      <c r="D36" s="12">
        <f>IF(全局设置!$D$2,WPS技能数据!D29,Excel技能数据!D29)</f>
        <v>0</v>
      </c>
      <c r="F36" s="12"/>
      <c r="M36" s="23" cm="1">
        <f ca="1" t="array" ref="M36">技能属性(A36,增益数据表[会心提高])</f>
        <v>0</v>
      </c>
      <c r="N36" s="23" cm="1">
        <f ca="1" t="array" ref="N36">技能属性(A36,增益数据表[会效提高])</f>
        <v>0</v>
      </c>
      <c r="O36" s="39" cm="1">
        <f ca="1" t="array" ref="O36">技能属性(A36,增益数据表[增伤])</f>
        <v>0</v>
      </c>
      <c r="P36" s="39" cm="1">
        <f ca="1" t="array" ref="P36">技能属性(A36,增益数据表[无视防御])</f>
        <v>0</v>
      </c>
      <c r="Q36" s="39" cm="1">
        <f ca="1" t="array" ref="Q36">技能属性(A36,增益数据表[独立增伤])</f>
        <v>0</v>
      </c>
      <c r="R36" s="39" cm="1">
        <f ca="1" t="array" ref="R36">技能属性(A36,增益数据表[最终增伤])</f>
        <v>0</v>
      </c>
      <c r="S36" s="1"/>
      <c r="T36" s="23"/>
      <c r="Y36"/>
      <c r="AA36"/>
      <c r="AC36"/>
      <c r="AW36" s="1"/>
      <c r="AX36" s="1"/>
      <c r="AY36" s="1"/>
      <c r="XEW36"/>
      <c r="XEX36"/>
      <c r="XEY36"/>
    </row>
    <row r="37" spans="1:51 16377:16379">
      <c r="A37" s="1" t="s">
        <v>971</v>
      </c>
      <c r="B37" s="12">
        <f>IF(全局设置!$D$2,WPS技能数据!B30,Excel技能数据!B30)</f>
        <v>72.5</v>
      </c>
      <c r="C37" s="12">
        <f>IF(全局设置!$D$2,WPS技能数据!C30,Excel技能数据!C30)</f>
        <v>2.09375</v>
      </c>
      <c r="D37" s="12">
        <f>IF(全局设置!$D$2,WPS技能数据!D30,Excel技能数据!D30)</f>
        <v>0</v>
      </c>
      <c r="F37" s="12"/>
      <c r="M37" s="23" cm="1">
        <f ca="1" t="array" ref="M37">技能属性(A37,增益数据表[会心提高])</f>
        <v>0</v>
      </c>
      <c r="N37" s="23" cm="1">
        <f ca="1" t="array" ref="N37">技能属性(A37,增益数据表[会效提高])</f>
        <v>0</v>
      </c>
      <c r="O37" s="39" cm="1">
        <f ca="1" t="array" ref="O37">技能属性(A37,增益数据表[增伤])</f>
        <v>0</v>
      </c>
      <c r="P37" s="39" cm="1">
        <f ca="1" t="array" ref="P37">技能属性(A37,增益数据表[无视防御])</f>
        <v>0</v>
      </c>
      <c r="Q37" s="39" cm="1">
        <f ca="1" t="array" ref="Q37">技能属性(A37,增益数据表[独立增伤])</f>
        <v>0</v>
      </c>
      <c r="R37" s="39" cm="1">
        <f ca="1" t="array" ref="R37">技能属性(A37,增益数据表[最终增伤])</f>
        <v>0</v>
      </c>
      <c r="S37" s="1"/>
      <c r="Y37"/>
      <c r="AA37"/>
      <c r="AC37"/>
      <c r="AW37" s="1"/>
      <c r="AX37" s="1"/>
      <c r="AY37" s="1"/>
      <c r="XEW37"/>
      <c r="XEX37"/>
      <c r="XEY37"/>
    </row>
    <row r="38" spans="1:51 16377:16379">
      <c r="A38" s="1" t="s">
        <v>973</v>
      </c>
      <c r="B38" s="12">
        <f>IF(全局设置!$D$2,WPS技能数据!B31,Excel技能数据!B31)</f>
        <v>72.5</v>
      </c>
      <c r="C38" s="12">
        <f>IF(全局设置!$D$2,WPS技能数据!C31,Excel技能数据!C31)</f>
        <v>3.114583333</v>
      </c>
      <c r="D38" s="12">
        <f>IF(全局设置!$D$2,WPS技能数据!D31,Excel技能数据!D31)</f>
        <v>0</v>
      </c>
      <c r="F38" s="12"/>
      <c r="M38" s="23" cm="1">
        <f ca="1" t="array" ref="M38">技能属性(A38,增益数据表[会心提高])</f>
        <v>0</v>
      </c>
      <c r="N38" s="23" cm="1">
        <f ca="1" t="array" ref="N38">技能属性(A38,增益数据表[会效提高])</f>
        <v>0</v>
      </c>
      <c r="O38" s="39" cm="1">
        <f ca="1" t="array" ref="O38">技能属性(A38,增益数据表[增伤])</f>
        <v>0</v>
      </c>
      <c r="P38" s="39" cm="1">
        <f ca="1" t="array" ref="P38">技能属性(A38,增益数据表[无视防御])</f>
        <v>0</v>
      </c>
      <c r="Q38" s="39" cm="1">
        <f ca="1" t="array" ref="Q38">技能属性(A38,增益数据表[独立增伤])</f>
        <v>0</v>
      </c>
      <c r="R38" s="39" cm="1">
        <f ca="1" t="array" ref="R38">技能属性(A38,增益数据表[最终增伤])</f>
        <v>0</v>
      </c>
      <c r="S38" s="1"/>
      <c r="Y38"/>
      <c r="AA38"/>
      <c r="AC38"/>
      <c r="AW38" s="1"/>
      <c r="AX38" s="1"/>
      <c r="AY38" s="1"/>
      <c r="XEW38"/>
      <c r="XEX38"/>
      <c r="XEY38"/>
    </row>
    <row r="39" spans="1:51 16377:16379">
      <c r="A39" s="1" t="s">
        <v>975</v>
      </c>
      <c r="B39" s="12">
        <f>IF(全局设置!$D$2,WPS技能数据!B32,Excel技能数据!B32)</f>
        <v>72.5</v>
      </c>
      <c r="C39" s="12">
        <f>IF(全局设置!$D$2,WPS技能数据!C32,Excel技能数据!C32)</f>
        <v>0.838541666667</v>
      </c>
      <c r="D39" s="12">
        <f>IF(全局设置!$D$2,WPS技能数据!D32,Excel技能数据!D32)</f>
        <v>0</v>
      </c>
      <c r="F39" s="12"/>
      <c r="M39" s="23" cm="1">
        <f ca="1" t="array" ref="M39">技能属性(A39,增益数据表[会心提高])</f>
        <v>0</v>
      </c>
      <c r="N39" s="23" cm="1">
        <f ca="1" t="array" ref="N39">技能属性(A39,增益数据表[会效提高])</f>
        <v>0</v>
      </c>
      <c r="O39" s="39" cm="1">
        <f ca="1" t="array" ref="O39">技能属性(A39,增益数据表[增伤])</f>
        <v>0</v>
      </c>
      <c r="P39" s="39" cm="1">
        <f ca="1" t="array" ref="P39">技能属性(A39,增益数据表[无视防御])</f>
        <v>0</v>
      </c>
      <c r="Q39" s="39" cm="1">
        <f ca="1" t="array" ref="Q39">技能属性(A39,增益数据表[独立增伤])</f>
        <v>0</v>
      </c>
      <c r="R39" s="39" cm="1">
        <f ca="1" t="array" ref="R39">技能属性(A39,增益数据表[最终增伤])</f>
        <v>0</v>
      </c>
      <c r="S39" s="1"/>
      <c r="Y39"/>
      <c r="AA39"/>
      <c r="AC39"/>
      <c r="AW39" s="1"/>
      <c r="AX39" s="1"/>
      <c r="AY39" s="1"/>
      <c r="XEW39"/>
      <c r="XEX39"/>
      <c r="XEY39"/>
    </row>
    <row r="40" spans="1:51 16377:16379">
      <c r="A40" s="1" t="s">
        <v>75</v>
      </c>
      <c r="B40" s="12">
        <f>IF(全局设置!$D$2,WPS技能数据!B33,Excel技能数据!B33)</f>
        <v>0</v>
      </c>
      <c r="C40" s="12">
        <f>IF(全局设置!$D$2,WPS技能数据!C33,Excel技能数据!C33)</f>
        <v>0</v>
      </c>
      <c r="D40" s="12">
        <f>IF(全局设置!$D$2,WPS技能数据!D33,Excel技能数据!D33)</f>
        <v>0</v>
      </c>
      <c r="J40" s="1">
        <v>18</v>
      </c>
      <c r="M40" s="23" cm="1">
        <f ca="1" t="array" ref="M40">技能属性(A40,增益数据表[会心提高])</f>
        <v>0</v>
      </c>
      <c r="N40" s="23" cm="1">
        <f ca="1" t="array" ref="N40">技能属性(A40,增益数据表[会效提高])</f>
        <v>0</v>
      </c>
      <c r="O40" s="39" cm="1">
        <f ca="1" t="array" ref="O40">技能属性(A40,增益数据表[增伤])</f>
        <v>0</v>
      </c>
      <c r="P40" s="39" cm="1">
        <f ca="1" t="array" ref="P40">技能属性(A40,增益数据表[无视防御])</f>
        <v>0</v>
      </c>
      <c r="Q40" s="39" cm="1">
        <f ca="1" t="array" ref="Q40">技能属性(A40,增益数据表[独立增伤])</f>
        <v>0</v>
      </c>
      <c r="R40" s="39" cm="1">
        <f ca="1" t="array" ref="R40">技能属性(A40,增益数据表[最终增伤])</f>
        <v>0</v>
      </c>
      <c r="S40" s="1"/>
      <c r="Y40"/>
      <c r="AA40"/>
      <c r="AC40"/>
      <c r="AW40" s="1"/>
      <c r="AX40" s="1"/>
      <c r="AY40" s="1"/>
      <c r="XEW40"/>
      <c r="XEX40"/>
      <c r="XEY40"/>
    </row>
    <row r="41" spans="1:51 16377:16379">
      <c r="A41" s="12" t="s">
        <v>871</v>
      </c>
      <c r="B41" s="12">
        <f t="shared" ref="B41:B46" si="0">B3</f>
        <v>262</v>
      </c>
      <c r="C41" s="12">
        <f t="shared" ref="C41:C46" si="1">C3</f>
        <v>0.864583333</v>
      </c>
      <c r="D41" s="12"/>
      <c r="M41" s="41" cm="1">
        <f ca="1" t="array" ref="M41">技能属性($A$41,增益数据表[会心提高])+$M$3</f>
        <v>0</v>
      </c>
      <c r="N41" s="41" cm="1">
        <f ca="1" t="array" ref="N41">技能属性($A$41,增益数据表[会效提高])+N3</f>
        <v>0</v>
      </c>
      <c r="O41" s="41" cm="1">
        <f ca="1" t="array" ref="O41">技能属性($A$41,增益数据表[增伤])+O3</f>
        <v>1.12</v>
      </c>
      <c r="P41" s="41" cm="1">
        <f ca="1" t="array" ref="P41">技能属性($A$41,增益数据表[无视防御])+P3</f>
        <v>0</v>
      </c>
      <c r="Q41" s="41" cm="1">
        <f ca="1" t="array" ref="Q41">技能属性($A$41,增益数据表[独立增伤])+Q3</f>
        <v>0.45</v>
      </c>
      <c r="R41" s="42" cm="1">
        <f ca="1" t="array" ref="R41">技能属性(A41,增益数据表[最终增伤])+$R$3</f>
        <v>0</v>
      </c>
      <c r="S41" s="1"/>
      <c r="Y41"/>
      <c r="AA41"/>
      <c r="AC41"/>
      <c r="AW41" s="1"/>
      <c r="AX41" s="1"/>
      <c r="AY41" s="1"/>
      <c r="XEW41"/>
      <c r="XEX41"/>
      <c r="XEY41"/>
    </row>
    <row r="42" spans="1:51 16377:16379">
      <c r="A42" s="12" t="s">
        <v>1076</v>
      </c>
      <c r="B42" s="12">
        <f t="shared" si="0"/>
        <v>262</v>
      </c>
      <c r="C42" s="12">
        <f t="shared" si="1"/>
        <v>0.9510416663</v>
      </c>
      <c r="D42" s="12"/>
      <c r="M42" s="41">
        <f ca="1">$M$41</f>
        <v>0</v>
      </c>
      <c r="N42" s="41">
        <f ca="1">$N$41</f>
        <v>0</v>
      </c>
      <c r="O42" s="41">
        <f ca="1">$O$41</f>
        <v>1.12</v>
      </c>
      <c r="P42" s="41">
        <f ca="1">$P$41</f>
        <v>0</v>
      </c>
      <c r="Q42" s="41">
        <f ca="1">$Q$41</f>
        <v>0.45</v>
      </c>
      <c r="R42" s="42" cm="1">
        <f ca="1" t="array" ref="R42">技能属性(A42,增益数据表[最终增伤])+$R$3</f>
        <v>0</v>
      </c>
      <c r="S42" s="1"/>
      <c r="Y42"/>
      <c r="AA42"/>
      <c r="AC42"/>
      <c r="AW42" s="1"/>
      <c r="AX42" s="1"/>
      <c r="AY42" s="1"/>
      <c r="XEW42"/>
      <c r="XEX42"/>
      <c r="XEY42"/>
    </row>
    <row r="43" spans="1:51 16377:16379">
      <c r="A43" s="12" t="s">
        <v>1077</v>
      </c>
      <c r="B43" s="12">
        <f t="shared" si="0"/>
        <v>262</v>
      </c>
      <c r="C43" s="12">
        <f t="shared" si="1"/>
        <v>1.0374999996</v>
      </c>
      <c r="D43" s="12"/>
      <c r="M43" s="41">
        <f ca="1">$M$41</f>
        <v>0</v>
      </c>
      <c r="N43" s="41">
        <f ca="1">$N$41</f>
        <v>0</v>
      </c>
      <c r="O43" s="41">
        <f ca="1">$O$41</f>
        <v>1.12</v>
      </c>
      <c r="P43" s="41">
        <f ca="1">$P$41</f>
        <v>0</v>
      </c>
      <c r="Q43" s="41">
        <f ca="1">$Q$41</f>
        <v>0.45</v>
      </c>
      <c r="R43" s="42" cm="1">
        <f ca="1" t="array" ref="R43">技能属性(A43,增益数据表[最终增伤])+$R$3</f>
        <v>0</v>
      </c>
      <c r="S43" s="1"/>
      <c r="Y43"/>
      <c r="AA43"/>
      <c r="AC43"/>
      <c r="AW43" s="1"/>
      <c r="AX43" s="1"/>
      <c r="AY43" s="1"/>
      <c r="XEW43"/>
      <c r="XEX43"/>
      <c r="XEY43"/>
    </row>
    <row r="44" spans="1:51 16377:16379">
      <c r="A44" s="12" t="s">
        <v>1078</v>
      </c>
      <c r="B44" s="12">
        <f t="shared" si="0"/>
        <v>262</v>
      </c>
      <c r="C44" s="12">
        <f t="shared" si="1"/>
        <v>1.1239583329</v>
      </c>
      <c r="D44" s="12"/>
      <c r="M44" s="41">
        <f ca="1">$M$41</f>
        <v>0</v>
      </c>
      <c r="N44" s="41">
        <f ca="1">$N$41</f>
        <v>0</v>
      </c>
      <c r="O44" s="41">
        <f ca="1">$O$41</f>
        <v>1.12</v>
      </c>
      <c r="P44" s="41">
        <f ca="1">$P$41</f>
        <v>0</v>
      </c>
      <c r="Q44" s="41">
        <f ca="1">$Q$41</f>
        <v>0.45</v>
      </c>
      <c r="R44" s="42" cm="1">
        <f ca="1" t="array" ref="R44">技能属性(A44,增益数据表[最终增伤])+$R$3</f>
        <v>0</v>
      </c>
      <c r="S44" s="1"/>
      <c r="Y44"/>
      <c r="AA44"/>
      <c r="AC44"/>
      <c r="AW44" s="1"/>
      <c r="AX44" s="1"/>
      <c r="AY44" s="1"/>
      <c r="XEW44"/>
      <c r="XEX44"/>
      <c r="XEY44"/>
    </row>
    <row r="45" spans="1:51 16377:16379">
      <c r="A45" s="12" t="s">
        <v>1079</v>
      </c>
      <c r="B45" s="12">
        <f t="shared" si="0"/>
        <v>262</v>
      </c>
      <c r="C45" s="12">
        <f t="shared" si="1"/>
        <v>1.2104166662</v>
      </c>
      <c r="D45" s="12"/>
      <c r="M45" s="41">
        <f ca="1">$M$41</f>
        <v>0</v>
      </c>
      <c r="N45" s="41">
        <f ca="1">$N$41</f>
        <v>0</v>
      </c>
      <c r="O45" s="41">
        <f ca="1">$O$41</f>
        <v>1.12</v>
      </c>
      <c r="P45" s="41">
        <f ca="1">$P$41</f>
        <v>0</v>
      </c>
      <c r="Q45" s="41">
        <f ca="1">$Q$41</f>
        <v>0.45</v>
      </c>
      <c r="R45" s="42" cm="1">
        <f ca="1" t="array" ref="R45">技能属性(A45,增益数据表[最终增伤])+$R$3</f>
        <v>0</v>
      </c>
      <c r="S45" s="1"/>
      <c r="Y45"/>
      <c r="AA45"/>
      <c r="AC45"/>
      <c r="AW45" s="1"/>
      <c r="AX45" s="1"/>
      <c r="AY45" s="1"/>
      <c r="XEW45"/>
      <c r="XEX45"/>
      <c r="XEY45"/>
    </row>
    <row r="46" spans="1:51 16377:16379">
      <c r="A46" s="12" t="s">
        <v>1080</v>
      </c>
      <c r="B46" s="12">
        <f t="shared" si="0"/>
        <v>262</v>
      </c>
      <c r="C46" s="12">
        <f t="shared" si="1"/>
        <v>1.2968749995</v>
      </c>
      <c r="D46" s="12"/>
      <c r="M46" s="41">
        <f ca="1">$M$41</f>
        <v>0</v>
      </c>
      <c r="N46" s="41">
        <f ca="1">$N$41</f>
        <v>0</v>
      </c>
      <c r="O46" s="41">
        <f ca="1">$O$41</f>
        <v>1.12</v>
      </c>
      <c r="P46" s="41">
        <f ca="1">$P$41</f>
        <v>0</v>
      </c>
      <c r="Q46" s="41">
        <f ca="1">$Q$41</f>
        <v>0.45</v>
      </c>
      <c r="R46" s="42" cm="1">
        <f ca="1" t="array" ref="R46">技能属性(A46,增益数据表[最终增伤])+$R$3</f>
        <v>0</v>
      </c>
      <c r="S46" s="1"/>
      <c r="Y46"/>
      <c r="AA46"/>
      <c r="AC46"/>
      <c r="AW46" s="1"/>
      <c r="AX46" s="1"/>
      <c r="AY46" s="1"/>
      <c r="XEW46"/>
      <c r="XEX46"/>
      <c r="XEY46"/>
    </row>
    <row r="47" spans="1:51 16377:16379">
      <c r="A47" s="46" t="s">
        <v>1081</v>
      </c>
      <c r="B47" s="46">
        <f ca="1">常更新数据!K31</f>
        <v>2415000</v>
      </c>
      <c r="C47" s="43"/>
      <c r="D47" s="43"/>
      <c r="E47" s="12">
        <f ca="1">($J$47+X2/U9*(1/$G$47))</f>
        <v>12.6287781728402</v>
      </c>
      <c r="F47" s="12">
        <f ca="1">($J$47+X3/U10*(1/$G$47))</f>
        <v>12.4992852156499</v>
      </c>
      <c r="G47" s="12">
        <v>0.1</v>
      </c>
      <c r="H47" s="12"/>
      <c r="I47" s="12"/>
      <c r="J47" s="12">
        <v>10</v>
      </c>
      <c r="M47" s="23" cm="1">
        <f ca="1" t="array" ref="M47">技能属性(A47,增益数据表[会心提高])</f>
        <v>0</v>
      </c>
      <c r="N47" s="23" cm="1">
        <f ca="1" t="array" ref="N47">技能属性(A47,增益数据表[会效提高])</f>
        <v>0</v>
      </c>
      <c r="O47" s="39" cm="1">
        <f ca="1" t="array" ref="O47">技能属性(A47,增益数据表[增伤])</f>
        <v>0</v>
      </c>
      <c r="P47" s="39" cm="1">
        <f ca="1" t="array" ref="P47">技能属性(A47,增益数据表[无视防御])</f>
        <v>0</v>
      </c>
      <c r="Q47" s="39" cm="1">
        <f ca="1" t="array" ref="Q47">技能属性(A47,增益数据表[独立增伤])</f>
        <v>0</v>
      </c>
      <c r="R47" s="39" cm="1">
        <f ca="1" t="array" ref="R47">技能属性(A47,增益数据表[最终增伤])</f>
        <v>0</v>
      </c>
      <c r="S47" s="1"/>
      <c r="Y47"/>
      <c r="AA47"/>
      <c r="AC47"/>
      <c r="AW47" s="1"/>
      <c r="AX47" s="1"/>
      <c r="AY47" s="1"/>
      <c r="XEW47"/>
      <c r="XEX47"/>
      <c r="XEY47"/>
    </row>
    <row r="48" spans="1:51 16377:16379">
      <c r="A48" s="46" t="s">
        <v>1082</v>
      </c>
      <c r="B48" s="46">
        <f ca="1">常更新数据!K32</f>
        <v>1610000</v>
      </c>
      <c r="C48" s="43"/>
      <c r="D48" s="43"/>
      <c r="E48" s="12">
        <f ca="1">($J$48+X2/U9*(1/$G$48))</f>
        <v>10.3291999422985</v>
      </c>
      <c r="F48" s="12">
        <f ca="1">($J$48+X3/U10*(1/$G$48))</f>
        <v>10.3129836352417</v>
      </c>
      <c r="G48" s="12">
        <f ca="1">AVERAGE(实战面板!D5:E5)</f>
        <v>0.798535429406736</v>
      </c>
      <c r="H48" s="12"/>
      <c r="I48" s="12"/>
      <c r="J48" s="12">
        <v>10</v>
      </c>
      <c r="K48" s="12"/>
      <c r="M48" s="23" cm="1">
        <f ca="1" t="array" ref="M48">技能属性(A48,增益数据表[会心提高])</f>
        <v>0</v>
      </c>
      <c r="N48" s="23" cm="1">
        <f ca="1" t="array" ref="N48">技能属性(A48,增益数据表[会效提高])</f>
        <v>0</v>
      </c>
      <c r="O48" s="39" cm="1">
        <f ca="1" t="array" ref="O48">技能属性(A48,增益数据表[增伤])</f>
        <v>0</v>
      </c>
      <c r="P48" s="39" cm="1">
        <f ca="1" t="array" ref="P48">技能属性(A48,增益数据表[无视防御])</f>
        <v>0</v>
      </c>
      <c r="Q48" s="39" cm="1">
        <f ca="1" t="array" ref="Q48">技能属性(A48,增益数据表[独立增伤])</f>
        <v>0</v>
      </c>
      <c r="R48" s="39" cm="1">
        <f ca="1" t="array" ref="R48">技能属性(A48,增益数据表[最终增伤])</f>
        <v>0</v>
      </c>
      <c r="S48" s="1"/>
      <c r="Y48"/>
      <c r="AA48"/>
      <c r="AC48"/>
      <c r="AW48" s="1"/>
      <c r="AX48" s="1"/>
      <c r="AY48" s="1"/>
      <c r="XEW48"/>
      <c r="XEX48"/>
      <c r="XEY48"/>
    </row>
    <row r="49" spans="1:52 16377:16380">
      <c r="A49" s="1" t="s">
        <v>623</v>
      </c>
      <c r="B49" s="12">
        <f>IF(全局设置!$D$2,WPS技能数据!B37,Excel技能数据!B37)</f>
        <v>1</v>
      </c>
      <c r="C49" s="12">
        <f>IF(全局设置!$D$2,WPS技能数据!C37,Excel技能数据!C37)</f>
        <v>1.97395833333333</v>
      </c>
      <c r="D49" s="12">
        <f>IF(全局设置!$D$2,WPS技能数据!D37,Excel技能数据!D37)</f>
        <v>1.26</v>
      </c>
      <c r="I49" s="1">
        <v>3</v>
      </c>
      <c r="M49" s="23" cm="1">
        <f ca="1" t="array" ref="M49">技能属性(A49,增益数据表[会心提高])</f>
        <v>0.03</v>
      </c>
      <c r="N49" s="23" cm="1">
        <f ca="1" t="array" ref="N49">技能属性(A49,增益数据表[会效提高])</f>
        <v>0</v>
      </c>
      <c r="O49" s="39" cm="1">
        <f ca="1" t="array" ref="O49">技能属性(A49,增益数据表[增伤])</f>
        <v>0</v>
      </c>
      <c r="P49" s="39" cm="1">
        <f ca="1" t="array" ref="P49">技能属性(A49,增益数据表[无视防御])</f>
        <v>0</v>
      </c>
      <c r="Q49" s="39" cm="1">
        <f ca="1" t="array" ref="Q49">技能属性(A49,增益数据表[独立增伤])</f>
        <v>0</v>
      </c>
      <c r="R49" s="39" cm="1">
        <f ca="1" t="array" ref="R49">技能属性(A49,增益数据表[最终增伤])</f>
        <v>0</v>
      </c>
      <c r="S49" s="1"/>
      <c r="Y49"/>
      <c r="AA49"/>
      <c r="AC49"/>
      <c r="AW49" s="1"/>
      <c r="AX49" s="1"/>
      <c r="AY49" s="1"/>
      <c r="XEW49"/>
      <c r="XEX49"/>
      <c r="XEY49"/>
    </row>
    <row r="50" spans="1:52 16377:16380">
      <c r="A50" s="1" t="s">
        <v>943</v>
      </c>
      <c r="B50" s="12">
        <f>IF(全局设置!$D$2,WPS技能数据!B38,Excel技能数据!B38)</f>
        <v>15</v>
      </c>
      <c r="C50" s="12">
        <f>IF(全局设置!$D$2,WPS技能数据!C38,Excel技能数据!C38)</f>
        <v>0.33</v>
      </c>
      <c r="D50" s="12">
        <f>IF(全局设置!$D$2,WPS技能数据!D38,Excel技能数据!D38)</f>
        <v>0</v>
      </c>
      <c r="I50" s="1">
        <v>3</v>
      </c>
      <c r="M50" s="23" cm="1">
        <f ca="1" t="array" ref="M50">技能属性(A50,增益数据表[会心提高])</f>
        <v>0</v>
      </c>
      <c r="N50" s="23" cm="1">
        <f ca="1" t="array" ref="N50">技能属性(A50,增益数据表[会效提高])</f>
        <v>0</v>
      </c>
      <c r="O50" s="39" cm="1">
        <f ca="1" t="array" ref="O50">技能属性(A50,增益数据表[增伤])</f>
        <v>0</v>
      </c>
      <c r="P50" s="39" cm="1">
        <f ca="1" t="array" ref="P50">技能属性(A50,增益数据表[无视防御])</f>
        <v>0</v>
      </c>
      <c r="Q50" s="39" cm="1">
        <f ca="1" t="array" ref="Q50">技能属性(A50,增益数据表[独立增伤])</f>
        <v>0</v>
      </c>
      <c r="R50" s="39" cm="1">
        <f ca="1" t="array" ref="R50">技能属性(A50,增益数据表[最终增伤])</f>
        <v>0</v>
      </c>
      <c r="S50" s="1"/>
      <c r="Y50"/>
      <c r="AA50"/>
      <c r="AC50"/>
      <c r="AW50" s="1"/>
      <c r="AX50" s="1"/>
      <c r="AY50" s="1"/>
      <c r="XEW50"/>
      <c r="XEX50"/>
      <c r="XEY50"/>
    </row>
    <row r="51" spans="1:52 16377:16380">
      <c r="A51" s="1" t="s">
        <v>947</v>
      </c>
      <c r="B51" s="12">
        <f>IF(全局设置!$D$2,WPS技能数据!B39,Excel技能数据!B39)</f>
        <v>1</v>
      </c>
      <c r="C51" s="12">
        <f>IF(全局设置!$D$2,WPS技能数据!C39,Excel技能数据!C39)</f>
        <v>0.901041666666666</v>
      </c>
      <c r="D51" s="12">
        <f>IF(全局设置!$D$2,WPS技能数据!D39,Excel技能数据!D39)</f>
        <v>0.62</v>
      </c>
      <c r="M51" s="23" cm="1">
        <f ca="1" t="array" ref="M51">技能属性(A51,增益数据表[会心提高])</f>
        <v>0</v>
      </c>
      <c r="N51" s="23" cm="1">
        <f ca="1" t="array" ref="N51">技能属性(A51,增益数据表[会效提高])</f>
        <v>0</v>
      </c>
      <c r="O51" s="39" cm="1">
        <f ca="1" t="array" ref="O51">技能属性(A51,增益数据表[增伤])</f>
        <v>0</v>
      </c>
      <c r="P51" s="39" cm="1">
        <f ca="1" t="array" ref="P51">技能属性(A51,增益数据表[无视防御])</f>
        <v>0</v>
      </c>
      <c r="Q51" s="39" cm="1">
        <f ca="1" t="array" ref="Q51">技能属性(A51,增益数据表[独立增伤])</f>
        <v>0</v>
      </c>
      <c r="R51" s="39" cm="1">
        <f ca="1" t="array" ref="R51">技能属性(A51,增益数据表[最终增伤])</f>
        <v>0</v>
      </c>
      <c r="S51" s="1"/>
      <c r="Y51"/>
      <c r="AA51"/>
      <c r="AC51"/>
      <c r="AW51" s="1"/>
      <c r="AX51" s="1"/>
      <c r="AY51" s="1"/>
      <c r="XEW51"/>
      <c r="XEX51"/>
      <c r="XEY51"/>
    </row>
    <row r="52" spans="1:52 16377:16380">
      <c r="A52" s="1" t="s">
        <v>627</v>
      </c>
      <c r="B52" s="12">
        <f>IF(全局设置!$D$2,WPS技能数据!B40,Excel技能数据!B40)</f>
        <v>1</v>
      </c>
      <c r="C52" s="12">
        <f>IF(全局设置!$D$2,WPS技能数据!C40,Excel技能数据!C40)</f>
        <v>4.19270833333333</v>
      </c>
      <c r="D52" s="12">
        <f>IF(全局设置!$D$2,WPS技能数据!D40,Excel技能数据!D40)</f>
        <v>2.89</v>
      </c>
      <c r="J52" s="1">
        <v>15</v>
      </c>
      <c r="M52" s="23" cm="1">
        <f ca="1" t="array" ref="M52">技能属性(A52,增益数据表[会心提高])</f>
        <v>0</v>
      </c>
      <c r="N52" s="23" cm="1">
        <f ca="1" t="array" ref="N52">技能属性(A52,增益数据表[会效提高])</f>
        <v>0</v>
      </c>
      <c r="O52" s="39" cm="1">
        <f ca="1" t="array" ref="O52">技能属性(A52,增益数据表[增伤])</f>
        <v>0.05</v>
      </c>
      <c r="P52" s="39" cm="1">
        <f ca="1" t="array" ref="P52">技能属性(A52,增益数据表[无视防御])</f>
        <v>0</v>
      </c>
      <c r="Q52" s="39" cm="1">
        <f ca="1" t="array" ref="Q52">技能属性(A52,增益数据表[独立增伤])</f>
        <v>0</v>
      </c>
      <c r="R52" s="39" cm="1">
        <f ca="1" t="array" ref="R52">技能属性(A52,增益数据表[最终增伤])</f>
        <v>0</v>
      </c>
      <c r="S52" s="1"/>
      <c r="Z52"/>
      <c r="AC52"/>
      <c r="AX52" s="1"/>
      <c r="AY52" s="1"/>
      <c r="XEX52"/>
      <c r="XEY52"/>
    </row>
    <row r="53" spans="1:52 16377:16380">
      <c r="A53" s="1" t="s">
        <v>630</v>
      </c>
      <c r="B53" s="12">
        <f>IF(全局设置!$D$2,WPS技能数据!B41,Excel技能数据!B41)</f>
        <v>1</v>
      </c>
      <c r="C53" s="12">
        <f>IF(全局设置!$D$2,WPS技能数据!C41,Excel技能数据!C41)</f>
        <v>3.4427083333333</v>
      </c>
      <c r="D53" s="12">
        <f>IF(全局设置!$D$2,WPS技能数据!D41,Excel技能数据!D41)</f>
        <v>0</v>
      </c>
      <c r="J53" s="1">
        <v>10</v>
      </c>
      <c r="M53" s="23" cm="1">
        <f ca="1" t="array" ref="M53">技能属性(A53,增益数据表[会心提高])</f>
        <v>0</v>
      </c>
      <c r="N53" s="23" cm="1">
        <f ca="1" t="array" ref="N53">技能属性(A53,增益数据表[会效提高])</f>
        <v>0</v>
      </c>
      <c r="O53" s="39" cm="1">
        <f ca="1" t="array" ref="O53">技能属性(A53,增益数据表[增伤])</f>
        <v>0.05</v>
      </c>
      <c r="P53" s="39" cm="1">
        <f ca="1" t="array" ref="P53">技能属性(A53,增益数据表[无视防御])</f>
        <v>0</v>
      </c>
      <c r="Q53" s="39" cm="1">
        <f ca="1" t="array" ref="Q53">技能属性(A53,增益数据表[独立增伤])</f>
        <v>0</v>
      </c>
      <c r="R53" s="39" cm="1">
        <f ca="1" t="array" ref="R53">技能属性(A53,增益数据表[最终增伤])</f>
        <v>0</v>
      </c>
      <c r="S53" s="1"/>
      <c r="Z53"/>
      <c r="AC53"/>
      <c r="AX53" s="1"/>
      <c r="AY53" s="1"/>
      <c r="XEX53"/>
      <c r="XEY53"/>
    </row>
    <row r="54" spans="1:52 16377:16380">
      <c r="A54" s="1" t="s">
        <v>636</v>
      </c>
      <c r="B54" s="12">
        <f>IF(全局设置!$D$2,WPS技能数据!B42,Excel技能数据!B42)</f>
        <v>1</v>
      </c>
      <c r="C54" s="12">
        <f>IF(全局设置!$D$2,WPS技能数据!C42,Excel技能数据!C42)</f>
        <v>1.2</v>
      </c>
      <c r="D54" s="12">
        <f>IF(全局设置!$D$2,WPS技能数据!D42,Excel技能数据!D42)</f>
        <v>0</v>
      </c>
      <c r="I54" s="1">
        <v>6</v>
      </c>
      <c r="M54" s="23" cm="1">
        <f ca="1" t="array" ref="M54">技能属性(A54,增益数据表[会心提高])</f>
        <v>0</v>
      </c>
      <c r="N54" s="23" cm="1">
        <f ca="1" t="array" ref="N54">技能属性(A54,增益数据表[会效提高])</f>
        <v>0</v>
      </c>
      <c r="O54" s="39" cm="1">
        <f ca="1" t="array" ref="O54">技能属性(A54,增益数据表[增伤])</f>
        <v>0</v>
      </c>
      <c r="P54" s="39" cm="1">
        <f ca="1" t="array" ref="P54">技能属性(A54,增益数据表[无视防御])</f>
        <v>0</v>
      </c>
      <c r="Q54" s="39" cm="1">
        <f ca="1" t="array" ref="Q54">技能属性(A54,增益数据表[独立增伤])</f>
        <v>0</v>
      </c>
      <c r="R54" s="39" cm="1">
        <f ca="1" t="array" ref="R54">技能属性(A54,增益数据表[最终增伤])</f>
        <v>0</v>
      </c>
      <c r="S54" s="1"/>
      <c r="Z54"/>
      <c r="AC54"/>
      <c r="AX54" s="1"/>
      <c r="AY54" s="1"/>
      <c r="XEX54"/>
      <c r="XEY54"/>
    </row>
    <row r="55" spans="1:52 16377:16380">
      <c r="A55" s="1" t="s">
        <v>960</v>
      </c>
      <c r="B55" s="12">
        <f>IF(全局设置!$D$2,WPS技能数据!B43,Excel技能数据!B43)</f>
        <v>0</v>
      </c>
      <c r="C55" s="12">
        <f>IF(全局设置!$D$2,WPS技能数据!C43,Excel技能数据!C43)</f>
        <v>1.5</v>
      </c>
      <c r="D55" s="12">
        <f>IF(全局设置!$D$2,WPS技能数据!D43,Excel技能数据!D43)</f>
        <v>0</v>
      </c>
      <c r="J55" s="1">
        <f>60-4-3-2-1</f>
        <v>50</v>
      </c>
      <c r="M55" s="41">
        <f ca="1">M54</f>
        <v>0</v>
      </c>
      <c r="N55" s="41">
        <f ca="1">N54</f>
        <v>0</v>
      </c>
      <c r="O55" s="41">
        <f ca="1">O54</f>
        <v>0</v>
      </c>
      <c r="P55" s="41">
        <f ca="1">P54</f>
        <v>0</v>
      </c>
      <c r="Q55" s="41">
        <f ca="1">Q54</f>
        <v>0</v>
      </c>
      <c r="R55" s="42">
        <f ca="1">$R$54</f>
        <v>0</v>
      </c>
      <c r="S55" s="1"/>
      <c r="T55" s="23"/>
      <c r="AB55" s="1"/>
      <c r="AC55"/>
      <c r="AD55" s="1"/>
      <c r="AZ55"/>
      <c r="XEZ55" s="1"/>
    </row>
    <row r="56" spans="1:52 16377:16380">
      <c r="A56" s="1" t="s">
        <v>962</v>
      </c>
      <c r="B56" s="12">
        <f>IF(全局设置!$D$2,WPS技能数据!B44,Excel技能数据!B44)</f>
        <v>0</v>
      </c>
      <c r="C56" s="12">
        <f>IF(全局设置!$D$2,WPS技能数据!C44,Excel技能数据!C44)</f>
        <v>3.03125</v>
      </c>
      <c r="D56" s="12">
        <f>IF(全局设置!$D$2,WPS技能数据!D44,Excel技能数据!D44)</f>
        <v>0</v>
      </c>
      <c r="M56" s="41">
        <f ca="1">M54</f>
        <v>0</v>
      </c>
      <c r="N56" s="41">
        <f ca="1">N54</f>
        <v>0</v>
      </c>
      <c r="O56" s="41">
        <f ca="1">O54</f>
        <v>0</v>
      </c>
      <c r="P56" s="41">
        <f ca="1">P54</f>
        <v>0</v>
      </c>
      <c r="Q56" s="41">
        <f ca="1">Q54</f>
        <v>0</v>
      </c>
      <c r="R56" s="42">
        <f ca="1">$R$54</f>
        <v>0</v>
      </c>
      <c r="S56" s="1"/>
      <c r="T56" s="23"/>
      <c r="AB56" s="1"/>
      <c r="AC56"/>
      <c r="AD56" s="1"/>
      <c r="AZ56"/>
      <c r="XEZ56" s="1"/>
    </row>
    <row r="57" spans="1:52 16377:16380">
      <c r="A57" s="1" t="s">
        <v>642</v>
      </c>
      <c r="B57" s="12">
        <f>IF(全局设置!$D$2,WPS技能数据!B46,Excel技能数据!B46)</f>
        <v>1</v>
      </c>
      <c r="C57" s="12">
        <f>IF(全局设置!$D$2,WPS技能数据!C46,Excel技能数据!C46)</f>
        <v>0.640625</v>
      </c>
      <c r="D57" s="12">
        <f>IF(全局设置!$D$2,WPS技能数据!D46,Excel技能数据!D46)</f>
        <v>0</v>
      </c>
      <c r="I57" s="1">
        <v>12</v>
      </c>
      <c r="M57" s="23" cm="1">
        <f ca="1" t="array" ref="M57">技能属性(A57,增益数据表[会心提高])</f>
        <v>0</v>
      </c>
      <c r="N57" s="23" cm="1">
        <f ca="1" t="array" ref="N57">技能属性(A57,增益数据表[会效提高])</f>
        <v>0</v>
      </c>
      <c r="O57" s="39" cm="1">
        <f ca="1" t="array" ref="O57">技能属性(A57,增益数据表[增伤])</f>
        <v>0</v>
      </c>
      <c r="P57" s="39" cm="1">
        <f ca="1" t="array" ref="P57">技能属性(A57,增益数据表[无视防御])</f>
        <v>0</v>
      </c>
      <c r="Q57" s="39" cm="1">
        <f ca="1" t="array" ref="Q57">技能属性(A57,增益数据表[独立增伤])</f>
        <v>0</v>
      </c>
      <c r="R57" s="39" cm="1">
        <f ca="1" t="array" ref="R57">技能属性(A57,增益数据表[最终增伤])</f>
        <v>0</v>
      </c>
      <c r="S57" s="1"/>
      <c r="T57" s="23"/>
      <c r="AB57" s="1"/>
      <c r="AC57"/>
      <c r="AD57" s="1"/>
      <c r="AZ57"/>
      <c r="XEZ57" s="1"/>
    </row>
    <row r="58" spans="1:52 16377:16380">
      <c r="A58" s="1" t="s">
        <v>946</v>
      </c>
      <c r="B58" s="12">
        <f>IF(全局设置!$D$2,WPS技能数据!B47,Excel技能数据!B47)</f>
        <v>1500</v>
      </c>
      <c r="C58" s="12">
        <f>IF(全局设置!$D$2,WPS技能数据!C47,Excel技能数据!C47)</f>
        <v>5.171875</v>
      </c>
      <c r="D58" s="12">
        <f>IF(全局设置!$D$2,WPS技能数据!D47,Excel技能数据!D47)</f>
        <v>0</v>
      </c>
      <c r="M58" s="41">
        <f ca="1" t="shared" ref="M58:R58" si="2">M57</f>
        <v>0</v>
      </c>
      <c r="N58" s="41">
        <f ca="1" t="shared" si="2"/>
        <v>0</v>
      </c>
      <c r="O58" s="41">
        <f ca="1" t="shared" si="2"/>
        <v>0</v>
      </c>
      <c r="P58" s="41">
        <f ca="1" t="shared" si="2"/>
        <v>0</v>
      </c>
      <c r="Q58" s="41">
        <f ca="1" t="shared" si="2"/>
        <v>0</v>
      </c>
      <c r="R58" s="42">
        <f ca="1" t="shared" si="2"/>
        <v>0</v>
      </c>
      <c r="S58" s="1"/>
      <c r="T58" s="23"/>
      <c r="AB58" s="1"/>
      <c r="AC58"/>
      <c r="AD58" s="1"/>
      <c r="AZ58"/>
      <c r="XEZ58" s="1"/>
    </row>
    <row r="59" spans="1:52 16377:16380">
      <c r="A59" s="1" t="s">
        <v>905</v>
      </c>
      <c r="B59" s="12">
        <f>IF(全局设置!$D$2,WPS技能数据!B50,Excel技能数据!B50)</f>
        <v>1</v>
      </c>
      <c r="C59" s="12">
        <f>IF(全局设置!$D$2,WPS技能数据!C50,Excel技能数据!C50)</f>
        <v>4.625</v>
      </c>
      <c r="D59" s="12">
        <f>IF(全局设置!$D$2,WPS技能数据!D50,Excel技能数据!D50)</f>
        <v>0</v>
      </c>
      <c r="M59" s="23" cm="1">
        <f ca="1" t="array" ref="M59">技能属性(A59,增益数据表[会心提高])</f>
        <v>0</v>
      </c>
      <c r="N59" s="23" cm="1">
        <f ca="1" t="array" ref="N59">技能属性(A59,增益数据表[会效提高])</f>
        <v>0</v>
      </c>
      <c r="O59" s="47" cm="1">
        <f ca="1" t="array" ref="O59">技能属性(A59,增益数据表[增伤])</f>
        <v>0.05</v>
      </c>
      <c r="P59" s="39" cm="1">
        <f ca="1" t="array" ref="P59">技能属性(A59,增益数据表[无视防御])</f>
        <v>0</v>
      </c>
      <c r="Q59" s="39" cm="1">
        <f ca="1" t="array" ref="Q59">技能属性(A59,增益数据表[独立增伤])</f>
        <v>0</v>
      </c>
      <c r="R59" s="39" cm="1">
        <f ca="1" t="array" ref="R59">技能属性(A59,增益数据表[最终增伤])</f>
        <v>0</v>
      </c>
      <c r="S59" s="1"/>
      <c r="T59" s="23"/>
      <c r="AB59" s="1"/>
      <c r="AC59"/>
      <c r="AD59" s="1"/>
      <c r="AZ59"/>
      <c r="XEZ59" s="1"/>
    </row>
    <row r="60" spans="1:52 16377:16380">
      <c r="A60" s="1" t="s">
        <v>632</v>
      </c>
      <c r="B60" s="12">
        <f>IF(全局设置!$D$2,WPS技能数据!B51,Excel技能数据!B51)</f>
        <v>1</v>
      </c>
      <c r="C60" s="12">
        <f>IF(全局设置!$D$2,WPS技能数据!C51,Excel技能数据!C51)</f>
        <v>4.45</v>
      </c>
      <c r="D60" s="12">
        <f>IF(全局设置!$D$2,WPS技能数据!D51,Excel技能数据!D51)</f>
        <v>0</v>
      </c>
      <c r="J60" s="1">
        <v>12</v>
      </c>
      <c r="K60" s="1">
        <v>12</v>
      </c>
      <c r="M60" s="23" cm="1">
        <f ca="1" t="array" ref="M60">技能属性(A60,增益数据表[会心提高])</f>
        <v>0</v>
      </c>
      <c r="N60" s="23" cm="1">
        <f ca="1" t="array" ref="N60">技能属性(A60,增益数据表[会效提高])</f>
        <v>0</v>
      </c>
      <c r="O60" s="39" cm="1">
        <f ca="1" t="array" ref="O60">技能属性(A60,增益数据表[增伤])</f>
        <v>0.05</v>
      </c>
      <c r="P60" s="39" cm="1">
        <f ca="1" t="array" ref="P60">技能属性(A60,增益数据表[无视防御])</f>
        <v>0</v>
      </c>
      <c r="Q60" s="39" cm="1">
        <f ca="1" t="array" ref="Q60">技能属性(A60,增益数据表[独立增伤])</f>
        <v>0</v>
      </c>
      <c r="R60" s="39" cm="1">
        <f ca="1" t="array" ref="R60">技能属性(A60,增益数据表[最终增伤])</f>
        <v>0</v>
      </c>
      <c r="S60" s="1"/>
      <c r="T60" s="23"/>
      <c r="AB60" s="1"/>
      <c r="AC60"/>
      <c r="AD60" s="1"/>
      <c r="AZ60"/>
      <c r="XEZ60" s="1"/>
    </row>
    <row r="61" spans="1:52 16377:16380">
      <c r="A61" s="1" t="s">
        <v>896</v>
      </c>
      <c r="B61" s="12">
        <f>IF(全局设置!$D$2,WPS技能数据!B53,Excel技能数据!B53)</f>
        <v>0</v>
      </c>
      <c r="C61" s="12">
        <f>IF(全局设置!$D$2,WPS技能数据!C53,Excel技能数据!C53)</f>
        <v>0</v>
      </c>
      <c r="D61" s="12">
        <f>IF(全局设置!$D$2,WPS技能数据!D53,Excel技能数据!D53)</f>
        <v>0</v>
      </c>
      <c r="J61" s="1">
        <v>30</v>
      </c>
      <c r="K61" s="1">
        <v>10</v>
      </c>
      <c r="M61" s="23" cm="1">
        <f ca="1" t="array" ref="M61">技能属性(A61,增益数据表[会心提高])</f>
        <v>0</v>
      </c>
      <c r="N61" s="23" cm="1">
        <f ca="1" t="array" ref="N61">技能属性(A61,增益数据表[会效提高])</f>
        <v>0</v>
      </c>
      <c r="O61" s="39" cm="1">
        <f ca="1" t="array" ref="O61">技能属性(A61,增益数据表[增伤])</f>
        <v>0</v>
      </c>
      <c r="P61" s="39" cm="1">
        <f ca="1" t="array" ref="P61">技能属性(A61,增益数据表[无视防御])</f>
        <v>0</v>
      </c>
      <c r="Q61" s="39" cm="1">
        <f ca="1" t="array" ref="Q61">技能属性(A61,增益数据表[独立增伤])</f>
        <v>0</v>
      </c>
      <c r="R61" s="39" cm="1">
        <f ca="1" t="array" ref="R61">技能属性(A61,增益数据表[最终增伤])</f>
        <v>0</v>
      </c>
      <c r="S61" s="1"/>
      <c r="T61" s="23"/>
      <c r="AB61" s="1"/>
      <c r="AC61"/>
      <c r="AD61" s="1"/>
      <c r="AZ61"/>
      <c r="XEZ61" s="1"/>
    </row>
    <row r="62" spans="1:52 16377:16380">
      <c r="A62" s="1" t="s">
        <v>957</v>
      </c>
      <c r="B62" s="12">
        <f>IF(全局设置!$D$2,WPS技能数据!B54,Excel技能数据!B54)</f>
        <v>1</v>
      </c>
      <c r="C62" s="12">
        <f>IF(全局设置!$D$2,WPS技能数据!C54,Excel技能数据!C54)</f>
        <v>0.604166666666666</v>
      </c>
      <c r="D62" s="12">
        <f>IF(全局设置!$D$2,WPS技能数据!D54,Excel技能数据!D54)</f>
        <v>0</v>
      </c>
      <c r="I62" s="1">
        <v>3</v>
      </c>
      <c r="M62" s="41">
        <f ca="1" t="shared" ref="M62:R62" si="3">M52</f>
        <v>0</v>
      </c>
      <c r="N62" s="41">
        <f ca="1" t="shared" si="3"/>
        <v>0</v>
      </c>
      <c r="O62" s="41">
        <f ca="1" t="shared" si="3"/>
        <v>0.05</v>
      </c>
      <c r="P62" s="41">
        <f ca="1" t="shared" si="3"/>
        <v>0</v>
      </c>
      <c r="Q62" s="41">
        <f ca="1" t="shared" si="3"/>
        <v>0</v>
      </c>
      <c r="R62" s="42">
        <f ca="1" t="shared" si="3"/>
        <v>0</v>
      </c>
    </row>
    <row r="63" spans="1:52 16377:16380">
      <c r="O63" s="47"/>
    </row>
  </sheetData>
  <pageMargins left="0.75" right="0.75" top="1" bottom="1" header="0.5" footer="0.5"/>
  <headerFooter/>
  <legacyDrawing r:id="rId2"/>
  <tableParts count="3"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6"/>
  <dimension ref="A1:Z50"/>
  <sheetViews>
    <sheetView workbookViewId="0">
      <pane xSplit="1" ySplit="1" topLeftCell="B2" activePane="bottomRight" state="frozen"/>
      <selection/>
      <selection pane="topRight"/>
      <selection pane="bottomLeft"/>
      <selection pane="bottomRight" activeCell="E30" sqref="E30"/>
    </sheetView>
  </sheetViews>
  <sheetFormatPr defaultColWidth="9" defaultRowHeight="14.25"/>
  <cols>
    <col min="1" max="1" width="12.5" style="1" customWidth="1"/>
    <col min="2" max="2" width="11.125" style="1"/>
    <col min="3" max="3" width="9.25" style="1"/>
    <col min="4" max="11" width="11.125" style="1"/>
    <col min="12" max="13" width="9" style="1"/>
    <col min="14" max="15" width="11.125" style="1"/>
    <col min="16" max="20" width="9" style="1"/>
    <col min="21" max="21" width="11.125" style="1"/>
    <col min="22" max="16384" width="9" style="1"/>
  </cols>
  <sheetData>
    <row r="1" spans="1:26">
      <c r="A1" s="12" t="s">
        <v>1083</v>
      </c>
      <c r="B1" s="28" t="s">
        <v>47</v>
      </c>
      <c r="C1" s="12" t="s">
        <v>1084</v>
      </c>
      <c r="D1" s="28" t="s">
        <v>98</v>
      </c>
      <c r="E1" s="28" t="s">
        <v>1085</v>
      </c>
      <c r="F1" s="12" t="s">
        <v>42</v>
      </c>
      <c r="G1" s="20" t="s">
        <v>1086</v>
      </c>
      <c r="H1" s="20" t="s">
        <v>32</v>
      </c>
      <c r="I1" s="1" t="s">
        <v>1087</v>
      </c>
      <c r="J1" s="1" t="s">
        <v>37</v>
      </c>
      <c r="K1" s="1" t="s">
        <v>1088</v>
      </c>
      <c r="L1" s="1" t="s">
        <v>110</v>
      </c>
      <c r="M1" s="12" t="s">
        <v>1089</v>
      </c>
      <c r="N1" s="1" t="s">
        <v>817</v>
      </c>
      <c r="O1" s="1" t="s">
        <v>1090</v>
      </c>
      <c r="P1" s="1" t="s">
        <v>818</v>
      </c>
      <c r="Q1" s="1" t="s">
        <v>1091</v>
      </c>
      <c r="R1" s="1" t="s">
        <v>819</v>
      </c>
      <c r="S1" s="1" t="s">
        <v>1092</v>
      </c>
      <c r="T1" s="12" t="s">
        <v>820</v>
      </c>
      <c r="U1" s="1" t="s">
        <v>1093</v>
      </c>
      <c r="V1" s="1" t="s">
        <v>24</v>
      </c>
      <c r="W1" s="1" t="s">
        <v>821</v>
      </c>
      <c r="X1" s="1" t="s">
        <v>1094</v>
      </c>
      <c r="Y1" s="1" t="s">
        <v>822</v>
      </c>
      <c r="Z1" s="1" t="s">
        <v>1095</v>
      </c>
    </row>
    <row r="2" spans="1:26">
      <c r="A2" s="28" t="s">
        <v>1096</v>
      </c>
      <c r="B2" s="12">
        <f ca="1">(角色属性!Z19+增益计算!D2)*(1+增益计算!E2)+(角色属性!Z18+增益计算!B2)*(1+增益计算!C2)*常更新数据!AE3</f>
        <v>116615</v>
      </c>
      <c r="C2" s="28">
        <f ca="1">(角色属性!Z19+增益计算!D2+增益计算!D3)*(1+增益计算!E2+增益计算!E3)+(角色属性!Z18+增益计算!B2+增益计算!B3)*(1+增益计算!C2+增益计算!C3)*常更新数据!AE3</f>
        <v>151922</v>
      </c>
      <c r="D2" s="39">
        <f ca="1">角色属性!Z20+增益计算!G2+((增益计算!B2)*(1+增益计算!C2)*常更新数据!AE6+增益计算!F2)/常更新数据!AE32</f>
        <v>0.632129102745027</v>
      </c>
      <c r="E2" s="39">
        <f ca="1">角色属性!Z20+增益计算!G2+增益计算!G3+((增益计算!B2+增益计算!B3)*(1+增益计算!C2+增益计算!C3)*常更新数据!AE6+增益计算!F2+增益计算!F3)/常更新数据!AE32</f>
        <v>0.632129102745027</v>
      </c>
      <c r="F2" s="39">
        <f ca="1">角色属性!Z21+增益计算!I2+(增益计算!H2)/常更新数据!AE34</f>
        <v>2.264740226401</v>
      </c>
      <c r="G2" s="23">
        <f ca="1">角色属性!Z21+增益计算!I2+增益计算!I3+(增益计算!H2+增益计算!H3)/常更新数据!AE34</f>
        <v>2.264740226401</v>
      </c>
      <c r="H2" s="25">
        <f ca="1">(角色属性!Z23+(增益计算!K2)/常更新数据!AE33)*(1+增益计算!L2)</f>
        <v>0.369370182724547</v>
      </c>
      <c r="I2" s="25">
        <f ca="1">(角色属性!Z23+(增益计算!K2+增益计算!K3)/常更新数据!AE33)*(1+增益计算!L2+增益计算!L3)</f>
        <v>0.41698752332296</v>
      </c>
      <c r="J2" s="25">
        <f ca="1">增益计算!N2+((增益计算!M2)/常更新数据!AE35+角色属性!Z24)*(1+增益计算!O2)</f>
        <v>1.12253812253812</v>
      </c>
      <c r="K2" s="25">
        <f ca="1">增益计算!N2+增益计算!N3+((增益计算!M2+增益计算!M3)/常更新数据!AE35+角色属性!Z24)*(1+增益计算!O2+增益计算!NO3)</f>
        <v>1.12253812253812</v>
      </c>
      <c r="L2" s="1">
        <f ca="1">(角色属性!Z25+增益计算!P2)*(1+增益计算!Q2)</f>
        <v>13740</v>
      </c>
      <c r="M2" s="12">
        <f ca="1">(角色属性!Z25+增益计算!P2+增益计算!P3)*(1+增益计算!Q2+增益计算!Q3)</f>
        <v>13740</v>
      </c>
      <c r="N2" s="23">
        <f ca="1">增益计算!R2</f>
        <v>0</v>
      </c>
      <c r="O2" s="23">
        <f ca="1">增益计算!R2+增益计算!R3</f>
        <v>0</v>
      </c>
      <c r="P2" s="23">
        <f ca="1">增益计算!S2</f>
        <v>0</v>
      </c>
      <c r="Q2" s="23">
        <f ca="1">增益计算!S2+增益计算!S3</f>
        <v>0</v>
      </c>
      <c r="R2" s="23">
        <f ca="1">增益计算!T2</f>
        <v>0</v>
      </c>
      <c r="S2" s="23">
        <f ca="1">增益计算!T2+增益计算!T3</f>
        <v>0</v>
      </c>
      <c r="T2" s="25">
        <f ca="1">增益计算!U2</f>
        <v>0.5</v>
      </c>
      <c r="U2" s="25">
        <f ca="1">增益计算!U2+增益计算!U3</f>
        <v>0.494569126038313</v>
      </c>
      <c r="V2" s="1">
        <f ca="1">角色属性!Z22+增益计算!J2</f>
        <v>32213</v>
      </c>
      <c r="W2" s="1">
        <f ca="1">增益计算!V2</f>
        <v>0</v>
      </c>
      <c r="X2" s="1">
        <f ca="1">增益计算!V2+增益计算!V3</f>
        <v>0</v>
      </c>
      <c r="Y2" s="1">
        <f ca="1">增益计算!W2</f>
        <v>0.0791624882395013</v>
      </c>
      <c r="Z2" s="1">
        <f ca="1">增益计算!W2+增益计算!W3</f>
        <v>0.109718043795057</v>
      </c>
    </row>
    <row r="3" spans="1:26">
      <c r="A3" s="12" t="s">
        <v>1097</v>
      </c>
      <c r="B3" s="1">
        <f ca="1">(角色属性!Z19+增益计算!D2+增益计算!D4)*(1+增益计算!E2+增益计算!E4)+(角色属性!Z18+增益计算!B2+增益计算!B4)*(1+增益计算!C2+增益计算!C4)*常更新数据!AE3</f>
        <v>123924.75</v>
      </c>
      <c r="C3" s="20">
        <f ca="1">(角色属性!Z19+增益计算!D2+增益计算!D3+增益计算!D4)*(1+增益计算!E2+增益计算!E3+增益计算!E4)+(角色属性!Z18+增益计算!B2+增益计算!B3+增益计算!B4)*(1+增益计算!C2+增益计算!C3+增益计算!C4)*常更新数据!AE3</f>
        <v>160350</v>
      </c>
      <c r="D3" s="39">
        <f ca="1">角色属性!Z20+增益计算!G2+增益计算!G4+((增益计算!B2+增益计算!B4)*(1+增益计算!C2+增益计算!C4)*常更新数据!AE6+增益计算!F2+增益计算!F4)/常更新数据!AE32</f>
        <v>0.768535429406736</v>
      </c>
      <c r="E3" s="39">
        <f ca="1">角色属性!Z20+增益计算!G2+增益计算!G3+增益计算!G4+((增益计算!B2+增益计算!B3+增益计算!B4)*(1+增益计算!C2+增益计算!C3+增益计算!C4)*常更新数据!AE6+增益计算!F2+增益计算!F3+增益计算!F4)/常更新数据!AE32</f>
        <v>0.768535429406736</v>
      </c>
      <c r="F3" s="39">
        <f ca="1">角色属性!Z21+增益计算!I2+增益计算!I4+(增益计算!H2+增益计算!H4)/常更新数据!AE34</f>
        <v>2.264740226401</v>
      </c>
      <c r="G3" s="23">
        <f ca="1">角色属性!Z21+增益计算!I2+增益计算!I3+增益计算!I4+(增益计算!H2+增益计算!H3+增益计算!H4)/常更新数据!AE34</f>
        <v>2.264740226401</v>
      </c>
      <c r="H3" s="25">
        <f ca="1">(角色属性!Z23+(增益计算!K2+增益计算!K4)/常更新数据!AE33)*(1+增益计算!L2+增益计算!L4)</f>
        <v>0.369370182724547</v>
      </c>
      <c r="I3" s="25">
        <f ca="1">(角色属性!Z23+(增益计算!K2+增益计算!K3+增益计算!K4)/常更新数据!AE33)*(1+增益计算!L2+增益计算!L3+增益计算!L4)</f>
        <v>0.41698752332296</v>
      </c>
      <c r="J3" s="25">
        <f ca="1">增益计算!N2+增益计算!N4+(角色属性!Z24+(增益计算!M2+增益计算!M4)/常更新数据!AE35)*(1+增益计算!O2+增益计算!O4)</f>
        <v>2.02436332436332</v>
      </c>
      <c r="K3" s="25">
        <f ca="1">增益计算!N2+增益计算!N3+增益计算!N4+(角色属性!Z24+(增益计算!M2+增益计算!M3+增益计算!M4)/常更新数据!AE35)*(1+增益计算!O2+增益计算!O3+增益计算!O4)</f>
        <v>2.02436332436332</v>
      </c>
      <c r="L3" s="1">
        <f ca="1">(角色属性!Z25+增益计算!P2+增益计算!P4)*(1+增益计算!Q2+增益计算!Q4)</f>
        <v>18487</v>
      </c>
      <c r="M3" s="1">
        <f ca="1">(角色属性!Z25+增益计算!P2+增益计算!P3+增益计算!P4)*(1+增益计算!Q2+增益计算!Q3+增益计算!Q4)</f>
        <v>18487</v>
      </c>
      <c r="N3" s="23">
        <f ca="1">增益计算!R2+增益计算!R4</f>
        <v>0</v>
      </c>
      <c r="O3" s="23">
        <f ca="1">增益计算!R2+增益计算!R3+增益计算!R4</f>
        <v>0</v>
      </c>
      <c r="P3" s="23">
        <f ca="1">增益计算!S2+增益计算!S3+增益计算!S4</f>
        <v>0.02</v>
      </c>
      <c r="Q3" s="23">
        <f ca="1">增益计算!S2+增益计算!S3+增益计算!S4</f>
        <v>0.02</v>
      </c>
      <c r="R3" s="23">
        <f ca="1">增益计算!T2+增益计算!T4</f>
        <v>0.15</v>
      </c>
      <c r="S3" s="23">
        <f ca="1">增益计算!T2+增益计算!T3+增益计算!T4</f>
        <v>0.15</v>
      </c>
      <c r="T3" s="1">
        <f ca="1">增益计算!U2+增益计算!U4</f>
        <v>0.5</v>
      </c>
      <c r="U3" s="1">
        <f ca="1">增益计算!U2+增益计算!U3+增益计算!U4</f>
        <v>0.494569126038313</v>
      </c>
      <c r="V3" s="1">
        <f ca="1">V2</f>
        <v>32213</v>
      </c>
      <c r="W3" s="1">
        <f ca="1">增益计算!V2+增益计算!V4</f>
        <v>0</v>
      </c>
      <c r="X3" s="1">
        <f ca="1">增益计算!V2+增益计算!V3+增益计算!V4</f>
        <v>0</v>
      </c>
      <c r="Y3" s="1">
        <f ca="1">增益计算!W2+增益计算!W4</f>
        <v>0.0791624882395013</v>
      </c>
      <c r="Z3" s="1">
        <f ca="1">增益计算!W2+增益计算!W3+增益计算!W4</f>
        <v>0.109718043795057</v>
      </c>
    </row>
    <row r="4" spans="1:26">
      <c r="C4" s="20"/>
      <c r="N4" s="23"/>
      <c r="O4" s="23"/>
      <c r="P4" s="23"/>
      <c r="Q4" s="23"/>
      <c r="R4" s="23"/>
      <c r="S4" s="23"/>
    </row>
    <row r="5" spans="1:26">
      <c r="A5" s="1" t="s">
        <v>1098</v>
      </c>
      <c r="B5" s="12">
        <f ca="1">(角色属性!Z19+增益计算!D2+增益计算!D4+增益计算!D5)*(1+增益计算!E2+增益计算!E4+增益计算!E5)+(角色属性!Z18+增益计算!B2+增益计算!B4+增益计算!B5)*(1+增益计算!C2+增益计算!C4+增益计算!C5)*常更新数据!AE3</f>
        <v>123924.75</v>
      </c>
      <c r="C5" s="28">
        <f ca="1">(角色属性!Z19+增益计算!D2+增益计算!D3+增益计算!D4+增益计算!D5)*(1+增益计算!E2+增益计算!E3+增益计算!E4+增益计算!E5)+(角色属性!Z18+增益计算!B2+增益计算!B3+增益计算!B4+增益计算!B5)*(1+增益计算!C2+增益计算!C3+增益计算!C4+增益计算!C5)*常更新数据!AE3</f>
        <v>160350</v>
      </c>
      <c r="D5" s="39">
        <f ca="1">角色属性!Z20+增益计算!G2+增益计算!G4+增益计算!G5+((增益计算!B2+增益计算!B4+增益计算!B5)*(1+增益计算!C2+增益计算!C4+增益计算!C5)*常更新数据!AE6+增益计算!F2+增益计算!F4+增益计算!F5)/常更新数据!AE32</f>
        <v>0.798535429406736</v>
      </c>
      <c r="E5" s="39">
        <f ca="1">角色属性!Z20+增益计算!G2+增益计算!G3+增益计算!G4+增益计算!G5+((增益计算!B2+增益计算!B3+增益计算!B4+增益计算!B5)*(1+增益计算!C2+增益计算!C3+增益计算!C4+增益计算!C5)*常更新数据!AE6+增益计算!F2+增益计算!F3+增益计算!F4+增益计算!F5)/常更新数据!AE32</f>
        <v>0.798535429406736</v>
      </c>
      <c r="F5" s="39">
        <f ca="1">角色属性!Z21+增益计算!I2+增益计算!I4+增益计算!I5+(增益计算!H2+增益计算!H4+增益计算!H5)/常更新数据!AE34</f>
        <v>2.408740226401</v>
      </c>
      <c r="G5" s="23">
        <f ca="1">角色属性!Z21+增益计算!I2+增益计算!I3+增益计算!I4+增益计算!I5+(增益计算!H2+增益计算!H3+增益计算!H4+增益计算!H5)/常更新数据!AE34</f>
        <v>2.408740226401</v>
      </c>
      <c r="H5" s="25">
        <f ca="1">(角色属性!Z23+(增益计算!K2+增益计算!K4+增益计算!K5)/常更新数据!AE33)*(1+增益计算!L2+增益计算!L4+增益计算!L5)</f>
        <v>0.369370182724547</v>
      </c>
      <c r="I5" s="25">
        <f ca="1">(角色属性!Z23+(增益计算!K2+增益计算!K3+增益计算!K4+增益计算!K5)/常更新数据!AE33)*(1+增益计算!L2+增益计算!L3+增益计算!L4+增益计算!L5)</f>
        <v>0.41698752332296</v>
      </c>
      <c r="J5" s="25">
        <f ca="1">增益计算!N2+增益计算!N4+增益计算!N5+(角色属性!Z24+(增益计算!M2+增益计算!M4+增益计算!M5)/常更新数据!AE35)*(1+增益计算!O2+增益计算!O4+增益计算!O5)</f>
        <v>2.04436332436332</v>
      </c>
      <c r="K5" s="25">
        <f ca="1">增益计算!N2+增益计算!N3+增益计算!N4+增益计算!N5+(角色属性!Z24+(增益计算!M2+增益计算!M3+增益计算!M4+增益计算!M5)/常更新数据!AE35)*(1+增益计算!O2+增益计算!O3+增益计算!O4+增益计算!O5)</f>
        <v>2.04436332436332</v>
      </c>
      <c r="L5" s="1">
        <f ca="1">(角色属性!Z25+增益计算!P2+增益计算!P4+增益计算!P5)*(1+增益计算!Q2+增益计算!Q4+增益计算!Q5)</f>
        <v>18487</v>
      </c>
      <c r="M5" s="12">
        <f ca="1">(角色属性!Z25+增益计算!P2+增益计算!P3+增益计算!P4+增益计算!P5)*(1+增益计算!Q2+增益计算!Q3+增益计算!Q4+增益计算!Q5)</f>
        <v>18487</v>
      </c>
      <c r="N5" s="23">
        <f ca="1">增益计算!R2+增益计算!R4+增益计算!R5</f>
        <v>0.06</v>
      </c>
      <c r="O5" s="23">
        <f ca="1">增益计算!R2+增益计算!R3+增益计算!R4+增益计算!R5</f>
        <v>0.06</v>
      </c>
      <c r="P5" s="23">
        <f ca="1">增益计算!S2+增益计算!S4+增益计算!S5</f>
        <v>0.02</v>
      </c>
      <c r="Q5" s="23">
        <f ca="1">增益计算!S2+增益计算!S3+增益计算!S4+增益计算!S5</f>
        <v>0.02</v>
      </c>
      <c r="R5" s="23">
        <f ca="1">增益计算!T2+增益计算!T4+增益计算!T5</f>
        <v>0.15</v>
      </c>
      <c r="S5" s="23">
        <f ca="1">增益计算!T2+增益计算!T3+增益计算!T4+增益计算!T5</f>
        <v>0.15</v>
      </c>
      <c r="T5" s="25">
        <f ca="1">增益计算!U2+增益计算!U4+增益计算!U5</f>
        <v>0.5</v>
      </c>
      <c r="U5" s="25">
        <f ca="1">增益计算!U2+增益计算!U3+增益计算!U4+增益计算!U5</f>
        <v>0.494569126038313</v>
      </c>
      <c r="V5" s="1">
        <f ca="1">V2</f>
        <v>32213</v>
      </c>
      <c r="W5" s="1">
        <f ca="1">增益计算!V2+增益计算!V4+增益计算!V5</f>
        <v>0</v>
      </c>
      <c r="X5" s="1">
        <f ca="1">增益计算!V2+增益计算!V3+增益计算!V4+增益计算!V5</f>
        <v>0</v>
      </c>
      <c r="Y5" s="1">
        <f ca="1">增益计算!W2+增益计算!W4+增益计算!W5</f>
        <v>0.0791624882395013</v>
      </c>
      <c r="Z5" s="1">
        <f ca="1">增益计算!W2+增益计算!W3+增益计算!W4+增益计算!W5</f>
        <v>0.109718043795057</v>
      </c>
    </row>
    <row r="6" spans="1:26">
      <c r="A6" s="1" t="s">
        <v>2</v>
      </c>
      <c r="B6" s="12" cm="1">
        <f ca="1" t="array" ref="B6">(角色属性!$Z$19+增益计算!$D$2+增益计算!$D$4+_xlfn.XLOOKUP(A6,增益数据表[增益名字],增益数据表[攻击等级]))*(1+增益计算!$E$2+增益计算!$E$4+_xlfn.XLOOKUP(A6,增益数据表[增益名字],增益数据表[攻击提高]))+(角色属性!$Z$18+增益计算!$B$2+增益计算!$B$4+_xlfn.XLOOKUP(A6,增益数据表[增益名字],增益数据表[根骨等级]))*(1+增益计算!$C$2+增益计算!$C$4+_xlfn.XLOOKUP(A6,增益数据表[增益名字],增益数据表[根骨提高]))*常更新数据!$AE$3</f>
        <v>123924.75</v>
      </c>
      <c r="C6" s="28" cm="1">
        <f ca="1" t="array" ref="C6">(角色属性!$Z$19+增益计算!$D$2+增益计算!$D$3+增益计算!$D$4+_xlfn.XLOOKUP(A6,增益数据表[增益名字],增益数据表[攻击等级]))*(1+增益计算!$E$2+增益计算!$E$3+增益计算!$E$4+_xlfn.XLOOKUP(A6,增益数据表[增益名字],增益数据表[攻击提高]))+(角色属性!$Z$18+增益计算!$B$2+增益计算!$B$3+增益计算!$B$4+_xlfn.XLOOKUP(A6,增益数据表[增益名字],增益数据表[根骨等级]))*(1+增益计算!$C$2+增益计算!$C$3+增益计算!$C$4+_xlfn.XLOOKUP(A6,增益数据表[增益名字],增益数据表[根骨提高]))*常更新数据!$AE$3</f>
        <v>160350</v>
      </c>
      <c r="D6" s="39" cm="1">
        <f ca="1" t="array" ref="D6">角色属性!$Z$20+增益计算!$G$2+增益计算!$G$4+_xlfn.XLOOKUP(A6,增益数据表[增益名字],增益数据表[会心提高])+((增益计算!$B$2+增益计算!$B$4+_xlfn.XLOOKUP(A6,增益数据表[增益名字],增益数据表[根骨等级]))*(1+增益计算!$C$2+增益计算!$C$4+_xlfn.XLOOKUP(A6,增益数据表[增益名字],增益数据表[根骨提高]))*常更新数据!$AE$6+增益计算!$F$2+增益计算!$F$4+_xlfn.XLOOKUP(A6,增益数据表[增益名字],增益数据表[会心等级]))/常更新数据!$AE$32</f>
        <v>0.798535429406736</v>
      </c>
      <c r="E6" s="39" cm="1">
        <f ca="1" t="array" ref="E6">角色属性!$Z$20+增益计算!$G$2+增益计算!$G$3+增益计算!$G$4+_xlfn.XLOOKUP(A6,增益数据表[增益名字],增益数据表[会心提高])+((增益计算!$B$2+增益计算!$B$3+增益计算!$B$4+_xlfn.XLOOKUP(A6,增益数据表[增益名字],增益数据表[根骨等级]))*(1+增益计算!$C$2+增益计算!$C$3+增益计算!$C$4+_xlfn.XLOOKUP(A6,增益数据表[增益名字],增益数据表[根骨提高]))*常更新数据!$AE$6+增益计算!$F$2++增益计算!$F$3+增益计算!$F$4+_xlfn.XLOOKUP(A6,增益数据表[增益名字],增益数据表[会心等级]))/常更新数据!$AE$32</f>
        <v>0.798535429406736</v>
      </c>
      <c r="F6" s="39" cm="1">
        <f ca="1" t="array" ref="F6">角色属性!$Z$21+增益计算!$I$2+增益计算!$I$4+_xlfn.XLOOKUP(A6,增益数据表[增益名字],增益数据表[会效提高])+(增益计算!$H$2+增益计算!$H$4+_xlfn.XLOOKUP(A6,增益数据表[增益名字],增益数据表[会效等级]))/常更新数据!$AE$34</f>
        <v>2.408740226401</v>
      </c>
      <c r="G6" s="23" cm="1">
        <f ca="1" t="array" ref="G6">角色属性!$Z$21+增益计算!$I$2+增益计算!$I$3+增益计算!$I$4+_xlfn.XLOOKUP(A6,增益数据表[增益名字],增益数据表[会效提高])+(增益计算!$H$2+增益计算!$H$3+增益计算!$H$4+_xlfn.XLOOKUP(A6,增益数据表[增益名字],增益数据表[会效等级]))/常更新数据!$AE$34</f>
        <v>2.408740226401</v>
      </c>
      <c r="H6" s="25" cm="1">
        <f ca="1" t="array" ref="H6">(角色属性!$Z$23+(增益计算!$K$2+增益计算!$K$4+_xlfn.XLOOKUP(A6,增益数据表[增益名字],增益数据表[破防等级]))/常更新数据!$AE$33)*(1+增益计算!$L$2+增益计算!$L$4+_xlfn.XLOOKUP(A6,增益数据表[增益名字],增益数据表[破防提高]))</f>
        <v>0.369370182724547</v>
      </c>
      <c r="I6" s="25" cm="1">
        <f ca="1" t="array" ref="I6">(角色属性!$Z$23+(增益计算!$K$2+增益计算!$K$3+增益计算!$K$4+_xlfn.XLOOKUP(A6,增益数据表[增益名字],增益数据表[破防等级]))/常更新数据!$AE$33)*(1+增益计算!$L$2+增益计算!$L$3+增益计算!$L$4+_xlfn.XLOOKUP(A6,增益数据表[增益名字],增益数据表[破防提高]))</f>
        <v>0.41698752332296</v>
      </c>
      <c r="J6" s="25" cm="1">
        <f ca="1" t="array" ref="J6">增益计算!$N$2+增益计算!$N$4+_xlfn.XLOOKUP(A6,增益数据表[增益名字],增益数据表[无双提高])+(角色属性!$Z$24+(增益计算!$M$2+增益计算!$M$4+_xlfn.XLOOKUP(A6,增益数据表[增益名字],增益数据表[无双等级]))/常更新数据!$AE$35)*(1+增益计算!$O$2+增益计算!$O$4+_xlfn.XLOOKUP(A6,增益数据表[增益名字],增益数据表[无双乘算]))</f>
        <v>2.04436332436332</v>
      </c>
      <c r="K6" s="25" cm="1">
        <f ca="1" t="array" ref="K6">增益计算!$N$2+增益计算!$N$3+增益计算!$N$4+_xlfn.XLOOKUP(A6,增益数据表[增益名字],增益数据表[无双提高])+(角色属性!$Z$24+(增益计算!$M$2+增益计算!$M$3+增益计算!$M$4+_xlfn.XLOOKUP(A6,增益数据表[增益名字],增益数据表[无双等级]))/常更新数据!$AE$35)*(1+增益计算!$O$2+增益计算!$O$3+增益计算!$O$4+_xlfn.XLOOKUP(A6,增益数据表[增益名字],增益数据表[无双乘算]))</f>
        <v>2.04436332436332</v>
      </c>
      <c r="L6" s="1" cm="1">
        <f ca="1" t="array" ref="L6">(角色属性!$Z$25+增益计算!$P$2+增益计算!$P$4+_xlfn.XLOOKUP(A6,增益数据表[增益名字],增益数据表[破招等级]))*(1+增益计算!$Q$2+增益计算!$Q$4+_xlfn.XLOOKUP(A6,增益数据表[增益名字],增益数据表[破招提高]))</f>
        <v>18487</v>
      </c>
      <c r="M6" s="12" cm="1">
        <f ca="1" t="array" ref="M6">(角色属性!$Z$25+增益计算!$P$2+增益计算!$P$3+增益计算!$P$4+_xlfn.XLOOKUP(A6,增益数据表[增益名字],增益数据表[破招等级]))*(1+增益计算!$Q$2+增益计算!$Q$3+增益计算!$Q$4+_xlfn.XLOOKUP(A6,增益数据表[增益名字],增益数据表[破招提高]))</f>
        <v>18487</v>
      </c>
      <c r="N6" s="23" cm="1">
        <f ca="1" t="array" ref="N6">增益计算!$R$2+增益计算!$R$4+_xlfn.XLOOKUP(A6,增益数据表[增益名字],增益数据表[增伤])</f>
        <v>0.06</v>
      </c>
      <c r="O6" s="23" cm="1">
        <f ca="1" t="array" ref="O6">增益计算!$R$2+增益计算!$R$3+增益计算!$R$4+_xlfn.XLOOKUP(A6,增益数据表[增益名字],增益数据表[增伤])</f>
        <v>0.06</v>
      </c>
      <c r="P6" s="23" cm="1">
        <f ca="1" t="array" ref="P6">增益计算!$S$2+增益计算!$S$3+增益计算!$S$4+_xlfn.XLOOKUP(A6,增益数据表[增益名字],增益数据表[易伤])</f>
        <v>0.02</v>
      </c>
      <c r="Q6" s="23" cm="1">
        <f ca="1" t="array" ref="Q6">增益计算!$S$2+增益计算!$S$3+增益计算!$S$4+_xlfn.XLOOKUP(A6,增益数据表[增益名字],增益数据表[易伤])</f>
        <v>0.02</v>
      </c>
      <c r="R6" s="23" cm="1">
        <f ca="1" t="array" ref="R6">增益计算!$T$2+增益计算!$T$4+_xlfn.XLOOKUP(A6,增益数据表[增益名字],增益数据表[降低防御])</f>
        <v>0.15</v>
      </c>
      <c r="S6" s="23" cm="1">
        <f ca="1" t="array" ref="S6">增益计算!$T$2+增益计算!$T$3+增益计算!$T$4+_xlfn.XLOOKUP(A6,增益数据表[增益名字],增益数据表[降低防御])</f>
        <v>0.15</v>
      </c>
      <c r="T6" s="25" cm="1">
        <f ca="1" t="array" ref="T6">增益计算!$U$2+增益计算!$U$4+_xlfn.XLOOKUP(A6,增益数据表[增益名字],增益数据表[无视防御])</f>
        <v>0.5</v>
      </c>
      <c r="U6" s="25" cm="1">
        <f ca="1" t="array" ref="U6">增益计算!$U$2+增益计算!$U$3+增益计算!$U$4+_xlfn.XLOOKUP(A6,增益数据表[增益名字],增益数据表[无视防御])</f>
        <v>0.494569126038313</v>
      </c>
      <c r="V6" s="1">
        <f ca="1">V2</f>
        <v>32213</v>
      </c>
      <c r="W6" s="1" cm="1">
        <f ca="1" t="array" ref="W6">增益计算!$V$2+增益计算!$V$4+_xlfn.XLOOKUP(A6,增益数据表[增益名字],增益数据表[独立增伤])</f>
        <v>0</v>
      </c>
      <c r="X6" s="1" cm="1">
        <f ca="1" t="array" ref="X6">增益计算!$V$2+增益计算!$V$3+增益计算!$V$4+_xlfn.XLOOKUP(A6,增益数据表[增益名字],增益数据表[独立增伤])</f>
        <v>0</v>
      </c>
      <c r="Y6" s="1">
        <f ca="1">增益计算!$W$2+增益计算!$W$4+_xlfn.XLOOKUP(A6,增益数据表[增益名字],增益数据表[最终增伤])</f>
        <v>0.0791624882395013</v>
      </c>
      <c r="Z6" s="1">
        <f ca="1">增益计算!$W$2+增益计算!$W$3+增益计算!$W$4+_xlfn.XLOOKUP(A6,增益数据表[增益名字],增益数据表[最终增伤])</f>
        <v>0.109718043795057</v>
      </c>
    </row>
    <row r="7" spans="1:26">
      <c r="A7" s="1" t="s">
        <v>885</v>
      </c>
      <c r="B7" s="12" cm="1">
        <f ca="1" t="array" ref="B7">(角色属性!$Z$19+增益计算!$D$2+增益计算!$D$4+_xlfn.XLOOKUP(A7,增益数据表[增益名字],增益数据表[攻击等级]))*(1+增益计算!$E$2+增益计算!$E$4+_xlfn.XLOOKUP(A7,增益数据表[增益名字],增益数据表[攻击提高]))+(角色属性!$Z$18+增益计算!$B$2+增益计算!$B$4+_xlfn.XLOOKUP(A7,增益数据表[增益名字],增益数据表[根骨等级]))*(1+增益计算!$C$2+增益计算!$C$4+_xlfn.XLOOKUP(A7,增益数据表[增益名字],增益数据表[根骨提高]))*常更新数据!$AE$3</f>
        <v>132019.25</v>
      </c>
      <c r="C7" s="28" cm="1">
        <f ca="1" t="array" ref="C7">(角色属性!$Z$19+增益计算!$D$2+增益计算!$D$3+增益计算!$D$4+_xlfn.XLOOKUP(A7,增益数据表[增益名字],增益数据表[攻击等级]))*(1+增益计算!$E$2+增益计算!$E$3+增益计算!$E$4+_xlfn.XLOOKUP(A7,增益数据表[增益名字],增益数据表[攻击提高]))+(角色属性!$Z$18+增益计算!$B$2+增益计算!$B$3+增益计算!$B$4+_xlfn.XLOOKUP(A7,增益数据表[增益名字],增益数据表[根骨等级]))*(1+增益计算!$C$2+增益计算!$C$3+增益计算!$C$4+_xlfn.XLOOKUP(A7,增益数据表[增益名字],增益数据表[根骨提高]))*常更新数据!$AE$3</f>
        <v>168444.5</v>
      </c>
      <c r="D7" s="39" cm="1">
        <f ca="1" t="array" ref="D7">角色属性!$Z$20+增益计算!$G$2+增益计算!$G$4+_xlfn.XLOOKUP(A7,增益数据表[增益名字],增益数据表[会心提高])+((增益计算!$B$2+增益计算!$B$4+_xlfn.XLOOKUP(A7,增益数据表[增益名字],增益数据表[根骨等级]))*(1+增益计算!$C$2+增益计算!$C$4+_xlfn.XLOOKUP(A7,增益数据表[增益名字],增益数据表[根骨提高]))*常更新数据!$AE$6+增益计算!$F$2+增益计算!$F$4+_xlfn.XLOOKUP(A7,增益数据表[增益名字],增益数据表[会心等级]))/常更新数据!$AE$32</f>
        <v>0.848535429406736</v>
      </c>
      <c r="E7" s="39" cm="1">
        <f ca="1" t="array" ref="E7">角色属性!$Z$20+增益计算!$G$2+增益计算!$G$3+增益计算!$G$4+_xlfn.XLOOKUP(A7,增益数据表[增益名字],增益数据表[会心提高])+((增益计算!$B$2+增益计算!$B$3+增益计算!$B$4+_xlfn.XLOOKUP(A7,增益数据表[增益名字],增益数据表[根骨等级]))*(1+增益计算!$C$2+增益计算!$C$3+增益计算!$C$4+_xlfn.XLOOKUP(A7,增益数据表[增益名字],增益数据表[根骨提高]))*常更新数据!$AE$6+增益计算!$F$2++增益计算!$F$3+增益计算!$F$4+_xlfn.XLOOKUP(A7,增益数据表[增益名字],增益数据表[会心等级]))/常更新数据!$AE$32</f>
        <v>0.848535429406736</v>
      </c>
      <c r="F7" s="39" cm="1">
        <f ca="1" t="array" ref="F7">角色属性!$Z$21+增益计算!$I$2+增益计算!$I$4+_xlfn.XLOOKUP(A7,增益数据表[增益名字],增益数据表[会效提高])+(增益计算!$H$2+增益计算!$H$4+_xlfn.XLOOKUP(A7,增益数据表[增益名字],增益数据表[会效等级]))/常更新数据!$AE$34</f>
        <v>2.264740226401</v>
      </c>
      <c r="G7" s="23" cm="1">
        <f ca="1" t="array" ref="G7">角色属性!$Z$21+增益计算!$I$2+增益计算!$I$3+增益计算!$I$4+_xlfn.XLOOKUP(A7,增益数据表[增益名字],增益数据表[会效提高])+(增益计算!$H$2+增益计算!$H$3+增益计算!$H$4+_xlfn.XLOOKUP(A7,增益数据表[增益名字],增益数据表[会效等级]))/常更新数据!$AE$34</f>
        <v>2.264740226401</v>
      </c>
      <c r="H7" s="25" cm="1">
        <f ca="1" t="array" ref="H7">(角色属性!$Z$23+(增益计算!$K$2+增益计算!$K$4+_xlfn.XLOOKUP(A7,增益数据表[增益名字],增益数据表[破防等级]))/常更新数据!$AE$33)*(1+增益计算!$L$2+增益计算!$L$4+_xlfn.XLOOKUP(A7,增益数据表[增益名字],增益数据表[破防提高]))</f>
        <v>0.369370182724547</v>
      </c>
      <c r="I7" s="25" cm="1">
        <f ca="1" t="array" ref="I7">(角色属性!$Z$23+(增益计算!$K$2+增益计算!$K$3+增益计算!$K$4+_xlfn.XLOOKUP(A7,增益数据表[增益名字],增益数据表[破防等级]))/常更新数据!$AE$33)*(1+增益计算!$L$2+增益计算!$L$3+增益计算!$L$4+_xlfn.XLOOKUP(A7,增益数据表[增益名字],增益数据表[破防提高]))</f>
        <v>0.41698752332296</v>
      </c>
      <c r="J7" s="25" cm="1">
        <f ca="1" t="array" ref="J7">增益计算!$N$2+增益计算!$N$4+_xlfn.XLOOKUP(A7,增益数据表[增益名字],增益数据表[无双提高])+(角色属性!$Z$24+(增益计算!$M$2+增益计算!$M$4+_xlfn.XLOOKUP(A7,增益数据表[增益名字],增益数据表[无双等级]))/常更新数据!$AE$35)*(1+增益计算!$O$2+增益计算!$O$4+_xlfn.XLOOKUP(A7,增益数据表[增益名字],增益数据表[无双乘算]))</f>
        <v>2.04436332436332</v>
      </c>
      <c r="K7" s="25" cm="1">
        <f ca="1" t="array" ref="K7">增益计算!$N$2+增益计算!$N$3+增益计算!$N$4+_xlfn.XLOOKUP(A7,增益数据表[增益名字],增益数据表[无双提高])+(角色属性!$Z$24+(增益计算!$M$2+增益计算!$M$3+增益计算!$M$4+_xlfn.XLOOKUP(A7,增益数据表[增益名字],增益数据表[无双等级]))/常更新数据!$AE$35)*(1+增益计算!$O$2+增益计算!$O$3+增益计算!$O$4+_xlfn.XLOOKUP(A7,增益数据表[增益名字],增益数据表[无双乘算]))</f>
        <v>2.04436332436332</v>
      </c>
      <c r="L7" s="1" cm="1">
        <f ca="1" t="array" ref="L7">(角色属性!$Z$25+增益计算!$P$2+增益计算!$P$4+_xlfn.XLOOKUP(A7,增益数据表[增益名字],增益数据表[破招等级]))*(1+增益计算!$Q$2+增益计算!$Q$4+_xlfn.XLOOKUP(A7,增益数据表[增益名字],增益数据表[破招提高]))</f>
        <v>18487</v>
      </c>
      <c r="M7" s="12" cm="1">
        <f ca="1" t="array" ref="M7">(角色属性!$Z$25+增益计算!$P$2+增益计算!$P$3+增益计算!$P$4+_xlfn.XLOOKUP(A7,增益数据表[增益名字],增益数据表[破招等级]))*(1+增益计算!$Q$2+增益计算!$Q$3+增益计算!$Q$4+_xlfn.XLOOKUP(A7,增益数据表[增益名字],增益数据表[破招提高]))</f>
        <v>18487</v>
      </c>
      <c r="N7" s="23" cm="1">
        <f ca="1" t="array" ref="N7">增益计算!$R$2+增益计算!$R$4+_xlfn.XLOOKUP(A7,增益数据表[增益名字],增益数据表[增伤])</f>
        <v>0</v>
      </c>
      <c r="O7" s="23" cm="1">
        <f ca="1" t="array" ref="O7">增益计算!$R$2+增益计算!$R$3+增益计算!$R$4+_xlfn.XLOOKUP(A7,增益数据表[增益名字],增益数据表[增伤])</f>
        <v>0</v>
      </c>
      <c r="P7" s="23" cm="1">
        <f ca="1" t="array" ref="P7">增益计算!$S$2+增益计算!$S$3+增益计算!$S$4+_xlfn.XLOOKUP(A7,增益数据表[增益名字],增益数据表[易伤])</f>
        <v>0.02</v>
      </c>
      <c r="Q7" s="23" cm="1">
        <f ca="1" t="array" ref="Q7">增益计算!$S$2+增益计算!$S$3+增益计算!$S$4+_xlfn.XLOOKUP(A7,增益数据表[增益名字],增益数据表[易伤])</f>
        <v>0.02</v>
      </c>
      <c r="R7" s="23" cm="1">
        <f ca="1" t="array" ref="R7">增益计算!$T$2+增益计算!$T$4+_xlfn.XLOOKUP(A7,增益数据表[增益名字],增益数据表[降低防御])</f>
        <v>0.15</v>
      </c>
      <c r="S7" s="23" cm="1">
        <f ca="1" t="array" ref="S7">增益计算!$T$2+增益计算!$T$3+增益计算!$T$4+_xlfn.XLOOKUP(A7,增益数据表[增益名字],增益数据表[降低防御])</f>
        <v>0.15</v>
      </c>
      <c r="T7" s="25" cm="1">
        <f ca="1" t="array" ref="T7">增益计算!$U$2+增益计算!$U$4+_xlfn.XLOOKUP(A7,增益数据表[增益名字],增益数据表[无视防御])</f>
        <v>0.5</v>
      </c>
      <c r="U7" s="25" cm="1">
        <f ca="1" t="array" ref="U7">增益计算!$U$2+增益计算!$U$3+增益计算!$U$4+_xlfn.XLOOKUP(A7,增益数据表[增益名字],增益数据表[无视防御])</f>
        <v>0.494569126038313</v>
      </c>
      <c r="V7" s="1">
        <f ca="1">V2</f>
        <v>32213</v>
      </c>
      <c r="W7" s="1" cm="1">
        <f ca="1" t="array" ref="W7">增益计算!$V$2+增益计算!$V$4+_xlfn.XLOOKUP(A7,增益数据表[增益名字],增益数据表[独立增伤])</f>
        <v>0</v>
      </c>
      <c r="X7" s="1" cm="1">
        <f ca="1" t="array" ref="X7">增益计算!$V$2+增益计算!$V$3+增益计算!$V$4+_xlfn.XLOOKUP(A7,增益数据表[增益名字],增益数据表[独立增伤])</f>
        <v>0</v>
      </c>
      <c r="Y7" s="1">
        <f ca="1">增益计算!$W$2+增益计算!$W$4+_xlfn.XLOOKUP(A7,增益数据表[增益名字],增益数据表[最终增伤])</f>
        <v>0.0791624882395013</v>
      </c>
      <c r="Z7" s="1">
        <f ca="1">增益计算!$W$2+增益计算!$W$3+增益计算!$W$4+_xlfn.XLOOKUP(A7,增益数据表[增益名字],增益数据表[最终增伤])</f>
        <v>0.109718043795057</v>
      </c>
    </row>
    <row r="8" spans="1:26">
      <c r="A8" s="1" t="s">
        <v>886</v>
      </c>
      <c r="B8" s="12" cm="1">
        <f ca="1" t="array" ref="B8">(角色属性!$Z$19+增益计算!$D$2+增益计算!$D$4+_xlfn.XLOOKUP(A8,增益数据表[增益名字],增益数据表[攻击等级]))*(1+增益计算!$E$2+增益计算!$E$4+_xlfn.XLOOKUP(A8,增益数据表[增益名字],增益数据表[攻击提高]))+(角色属性!$Z$18+增益计算!$B$2+增益计算!$B$4+_xlfn.XLOOKUP(A8,增益数据表[增益名字],增益数据表[根骨等级]))*(1+增益计算!$C$2+增益计算!$C$4+_xlfn.XLOOKUP(A8,增益数据表[增益名字],增益数据表[根骨提高]))*常更新数据!$AE$3</f>
        <v>127972</v>
      </c>
      <c r="C8" s="28" cm="1">
        <f ca="1" t="array" ref="C8">(角色属性!$Z$19+增益计算!$D$2+增益计算!$D$3+增益计算!$D$4+_xlfn.XLOOKUP(A8,增益数据表[增益名字],增益数据表[攻击等级]))*(1+增益计算!$E$2+增益计算!$E$3+增益计算!$E$4+_xlfn.XLOOKUP(A8,增益数据表[增益名字],增益数据表[攻击提高]))+(角色属性!$Z$18+增益计算!$B$2+增益计算!$B$3+增益计算!$B$4+_xlfn.XLOOKUP(A8,增益数据表[增益名字],增益数据表[根骨等级]))*(1+增益计算!$C$2+增益计算!$C$3+增益计算!$C$4+_xlfn.XLOOKUP(A8,增益数据表[增益名字],增益数据表[根骨提高]))*常更新数据!$AE$3</f>
        <v>164397.25</v>
      </c>
      <c r="D8" s="39" cm="1">
        <f ca="1" t="array" ref="D8">角色属性!$Z$20+增益计算!$G$2+增益计算!$G$4+_xlfn.XLOOKUP(A8,增益数据表[增益名字],增益数据表[会心提高])+((增益计算!$B$2+增益计算!$B$4+_xlfn.XLOOKUP(A8,增益数据表[增益名字],增益数据表[根骨等级]))*(1+增益计算!$C$2+增益计算!$C$4+_xlfn.XLOOKUP(A8,增益数据表[增益名字],增益数据表[根骨提高]))*常更新数据!$AE$6+增益计算!$F$2+增益计算!$F$4+_xlfn.XLOOKUP(A8,增益数据表[增益名字],增益数据表[会心等级]))/常更新数据!$AE$32</f>
        <v>0.798535429406736</v>
      </c>
      <c r="E8" s="39" cm="1">
        <f ca="1" t="array" ref="E8">角色属性!$Z$20+增益计算!$G$2+增益计算!$G$3+增益计算!$G$4+_xlfn.XLOOKUP(A8,增益数据表[增益名字],增益数据表[会心提高])+((增益计算!$B$2+增益计算!$B$3+增益计算!$B$4+_xlfn.XLOOKUP(A8,增益数据表[增益名字],增益数据表[根骨等级]))*(1+增益计算!$C$2+增益计算!$C$3+增益计算!$C$4+_xlfn.XLOOKUP(A8,增益数据表[增益名字],增益数据表[根骨提高]))*常更新数据!$AE$6+增益计算!$F$2++增益计算!$F$3+增益计算!$F$4+_xlfn.XLOOKUP(A8,增益数据表[增益名字],增益数据表[会心等级]))/常更新数据!$AE$32</f>
        <v>0.798535429406736</v>
      </c>
      <c r="F8" s="39" cm="1">
        <f ca="1" t="array" ref="F8">角色属性!$Z$21+增益计算!$I$2+增益计算!$I$4+_xlfn.XLOOKUP(A8,增益数据表[增益名字],增益数据表[会效提高])+(增益计算!$H$2+增益计算!$H$4+_xlfn.XLOOKUP(A8,增益数据表[增益名字],增益数据表[会效等级]))/常更新数据!$AE$34</f>
        <v>2.314740226401</v>
      </c>
      <c r="G8" s="23" cm="1">
        <f ca="1" t="array" ref="G8">角色属性!$Z$21+增益计算!$I$2+增益计算!$I$3+增益计算!$I$4+_xlfn.XLOOKUP(A8,增益数据表[增益名字],增益数据表[会效提高])+(增益计算!$H$2+增益计算!$H$3+增益计算!$H$4+_xlfn.XLOOKUP(A8,增益数据表[增益名字],增益数据表[会效等级]))/常更新数据!$AE$34</f>
        <v>2.314740226401</v>
      </c>
      <c r="H8" s="25" cm="1">
        <f ca="1" t="array" ref="H8">(角色属性!$Z$23+(增益计算!$K$2+增益计算!$K$4+_xlfn.XLOOKUP(A8,增益数据表[增益名字],增益数据表[破防等级]))/常更新数据!$AE$33)*(1+增益计算!$L$2+增益计算!$L$4+_xlfn.XLOOKUP(A8,增益数据表[增益名字],增益数据表[破防提高]))</f>
        <v>0.369370182724547</v>
      </c>
      <c r="I8" s="25" cm="1">
        <f ca="1" t="array" ref="I8">(角色属性!$Z$23+(增益计算!$K$2+增益计算!$K$3+增益计算!$K$4+_xlfn.XLOOKUP(A8,增益数据表[增益名字],增益数据表[破防等级]))/常更新数据!$AE$33)*(1+增益计算!$L$2+增益计算!$L$3+增益计算!$L$4+_xlfn.XLOOKUP(A8,增益数据表[增益名字],增益数据表[破防提高]))</f>
        <v>0.41698752332296</v>
      </c>
      <c r="J8" s="25" cm="1">
        <f ca="1" t="array" ref="J8">增益计算!$N$2+增益计算!$N$4+_xlfn.XLOOKUP(A8,增益数据表[增益名字],增益数据表[无双提高])+(角色属性!$Z$24+(增益计算!$M$2+增益计算!$M$4+_xlfn.XLOOKUP(A8,增益数据表[增益名字],增益数据表[无双等级]))/常更新数据!$AE$35)*(1+增益计算!$O$2+增益计算!$O$4+_xlfn.XLOOKUP(A8,增益数据表[增益名字],增益数据表[无双乘算]))</f>
        <v>2.02436332436332</v>
      </c>
      <c r="K8" s="25" cm="1">
        <f ca="1" t="array" ref="K8">增益计算!$N$2+增益计算!$N$3+增益计算!$N$4+_xlfn.XLOOKUP(A8,增益数据表[增益名字],增益数据表[无双提高])+(角色属性!$Z$24+(增益计算!$M$2+增益计算!$M$3+增益计算!$M$4+_xlfn.XLOOKUP(A8,增益数据表[增益名字],增益数据表[无双等级]))/常更新数据!$AE$35)*(1+增益计算!$O$2+增益计算!$O$3+增益计算!$O$4+_xlfn.XLOOKUP(A8,增益数据表[增益名字],增益数据表[无双乘算]))</f>
        <v>2.02436332436332</v>
      </c>
      <c r="L8" s="1" cm="1">
        <f ca="1" t="array" ref="L8">(角色属性!$Z$25+增益计算!$P$2+增益计算!$P$4+_xlfn.XLOOKUP(A8,增益数据表[增益名字],增益数据表[破招等级]))*(1+增益计算!$Q$2+增益计算!$Q$4+_xlfn.XLOOKUP(A8,增益数据表[增益名字],增益数据表[破招提高]))</f>
        <v>18487</v>
      </c>
      <c r="M8" s="12" cm="1">
        <f ca="1" t="array" ref="M8">(角色属性!$Z$25+增益计算!$P$2+增益计算!$P$3+增益计算!$P$4+_xlfn.XLOOKUP(A8,增益数据表[增益名字],增益数据表[破招等级]))*(1+增益计算!$Q$2+增益计算!$Q$3+增益计算!$Q$4+_xlfn.XLOOKUP(A8,增益数据表[增益名字],增益数据表[破招提高]))</f>
        <v>18487</v>
      </c>
      <c r="N8" s="23" cm="1">
        <f ca="1" t="array" ref="N8">增益计算!$R$2+增益计算!$R$4+_xlfn.XLOOKUP(A8,增益数据表[增益名字],增益数据表[增伤])</f>
        <v>0</v>
      </c>
      <c r="O8" s="23" cm="1">
        <f ca="1" t="array" ref="O8">增益计算!$R$2+增益计算!$R$3+增益计算!$R$4+_xlfn.XLOOKUP(A8,增益数据表[增益名字],增益数据表[增伤])</f>
        <v>0</v>
      </c>
      <c r="P8" s="23" cm="1">
        <f ca="1" t="array" ref="P8">增益计算!$S$2+增益计算!$S$3+增益计算!$S$4+_xlfn.XLOOKUP(A8,增益数据表[增益名字],增益数据表[易伤])</f>
        <v>0.02</v>
      </c>
      <c r="Q8" s="23" cm="1">
        <f ca="1" t="array" ref="Q8">增益计算!$S$2+增益计算!$S$3+增益计算!$S$4+_xlfn.XLOOKUP(A8,增益数据表[增益名字],增益数据表[易伤])</f>
        <v>0.02</v>
      </c>
      <c r="R8" s="23" cm="1">
        <f ca="1" t="array" ref="R8">增益计算!$T$2+增益计算!$T$4+_xlfn.XLOOKUP(A8,增益数据表[增益名字],增益数据表[降低防御])</f>
        <v>0.15</v>
      </c>
      <c r="S8" s="23" cm="1">
        <f ca="1" t="array" ref="S8">增益计算!$T$2+增益计算!$T$3+增益计算!$T$4+_xlfn.XLOOKUP(A8,增益数据表[增益名字],增益数据表[降低防御])</f>
        <v>0.15</v>
      </c>
      <c r="T8" s="25" cm="1">
        <f ca="1" t="array" ref="T8">增益计算!$U$2+增益计算!$U$4+_xlfn.XLOOKUP(A8,增益数据表[增益名字],增益数据表[无视防御])</f>
        <v>0.5</v>
      </c>
      <c r="U8" s="25" cm="1">
        <f ca="1" t="array" ref="U8">增益计算!$U$2+增益计算!$U$3+增益计算!$U$4+_xlfn.XLOOKUP(A8,增益数据表[增益名字],增益数据表[无视防御])</f>
        <v>0.494569126038313</v>
      </c>
      <c r="V8" s="1">
        <f ca="1">V2</f>
        <v>32213</v>
      </c>
      <c r="W8" s="1" cm="1">
        <f ca="1" t="array" ref="W8">增益计算!$V$2+增益计算!$V$4+_xlfn.XLOOKUP(A8,增益数据表[增益名字],增益数据表[独立增伤])</f>
        <v>0</v>
      </c>
      <c r="X8" s="1" cm="1">
        <f ca="1" t="array" ref="X8">增益计算!$V$2+增益计算!$V$3+增益计算!$V$4+_xlfn.XLOOKUP(A8,增益数据表[增益名字],增益数据表[独立增伤])</f>
        <v>0</v>
      </c>
      <c r="Y8" s="1">
        <f ca="1">增益计算!$W$2+增益计算!$W$4+_xlfn.XLOOKUP(A8,增益数据表[增益名字],增益数据表[最终增伤])</f>
        <v>0.0791624882395013</v>
      </c>
      <c r="Z8" s="1">
        <f ca="1">增益计算!$W$2+增益计算!$W$3+增益计算!$W$4+_xlfn.XLOOKUP(A8,增益数据表[增益名字],增益数据表[最终增伤])</f>
        <v>0.109718043795057</v>
      </c>
    </row>
    <row r="9" spans="1:26">
      <c r="A9" s="1" t="s">
        <v>887</v>
      </c>
      <c r="B9" s="12" cm="1">
        <f ca="1" t="array" ref="B9">(角色属性!$Z$19+增益计算!$D$2+增益计算!$D$4+_xlfn.XLOOKUP(A9,增益数据表[增益名字],增益数据表[攻击等级]))*(1+增益计算!$E$2+增益计算!$E$4+_xlfn.XLOOKUP(A9,增益数据表[增益名字],增益数据表[攻击提高]))+(角色属性!$Z$18+增益计算!$B$2+增益计算!$B$4+_xlfn.XLOOKUP(A9,增益数据表[增益名字],增益数据表[根骨等级]))*(1+增益计算!$C$2+增益计算!$C$4+_xlfn.XLOOKUP(A9,增益数据表[增益名字],增益数据表[根骨提高]))*常更新数据!$AE$3</f>
        <v>123924.75</v>
      </c>
      <c r="C9" s="28" cm="1">
        <f ca="1" t="array" ref="C9">(角色属性!$Z$19+增益计算!$D$2+增益计算!$D$3+增益计算!$D$4+_xlfn.XLOOKUP(A9,增益数据表[增益名字],增益数据表[攻击等级]))*(1+增益计算!$E$2+增益计算!$E$3+增益计算!$E$4+_xlfn.XLOOKUP(A9,增益数据表[增益名字],增益数据表[攻击提高]))+(角色属性!$Z$18+增益计算!$B$2+增益计算!$B$3+增益计算!$B$4+_xlfn.XLOOKUP(A9,增益数据表[增益名字],增益数据表[根骨等级]))*(1+增益计算!$C$2+增益计算!$C$3+增益计算!$C$4+_xlfn.XLOOKUP(A9,增益数据表[增益名字],增益数据表[根骨提高]))*常更新数据!$AE$3</f>
        <v>160350</v>
      </c>
      <c r="D9" s="39" cm="1">
        <f ca="1" t="array" ref="D9">角色属性!$Z$20+增益计算!$G$2+增益计算!$G$4+_xlfn.XLOOKUP(A9,增益数据表[增益名字],增益数据表[会心提高])+((增益计算!$B$2+增益计算!$B$4+_xlfn.XLOOKUP(A9,增益数据表[增益名字],增益数据表[根骨等级]))*(1+增益计算!$C$2+增益计算!$C$4+_xlfn.XLOOKUP(A9,增益数据表[增益名字],增益数据表[根骨提高]))*常更新数据!$AE$6+增益计算!$F$2+增益计算!$F$4+_xlfn.XLOOKUP(A9,增益数据表[增益名字],增益数据表[会心等级]))/常更新数据!$AE$32</f>
        <v>0.848535429406736</v>
      </c>
      <c r="E9" s="39" cm="1">
        <f ca="1" t="array" ref="E9">角色属性!$Z$20+增益计算!$G$2+增益计算!$G$3+增益计算!$G$4+_xlfn.XLOOKUP(A9,增益数据表[增益名字],增益数据表[会心提高])+((增益计算!$B$2+增益计算!$B$3+增益计算!$B$4+_xlfn.XLOOKUP(A9,增益数据表[增益名字],增益数据表[根骨等级]))*(1+增益计算!$C$2+增益计算!$C$3+增益计算!$C$4+_xlfn.XLOOKUP(A9,增益数据表[增益名字],增益数据表[根骨提高]))*常更新数据!$AE$6+增益计算!$F$2++增益计算!$F$3+增益计算!$F$4+_xlfn.XLOOKUP(A9,增益数据表[增益名字],增益数据表[会心等级]))/常更新数据!$AE$32</f>
        <v>0.848535429406736</v>
      </c>
      <c r="F9" s="39" cm="1">
        <f ca="1" t="array" ref="F9">角色属性!$Z$21+增益计算!$I$2+增益计算!$I$4+_xlfn.XLOOKUP(A9,增益数据表[增益名字],增益数据表[会效提高])+(增益计算!$H$2+增益计算!$H$4+_xlfn.XLOOKUP(A9,增益数据表[增益名字],增益数据表[会效等级]))/常更新数据!$AE$34</f>
        <v>2.414740226401</v>
      </c>
      <c r="G9" s="23" cm="1">
        <f ca="1" t="array" ref="G9">角色属性!$Z$21+增益计算!$I$2+增益计算!$I$3+增益计算!$I$4+_xlfn.XLOOKUP(A9,增益数据表[增益名字],增益数据表[会效提高])+(增益计算!$H$2+增益计算!$H$3+增益计算!$H$4+_xlfn.XLOOKUP(A9,增益数据表[增益名字],增益数据表[会效等级]))/常更新数据!$AE$34</f>
        <v>2.414740226401</v>
      </c>
      <c r="H9" s="25" cm="1">
        <f ca="1" t="array" ref="H9">(角色属性!$Z$23+(增益计算!$K$2+增益计算!$K$4+_xlfn.XLOOKUP(A9,增益数据表[增益名字],增益数据表[破防等级]))/常更新数据!$AE$33)*(1+增益计算!$L$2+增益计算!$L$4+_xlfn.XLOOKUP(A9,增益数据表[增益名字],增益数据表[破防提高]))</f>
        <v>0.369370182724547</v>
      </c>
      <c r="I9" s="25" cm="1">
        <f ca="1" t="array" ref="I9">(角色属性!$Z$23+(增益计算!$K$2+增益计算!$K$3+增益计算!$K$4+_xlfn.XLOOKUP(A9,增益数据表[增益名字],增益数据表[破防等级]))/常更新数据!$AE$33)*(1+增益计算!$L$2+增益计算!$L$3+增益计算!$L$4+_xlfn.XLOOKUP(A9,增益数据表[增益名字],增益数据表[破防提高]))</f>
        <v>0.41698752332296</v>
      </c>
      <c r="J9" s="25" cm="1">
        <f ca="1" t="array" ref="J9">增益计算!$N$2+增益计算!$N$4+_xlfn.XLOOKUP(A9,增益数据表[增益名字],增益数据表[无双提高])+(角色属性!$Z$24+(增益计算!$M$2+增益计算!$M$4+_xlfn.XLOOKUP(A9,增益数据表[增益名字],增益数据表[无双等级]))/常更新数据!$AE$35)*(1+增益计算!$O$2+增益计算!$O$4+_xlfn.XLOOKUP(A9,增益数据表[增益名字],增益数据表[无双乘算]))</f>
        <v>2.04436332436332</v>
      </c>
      <c r="K9" s="25" cm="1">
        <f ca="1" t="array" ref="K9">增益计算!$N$2+增益计算!$N$3+增益计算!$N$4+_xlfn.XLOOKUP(A9,增益数据表[增益名字],增益数据表[无双提高])+(角色属性!$Z$24+(增益计算!$M$2+增益计算!$M$3+增益计算!$M$4+_xlfn.XLOOKUP(A9,增益数据表[增益名字],增益数据表[无双等级]))/常更新数据!$AE$35)*(1+增益计算!$O$2+增益计算!$O$3+增益计算!$O$4+_xlfn.XLOOKUP(A9,增益数据表[增益名字],增益数据表[无双乘算]))</f>
        <v>2.04436332436332</v>
      </c>
      <c r="L9" s="1" cm="1">
        <f ca="1" t="array" ref="L9">(角色属性!$Z$25+增益计算!$P$2+增益计算!$P$4+_xlfn.XLOOKUP(A9,增益数据表[增益名字],增益数据表[破招等级]))*(1+增益计算!$Q$2+增益计算!$Q$4+_xlfn.XLOOKUP(A9,增益数据表[增益名字],增益数据表[破招提高]))</f>
        <v>18487</v>
      </c>
      <c r="M9" s="12" cm="1">
        <f ca="1" t="array" ref="M9">(角色属性!$Z$25+增益计算!$P$2+增益计算!$P$3+增益计算!$P$4+_xlfn.XLOOKUP(A9,增益数据表[增益名字],增益数据表[破招等级]))*(1+增益计算!$Q$2+增益计算!$Q$3+增益计算!$Q$4+_xlfn.XLOOKUP(A9,增益数据表[增益名字],增益数据表[破招提高]))</f>
        <v>18487</v>
      </c>
      <c r="N9" s="23" cm="1">
        <f ca="1" t="array" ref="N9">增益计算!$R$2+增益计算!$R$4+_xlfn.XLOOKUP(A9,增益数据表[增益名字],增益数据表[增伤])</f>
        <v>0</v>
      </c>
      <c r="O9" s="23" cm="1">
        <f ca="1" t="array" ref="O9">增益计算!$R$2+增益计算!$R$3+增益计算!$R$4+_xlfn.XLOOKUP(A9,增益数据表[增益名字],增益数据表[增伤])</f>
        <v>0</v>
      </c>
      <c r="P9" s="23" cm="1">
        <f ca="1" t="array" ref="P9">增益计算!$S$2+增益计算!$S$3+增益计算!$S$4+_xlfn.XLOOKUP(A9,增益数据表[增益名字],增益数据表[易伤])</f>
        <v>0.02</v>
      </c>
      <c r="Q9" s="23" cm="1">
        <f ca="1" t="array" ref="Q9">增益计算!$S$2+增益计算!$S$3+增益计算!$S$4+_xlfn.XLOOKUP(A9,增益数据表[增益名字],增益数据表[易伤])</f>
        <v>0.02</v>
      </c>
      <c r="R9" s="23" cm="1">
        <f ca="1" t="array" ref="R9">增益计算!$T$2+增益计算!$T$4+_xlfn.XLOOKUP(A9,增益数据表[增益名字],增益数据表[降低防御])</f>
        <v>0.15</v>
      </c>
      <c r="S9" s="23" cm="1">
        <f ca="1" t="array" ref="S9">增益计算!$T$2+增益计算!$T$3+增益计算!$T$4+_xlfn.XLOOKUP(A9,增益数据表[增益名字],增益数据表[降低防御])</f>
        <v>0.15</v>
      </c>
      <c r="T9" s="25" cm="1">
        <f ca="1" t="array" ref="T9">增益计算!$U$2+增益计算!$U$4+_xlfn.XLOOKUP(A9,增益数据表[增益名字],增益数据表[无视防御])</f>
        <v>0.5</v>
      </c>
      <c r="U9" s="25" cm="1">
        <f ca="1" t="array" ref="U9">增益计算!$U$2+增益计算!$U$3+增益计算!$U$4+_xlfn.XLOOKUP(A9,增益数据表[增益名字],增益数据表[无视防御])</f>
        <v>0.494569126038313</v>
      </c>
      <c r="V9" s="1">
        <f ca="1">V2</f>
        <v>32213</v>
      </c>
      <c r="W9" s="1" cm="1">
        <f ca="1" t="array" ref="W9">增益计算!$V$2+增益计算!$V$4+_xlfn.XLOOKUP(A9,增益数据表[增益名字],增益数据表[独立增伤])</f>
        <v>0</v>
      </c>
      <c r="X9" s="1" cm="1">
        <f ca="1" t="array" ref="X9">增益计算!$V$2+增益计算!$V$3+增益计算!$V$4+_xlfn.XLOOKUP(A9,增益数据表[增益名字],增益数据表[独立增伤])</f>
        <v>0</v>
      </c>
      <c r="Y9" s="1">
        <f ca="1">增益计算!$W$2+增益计算!$W$4+_xlfn.XLOOKUP(A9,增益数据表[增益名字],增益数据表[最终增伤])</f>
        <v>0.0791624882395013</v>
      </c>
      <c r="Z9" s="1">
        <f ca="1">增益计算!$W$2+增益计算!$W$3+增益计算!$W$4+_xlfn.XLOOKUP(A9,增益数据表[增益名字],增益数据表[最终增伤])</f>
        <v>0.109718043795057</v>
      </c>
    </row>
    <row r="10" spans="1:26">
      <c r="A10" s="1" t="s">
        <v>888</v>
      </c>
      <c r="B10" s="12" cm="1">
        <f ca="1" t="array" ref="B10">(角色属性!$Z$19+增益计算!$D$2+增益计算!$D$4+_xlfn.XLOOKUP(A10,增益数据表[增益名字],增益数据表[攻击等级]))*(1+增益计算!$E$2+增益计算!$E$4+_xlfn.XLOOKUP(A10,增益数据表[增益名字],增益数据表[攻击提高]))+(角色属性!$Z$18+增益计算!$B$2+增益计算!$B$4+_xlfn.XLOOKUP(A10,增益数据表[增益名字],增益数据表[根骨等级]))*(1+增益计算!$C$2+增益计算!$C$4+_xlfn.XLOOKUP(A10,增益数据表[增益名字],增益数据表[根骨提高]))*常更新数据!$AE$3</f>
        <v>127972</v>
      </c>
      <c r="C10" s="28" cm="1">
        <f ca="1" t="array" ref="C10">(角色属性!$Z$19+增益计算!$D$2+增益计算!$D$3+增益计算!$D$4+_xlfn.XLOOKUP(A10,增益数据表[增益名字],增益数据表[攻击等级]))*(1+增益计算!$E$2+增益计算!$E$3+增益计算!$E$4+_xlfn.XLOOKUP(A10,增益数据表[增益名字],增益数据表[攻击提高]))+(角色属性!$Z$18+增益计算!$B$2+增益计算!$B$3+增益计算!$B$4+_xlfn.XLOOKUP(A10,增益数据表[增益名字],增益数据表[根骨等级]))*(1+增益计算!$C$2+增益计算!$C$3+增益计算!$C$4+_xlfn.XLOOKUP(A10,增益数据表[增益名字],增益数据表[根骨提高]))*常更新数据!$AE$3</f>
        <v>164397.25</v>
      </c>
      <c r="D10" s="39" cm="1">
        <f ca="1" t="array" ref="D10">角色属性!$Z$20+增益计算!$G$2+增益计算!$G$4+_xlfn.XLOOKUP(A10,增益数据表[增益名字],增益数据表[会心提高])+((增益计算!$B$2+增益计算!$B$4+_xlfn.XLOOKUP(A10,增益数据表[增益名字],增益数据表[根骨等级]))*(1+增益计算!$C$2+增益计算!$C$4+_xlfn.XLOOKUP(A10,增益数据表[增益名字],增益数据表[根骨提高]))*常更新数据!$AE$6+增益计算!$F$2+增益计算!$F$4+_xlfn.XLOOKUP(A10,增益数据表[增益名字],增益数据表[会心等级]))/常更新数据!$AE$32</f>
        <v>0.818535429406737</v>
      </c>
      <c r="E10" s="39" cm="1">
        <f ca="1" t="array" ref="E10">角色属性!$Z$20+增益计算!$G$2+增益计算!$G$3+增益计算!$G$4+_xlfn.XLOOKUP(A10,增益数据表[增益名字],增益数据表[会心提高])+((增益计算!$B$2+增益计算!$B$3+增益计算!$B$4+_xlfn.XLOOKUP(A10,增益数据表[增益名字],增益数据表[根骨等级]))*(1+增益计算!$C$2+增益计算!$C$3+增益计算!$C$4+_xlfn.XLOOKUP(A10,增益数据表[增益名字],增益数据表[根骨提高]))*常更新数据!$AE$6+增益计算!$F$2++增益计算!$F$3+增益计算!$F$4+_xlfn.XLOOKUP(A10,增益数据表[增益名字],增益数据表[会心等级]))/常更新数据!$AE$32</f>
        <v>0.818535429406737</v>
      </c>
      <c r="F10" s="39" cm="1">
        <f ca="1" t="array" ref="F10">角色属性!$Z$21+增益计算!$I$2+增益计算!$I$4+_xlfn.XLOOKUP(A10,增益数据表[增益名字],增益数据表[会效提高])+(增益计算!$H$2+增益计算!$H$4+_xlfn.XLOOKUP(A10,增益数据表[增益名字],增益数据表[会效等级]))/常更新数据!$AE$34</f>
        <v>2.414740226401</v>
      </c>
      <c r="G10" s="23" cm="1">
        <f ca="1" t="array" ref="G10">角色属性!$Z$21+增益计算!$I$2+增益计算!$I$3+增益计算!$I$4+_xlfn.XLOOKUP(A10,增益数据表[增益名字],增益数据表[会效提高])+(增益计算!$H$2+增益计算!$H$3+增益计算!$H$4+_xlfn.XLOOKUP(A10,增益数据表[增益名字],增益数据表[会效等级]))/常更新数据!$AE$34</f>
        <v>2.414740226401</v>
      </c>
      <c r="H10" s="25" cm="1">
        <f ca="1" t="array" ref="H10">(角色属性!$Z$23+(增益计算!$K$2+增益计算!$K$4+_xlfn.XLOOKUP(A10,增益数据表[增益名字],增益数据表[破防等级]))/常更新数据!$AE$33)*(1+增益计算!$L$2+增益计算!$L$4+_xlfn.XLOOKUP(A10,增益数据表[增益名字],增益数据表[破防提高]))</f>
        <v>0.369370182724547</v>
      </c>
      <c r="I10" s="25" cm="1">
        <f ca="1" t="array" ref="I10">(角色属性!$Z$23+(增益计算!$K$2+增益计算!$K$3+增益计算!$K$4+_xlfn.XLOOKUP(A10,增益数据表[增益名字],增益数据表[破防等级]))/常更新数据!$AE$33)*(1+增益计算!$L$2+增益计算!$L$3+增益计算!$L$4+_xlfn.XLOOKUP(A10,增益数据表[增益名字],增益数据表[破防提高]))</f>
        <v>0.41698752332296</v>
      </c>
      <c r="J10" s="25" cm="1">
        <f ca="1" t="array" ref="J10">增益计算!$N$2+增益计算!$N$4+_xlfn.XLOOKUP(A10,增益数据表[增益名字],增益数据表[无双提高])+(角色属性!$Z$24+(增益计算!$M$2+增益计算!$M$4+_xlfn.XLOOKUP(A10,增益数据表[增益名字],增益数据表[无双等级]))/常更新数据!$AE$35)*(1+增益计算!$O$2+增益计算!$O$4+_xlfn.XLOOKUP(A10,增益数据表[增益名字],增益数据表[无双乘算]))</f>
        <v>2.02436332436332</v>
      </c>
      <c r="K10" s="25" cm="1">
        <f ca="1" t="array" ref="K10">增益计算!$N$2+增益计算!$N$3+增益计算!$N$4+_xlfn.XLOOKUP(A10,增益数据表[增益名字],增益数据表[无双提高])+(角色属性!$Z$24+(增益计算!$M$2+增益计算!$M$3+增益计算!$M$4+_xlfn.XLOOKUP(A10,增益数据表[增益名字],增益数据表[无双等级]))/常更新数据!$AE$35)*(1+增益计算!$O$2+增益计算!$O$3+增益计算!$O$4+_xlfn.XLOOKUP(A10,增益数据表[增益名字],增益数据表[无双乘算]))</f>
        <v>2.02436332436332</v>
      </c>
      <c r="L10" s="1" cm="1">
        <f ca="1" t="array" ref="L10">(角色属性!$Z$25+增益计算!$P$2+增益计算!$P$4+_xlfn.XLOOKUP(A10,增益数据表[增益名字],增益数据表[破招等级]))*(1+增益计算!$Q$2+增益计算!$Q$4+_xlfn.XLOOKUP(A10,增益数据表[增益名字],增益数据表[破招提高]))</f>
        <v>18487</v>
      </c>
      <c r="M10" s="12" cm="1">
        <f ca="1" t="array" ref="M10">(角色属性!$Z$25+增益计算!$P$2+增益计算!$P$3+增益计算!$P$4+_xlfn.XLOOKUP(A10,增益数据表[增益名字],增益数据表[破招等级]))*(1+增益计算!$Q$2+增益计算!$Q$3+增益计算!$Q$4+_xlfn.XLOOKUP(A10,增益数据表[增益名字],增益数据表[破招提高]))</f>
        <v>18487</v>
      </c>
      <c r="N10" s="23" cm="1">
        <f ca="1" t="array" ref="N10">增益计算!$R$2+增益计算!$R$4+_xlfn.XLOOKUP(A10,增益数据表[增益名字],增益数据表[增伤])</f>
        <v>0</v>
      </c>
      <c r="O10" s="23" cm="1">
        <f ca="1" t="array" ref="O10">增益计算!$R$2+增益计算!$R$3+增益计算!$R$4+_xlfn.XLOOKUP(A10,增益数据表[增益名字],增益数据表[增伤])</f>
        <v>0</v>
      </c>
      <c r="P10" s="23" cm="1">
        <f ca="1" t="array" ref="P10">增益计算!$S$2+增益计算!$S$3+增益计算!$S$4+_xlfn.XLOOKUP(A10,增益数据表[增益名字],增益数据表[易伤])</f>
        <v>0.02</v>
      </c>
      <c r="Q10" s="23" cm="1">
        <f ca="1" t="array" ref="Q10">增益计算!$S$2+增益计算!$S$3+增益计算!$S$4+_xlfn.XLOOKUP(A10,增益数据表[增益名字],增益数据表[易伤])</f>
        <v>0.02</v>
      </c>
      <c r="R10" s="23" cm="1">
        <f ca="1" t="array" ref="R10">增益计算!$T$2+增益计算!$T$4+_xlfn.XLOOKUP(A10,增益数据表[增益名字],增益数据表[降低防御])</f>
        <v>0.15</v>
      </c>
      <c r="S10" s="23" cm="1">
        <f ca="1" t="array" ref="S10">增益计算!$T$2+增益计算!$T$3+增益计算!$T$4+_xlfn.XLOOKUP(A10,增益数据表[增益名字],增益数据表[降低防御])</f>
        <v>0.15</v>
      </c>
      <c r="T10" s="25" cm="1">
        <f ca="1" t="array" ref="T10">增益计算!$U$2+增益计算!$U$4+_xlfn.XLOOKUP(A10,增益数据表[增益名字],增益数据表[无视防御])</f>
        <v>0.55</v>
      </c>
      <c r="U10" s="25" cm="1">
        <f ca="1" t="array" ref="U10">增益计算!$U$2+增益计算!$U$3+增益计算!$U$4+_xlfn.XLOOKUP(A10,增益数据表[增益名字],增益数据表[无视防御])</f>
        <v>0.544569126038313</v>
      </c>
      <c r="V10" s="1">
        <f ca="1">V2</f>
        <v>32213</v>
      </c>
      <c r="W10" s="1" cm="1">
        <f ca="1" t="array" ref="W10">增益计算!$V$2+增益计算!$V$4+_xlfn.XLOOKUP(A10,增益数据表[增益名字],增益数据表[独立增伤])</f>
        <v>0</v>
      </c>
      <c r="X10" s="1" cm="1">
        <f ca="1" t="array" ref="X10">增益计算!$V$2+增益计算!$V$3+增益计算!$V$4+_xlfn.XLOOKUP(A10,增益数据表[增益名字],增益数据表[独立增伤])</f>
        <v>0</v>
      </c>
      <c r="Y10" s="1">
        <f ca="1">增益计算!$W$2+增益计算!$W$4+_xlfn.XLOOKUP(A10,增益数据表[增益名字],增益数据表[最终增伤])</f>
        <v>0.0791624882395013</v>
      </c>
      <c r="Z10" s="1">
        <f ca="1">增益计算!$W$2+增益计算!$W$3+增益计算!$W$4+_xlfn.XLOOKUP(A10,增益数据表[增益名字],增益数据表[最终增伤])</f>
        <v>0.109718043795057</v>
      </c>
    </row>
    <row r="11" spans="1:26">
      <c r="A11" s="1" t="s">
        <v>889</v>
      </c>
      <c r="B11" s="12" cm="1">
        <f ca="1" t="array" ref="B11">(角色属性!$Z$19+增益计算!$D$2+增益计算!$D$4+_xlfn.XLOOKUP(A11,增益数据表[增益名字],增益数据表[攻击等级]))*(1+增益计算!$E$2+增益计算!$E$4+_xlfn.XLOOKUP(A11,增益数据表[增益名字],增益数据表[攻击提高]))+(角色属性!$Z$18+增益计算!$B$2+增益计算!$B$4+_xlfn.XLOOKUP(A11,增益数据表[增益名字],增益数据表[根骨等级]))*(1+增益计算!$C$2+增益计算!$C$4+_xlfn.XLOOKUP(A11,增益数据表[增益名字],增益数据表[根骨提高]))*常更新数据!$AE$3</f>
        <v>127972</v>
      </c>
      <c r="C11" s="28" cm="1">
        <f ca="1" t="array" ref="C11">(角色属性!$Z$19+增益计算!$D$2+增益计算!$D$3+增益计算!$D$4+_xlfn.XLOOKUP(A11,增益数据表[增益名字],增益数据表[攻击等级]))*(1+增益计算!$E$2+增益计算!$E$3+增益计算!$E$4+_xlfn.XLOOKUP(A11,增益数据表[增益名字],增益数据表[攻击提高]))+(角色属性!$Z$18+增益计算!$B$2+增益计算!$B$3+增益计算!$B$4+_xlfn.XLOOKUP(A11,增益数据表[增益名字],增益数据表[根骨等级]))*(1+增益计算!$C$2+增益计算!$C$3+增益计算!$C$4+_xlfn.XLOOKUP(A11,增益数据表[增益名字],增益数据表[根骨提高]))*常更新数据!$AE$3</f>
        <v>164397.25</v>
      </c>
      <c r="D11" s="39" cm="1">
        <f ca="1" t="array" ref="D11">角色属性!$Z$20+增益计算!$G$2+增益计算!$G$4+_xlfn.XLOOKUP(A11,增益数据表[增益名字],增益数据表[会心提高])+((增益计算!$B$2+增益计算!$B$4+_xlfn.XLOOKUP(A11,增益数据表[增益名字],增益数据表[根骨等级]))*(1+增益计算!$C$2+增益计算!$C$4+_xlfn.XLOOKUP(A11,增益数据表[增益名字],增益数据表[根骨提高]))*常更新数据!$AE$6+增益计算!$F$2+增益计算!$F$4+_xlfn.XLOOKUP(A11,增益数据表[增益名字],增益数据表[会心等级]))/常更新数据!$AE$32</f>
        <v>0.768535429406736</v>
      </c>
      <c r="E11" s="39" cm="1">
        <f ca="1" t="array" ref="E11">角色属性!$Z$20+增益计算!$G$2+增益计算!$G$3+增益计算!$G$4+_xlfn.XLOOKUP(A11,增益数据表[增益名字],增益数据表[会心提高])+((增益计算!$B$2+增益计算!$B$3+增益计算!$B$4+_xlfn.XLOOKUP(A11,增益数据表[增益名字],增益数据表[根骨等级]))*(1+增益计算!$C$2+增益计算!$C$3+增益计算!$C$4+_xlfn.XLOOKUP(A11,增益数据表[增益名字],增益数据表[根骨提高]))*常更新数据!$AE$6+增益计算!$F$2++增益计算!$F$3+增益计算!$F$4+_xlfn.XLOOKUP(A11,增益数据表[增益名字],增益数据表[会心等级]))/常更新数据!$AE$32</f>
        <v>0.768535429406736</v>
      </c>
      <c r="F11" s="39" cm="1">
        <f ca="1" t="array" ref="F11">角色属性!$Z$21+增益计算!$I$2+增益计算!$I$4+_xlfn.XLOOKUP(A11,增益数据表[增益名字],增益数据表[会效提高])+(增益计算!$H$2+增益计算!$H$4+_xlfn.XLOOKUP(A11,增益数据表[增益名字],增益数据表[会效等级]))/常更新数据!$AE$34</f>
        <v>2.264740226401</v>
      </c>
      <c r="G11" s="23" cm="1">
        <f ca="1" t="array" ref="G11">角色属性!$Z$21+增益计算!$I$2+增益计算!$I$3+增益计算!$I$4+_xlfn.XLOOKUP(A11,增益数据表[增益名字],增益数据表[会效提高])+(增益计算!$H$2+增益计算!$H$3+增益计算!$H$4+_xlfn.XLOOKUP(A11,增益数据表[增益名字],增益数据表[会效等级]))/常更新数据!$AE$34</f>
        <v>2.264740226401</v>
      </c>
      <c r="H11" s="25" cm="1">
        <f ca="1" t="array" ref="H11">(角色属性!$Z$23+(增益计算!$K$2+增益计算!$K$4+_xlfn.XLOOKUP(A11,增益数据表[增益名字],增益数据表[破防等级]))/常更新数据!$AE$33)*(1+增益计算!$L$2+增益计算!$L$4+_xlfn.XLOOKUP(A11,增益数据表[增益名字],增益数据表[破防提高]))</f>
        <v>0.48018123754191</v>
      </c>
      <c r="I11" s="25" cm="1">
        <f ca="1" t="array" ref="I11">(角色属性!$Z$23+(增益计算!$K$2+增益计算!$K$3+增益计算!$K$4+_xlfn.XLOOKUP(A11,增益数据表[增益名字],增益数据表[破防等级]))/常更新数据!$AE$33)*(1+增益计算!$L$2+增益计算!$L$3+增益计算!$L$4+_xlfn.XLOOKUP(A11,增益数据表[增益名字],增益数据表[破防提高]))</f>
        <v>0.542083780319848</v>
      </c>
      <c r="J11" s="25" cm="1">
        <f ca="1" t="array" ref="J11">增益计算!$N$2+增益计算!$N$4+_xlfn.XLOOKUP(A11,增益数据表[增益名字],增益数据表[无双提高])+(角色属性!$Z$24+(增益计算!$M$2+增益计算!$M$4+_xlfn.XLOOKUP(A11,增益数据表[增益名字],增益数据表[无双等级]))/常更新数据!$AE$35)*(1+增益计算!$O$2+增益计算!$O$4+_xlfn.XLOOKUP(A11,增益数据表[增益名字],增益数据表[无双乘算]))</f>
        <v>2.02436332436332</v>
      </c>
      <c r="K11" s="25" cm="1">
        <f ca="1" t="array" ref="K11">增益计算!$N$2+增益计算!$N$3+增益计算!$N$4+_xlfn.XLOOKUP(A11,增益数据表[增益名字],增益数据表[无双提高])+(角色属性!$Z$24+(增益计算!$M$2+增益计算!$M$3+增益计算!$M$4+_xlfn.XLOOKUP(A11,增益数据表[增益名字],增益数据表[无双等级]))/常更新数据!$AE$35)*(1+增益计算!$O$2+增益计算!$O$3+增益计算!$O$4+_xlfn.XLOOKUP(A11,增益数据表[增益名字],增益数据表[无双乘算]))</f>
        <v>2.02436332436332</v>
      </c>
      <c r="L11" s="1" cm="1">
        <f ca="1" t="array" ref="L11">(角色属性!$Z$25+增益计算!$P$2+增益计算!$P$4+_xlfn.XLOOKUP(A11,增益数据表[增益名字],增益数据表[破招等级]))*(1+增益计算!$Q$2+增益计算!$Q$4+_xlfn.XLOOKUP(A11,增益数据表[增益名字],增益数据表[破招提高]))</f>
        <v>18487</v>
      </c>
      <c r="M11" s="12" cm="1">
        <f ca="1" t="array" ref="M11">(角色属性!$Z$25+增益计算!$P$2+增益计算!$P$3+增益计算!$P$4+_xlfn.XLOOKUP(A11,增益数据表[增益名字],增益数据表[破招等级]))*(1+增益计算!$Q$2+增益计算!$Q$3+增益计算!$Q$4+_xlfn.XLOOKUP(A11,增益数据表[增益名字],增益数据表[破招提高]))</f>
        <v>18487</v>
      </c>
      <c r="N11" s="23" cm="1">
        <f ca="1" t="array" ref="N11">增益计算!$R$2+增益计算!$R$4+_xlfn.XLOOKUP(A11,增益数据表[增益名字],增益数据表[增伤])</f>
        <v>0</v>
      </c>
      <c r="O11" s="23" cm="1">
        <f ca="1" t="array" ref="O11">增益计算!$R$2+增益计算!$R$3+增益计算!$R$4+_xlfn.XLOOKUP(A11,增益数据表[增益名字],增益数据表[增伤])</f>
        <v>0</v>
      </c>
      <c r="P11" s="23" cm="1">
        <f ca="1" t="array" ref="P11">增益计算!$S$2+增益计算!$S$3+增益计算!$S$4+_xlfn.XLOOKUP(A11,增益数据表[增益名字],增益数据表[易伤])</f>
        <v>0.02</v>
      </c>
      <c r="Q11" s="23" cm="1">
        <f ca="1" t="array" ref="Q11">增益计算!$S$2+增益计算!$S$3+增益计算!$S$4+_xlfn.XLOOKUP(A11,增益数据表[增益名字],增益数据表[易伤])</f>
        <v>0.02</v>
      </c>
      <c r="R11" s="23" cm="1">
        <f ca="1" t="array" ref="R11">增益计算!$T$2+增益计算!$T$4+_xlfn.XLOOKUP(A11,增益数据表[增益名字],增益数据表[降低防御])</f>
        <v>0.15</v>
      </c>
      <c r="S11" s="23" cm="1">
        <f ca="1" t="array" ref="S11">增益计算!$T$2+增益计算!$T$3+增益计算!$T$4+_xlfn.XLOOKUP(A11,增益数据表[增益名字],增益数据表[降低防御])</f>
        <v>0.15</v>
      </c>
      <c r="T11" s="25" cm="1">
        <f ca="1" t="array" ref="T11">增益计算!$U$2+增益计算!$U$4+_xlfn.XLOOKUP(A11,增益数据表[增益名字],增益数据表[无视防御])</f>
        <v>0.5</v>
      </c>
      <c r="U11" s="25" cm="1">
        <f ca="1" t="array" ref="U11">增益计算!$U$2+增益计算!$U$3+增益计算!$U$4+_xlfn.XLOOKUP(A11,增益数据表[增益名字],增益数据表[无视防御])</f>
        <v>0.494569126038313</v>
      </c>
      <c r="V11" s="1">
        <f ca="1">V2</f>
        <v>32213</v>
      </c>
      <c r="W11" s="1" cm="1">
        <f ca="1" t="array" ref="W11">增益计算!$V$2+增益计算!$V$4+_xlfn.XLOOKUP(A11,增益数据表[增益名字],增益数据表[独立增伤])</f>
        <v>0</v>
      </c>
      <c r="X11" s="1" cm="1">
        <f ca="1" t="array" ref="X11">增益计算!$V$2+增益计算!$V$3+增益计算!$V$4+_xlfn.XLOOKUP(A11,增益数据表[增益名字],增益数据表[独立增伤])</f>
        <v>0</v>
      </c>
      <c r="Y11" s="1">
        <f ca="1">增益计算!$W$2+增益计算!$W$4+_xlfn.XLOOKUP(A11,增益数据表[增益名字],增益数据表[最终增伤])</f>
        <v>0.0791624882395013</v>
      </c>
      <c r="Z11" s="1">
        <f ca="1">增益计算!$W$2+增益计算!$W$3+增益计算!$W$4+_xlfn.XLOOKUP(A11,增益数据表[增益名字],增益数据表[最终增伤])</f>
        <v>0.109718043795057</v>
      </c>
    </row>
    <row r="12" spans="1:26">
      <c r="A12" s="1" t="s">
        <v>890</v>
      </c>
      <c r="B12" s="12" cm="1">
        <f ca="1" t="array" ref="B12">(角色属性!$Z$19+增益计算!$D$2+增益计算!$D$4+_xlfn.XLOOKUP(A12,增益数据表[增益名字],增益数据表[攻击等级]))*(1+增益计算!$E$2+增益计算!$E$4+_xlfn.XLOOKUP(A12,增益数据表[增益名字],增益数据表[攻击提高]))+(角色属性!$Z$18+增益计算!$B$2+增益计算!$B$4+_xlfn.XLOOKUP(A12,增益数据表[增益名字],增益数据表[根骨等级]))*(1+增益计算!$C$2+增益计算!$C$4+_xlfn.XLOOKUP(A12,增益数据表[增益名字],增益数据表[根骨提高]))*常更新数据!$AE$3</f>
        <v>136066.5</v>
      </c>
      <c r="C12" s="28" cm="1">
        <f ca="1" t="array" ref="C12">(角色属性!$Z$19+增益计算!$D$2+增益计算!$D$3+增益计算!$D$4+_xlfn.XLOOKUP(A12,增益数据表[增益名字],增益数据表[攻击等级]))*(1+增益计算!$E$2+增益计算!$E$3+增益计算!$E$4+_xlfn.XLOOKUP(A12,增益数据表[增益名字],增益数据表[攻击提高]))+(角色属性!$Z$18+增益计算!$B$2+增益计算!$B$3+增益计算!$B$4+_xlfn.XLOOKUP(A12,增益数据表[增益名字],增益数据表[根骨等级]))*(1+增益计算!$C$2+增益计算!$C$3+增益计算!$C$4+_xlfn.XLOOKUP(A12,增益数据表[增益名字],增益数据表[根骨提高]))*常更新数据!$AE$3</f>
        <v>172491.75</v>
      </c>
      <c r="D12" s="39" cm="1">
        <f ca="1" t="array" ref="D12">角色属性!$Z$20+增益计算!$G$2+增益计算!$G$4+_xlfn.XLOOKUP(A12,增益数据表[增益名字],增益数据表[会心提高])+((增益计算!$B$2+增益计算!$B$4+_xlfn.XLOOKUP(A12,增益数据表[增益名字],增益数据表[根骨等级]))*(1+增益计算!$C$2+增益计算!$C$4+_xlfn.XLOOKUP(A12,增益数据表[增益名字],增益数据表[根骨提高]))*常更新数据!$AE$6+增益计算!$F$2+增益计算!$F$4+_xlfn.XLOOKUP(A12,增益数据表[增益名字],增益数据表[会心等级]))/常更新数据!$AE$32</f>
        <v>0.768535429406736</v>
      </c>
      <c r="E12" s="39" cm="1">
        <f ca="1" t="array" ref="E12">角色属性!$Z$20+增益计算!$G$2+增益计算!$G$3+增益计算!$G$4+_xlfn.XLOOKUP(A12,增益数据表[增益名字],增益数据表[会心提高])+((增益计算!$B$2+增益计算!$B$3+增益计算!$B$4+_xlfn.XLOOKUP(A12,增益数据表[增益名字],增益数据表[根骨等级]))*(1+增益计算!$C$2+增益计算!$C$3+增益计算!$C$4+_xlfn.XLOOKUP(A12,增益数据表[增益名字],增益数据表[根骨提高]))*常更新数据!$AE$6+增益计算!$F$2++增益计算!$F$3+增益计算!$F$4+_xlfn.XLOOKUP(A12,增益数据表[增益名字],增益数据表[会心等级]))/常更新数据!$AE$32</f>
        <v>0.768535429406736</v>
      </c>
      <c r="F12" s="39" cm="1">
        <f ca="1" t="array" ref="F12">角色属性!$Z$21+增益计算!$I$2+增益计算!$I$4+_xlfn.XLOOKUP(A12,增益数据表[增益名字],增益数据表[会效提高])+(增益计算!$H$2+增益计算!$H$4+_xlfn.XLOOKUP(A12,增益数据表[增益名字],增益数据表[会效等级]))/常更新数据!$AE$34</f>
        <v>2.264740226401</v>
      </c>
      <c r="G12" s="23" cm="1">
        <f ca="1" t="array" ref="G12">角色属性!$Z$21+增益计算!$I$2+增益计算!$I$3+增益计算!$I$4+_xlfn.XLOOKUP(A12,增益数据表[增益名字],增益数据表[会效提高])+(增益计算!$H$2+增益计算!$H$3+增益计算!$H$4+_xlfn.XLOOKUP(A12,增益数据表[增益名字],增益数据表[会效等级]))/常更新数据!$AE$34</f>
        <v>2.264740226401</v>
      </c>
      <c r="H12" s="25" cm="1">
        <f ca="1" t="array" ref="H12">(角色属性!$Z$23+(增益计算!$K$2+增益计算!$K$4+_xlfn.XLOOKUP(A12,增益数据表[增益名字],增益数据表[破防等级]))/常更新数据!$AE$33)*(1+增益计算!$L$2+增益计算!$L$4+_xlfn.XLOOKUP(A12,增益数据表[增益名字],增益数据表[破防提高]))</f>
        <v>0.406307200997001</v>
      </c>
      <c r="I12" s="25" cm="1">
        <f ca="1" t="array" ref="I12">(角色属性!$Z$23+(增益计算!$K$2+增益计算!$K$3+增益计算!$K$4+_xlfn.XLOOKUP(A12,增益数据表[增益名字],增益数据表[破防等级]))/常更新数据!$AE$33)*(1+增益计算!$L$2+增益计算!$L$3+增益计算!$L$4+_xlfn.XLOOKUP(A12,增益数据表[增益名字],增益数据表[破防提高]))</f>
        <v>0.458686275655256</v>
      </c>
      <c r="J12" s="25" cm="1">
        <f ca="1" t="array" ref="J12">增益计算!$N$2+增益计算!$N$4+_xlfn.XLOOKUP(A12,增益数据表[增益名字],增益数据表[无双提高])+(角色属性!$Z$24+(增益计算!$M$2+增益计算!$M$4+_xlfn.XLOOKUP(A12,增益数据表[增益名字],增益数据表[无双等级]))/常更新数据!$AE$35)*(1+增益计算!$O$2+增益计算!$O$4+_xlfn.XLOOKUP(A12,增益数据表[增益名字],增益数据表[无双乘算]))</f>
        <v>2.04436332436332</v>
      </c>
      <c r="K12" s="25" cm="1">
        <f ca="1" t="array" ref="K12">增益计算!$N$2+增益计算!$N$3+增益计算!$N$4+_xlfn.XLOOKUP(A12,增益数据表[增益名字],增益数据表[无双提高])+(角色属性!$Z$24+(增益计算!$M$2+增益计算!$M$3+增益计算!$M$4+_xlfn.XLOOKUP(A12,增益数据表[增益名字],增益数据表[无双等级]))/常更新数据!$AE$35)*(1+增益计算!$O$2+增益计算!$O$3+增益计算!$O$4+_xlfn.XLOOKUP(A12,增益数据表[增益名字],增益数据表[无双乘算]))</f>
        <v>2.04436332436332</v>
      </c>
      <c r="L12" s="1" cm="1">
        <f ca="1" t="array" ref="L12">(角色属性!$Z$25+增益计算!$P$2+增益计算!$P$4+_xlfn.XLOOKUP(A12,增益数据表[增益名字],增益数据表[破招等级]))*(1+增益计算!$Q$2+增益计算!$Q$4+_xlfn.XLOOKUP(A12,增益数据表[增益名字],增益数据表[破招提高]))</f>
        <v>18487</v>
      </c>
      <c r="M12" s="12" cm="1">
        <f ca="1" t="array" ref="M12">(角色属性!$Z$25+增益计算!$P$2+增益计算!$P$3+增益计算!$P$4+_xlfn.XLOOKUP(A12,增益数据表[增益名字],增益数据表[破招等级]))*(1+增益计算!$Q$2+增益计算!$Q$3+增益计算!$Q$4+_xlfn.XLOOKUP(A12,增益数据表[增益名字],增益数据表[破招提高]))</f>
        <v>18487</v>
      </c>
      <c r="N12" s="23" cm="1">
        <f ca="1" t="array" ref="N12">增益计算!$R$2+增益计算!$R$4+_xlfn.XLOOKUP(A12,增益数据表[增益名字],增益数据表[增伤])</f>
        <v>0</v>
      </c>
      <c r="O12" s="23" cm="1">
        <f ca="1" t="array" ref="O12">增益计算!$R$2+增益计算!$R$3+增益计算!$R$4+_xlfn.XLOOKUP(A12,增益数据表[增益名字],增益数据表[增伤])</f>
        <v>0</v>
      </c>
      <c r="P12" s="23" cm="1">
        <f ca="1" t="array" ref="P12">增益计算!$S$2+增益计算!$S$3+增益计算!$S$4+_xlfn.XLOOKUP(A12,增益数据表[增益名字],增益数据表[易伤])</f>
        <v>0.02</v>
      </c>
      <c r="Q12" s="23" cm="1">
        <f ca="1" t="array" ref="Q12">增益计算!$S$2+增益计算!$S$3+增益计算!$S$4+_xlfn.XLOOKUP(A12,增益数据表[增益名字],增益数据表[易伤])</f>
        <v>0.02</v>
      </c>
      <c r="R12" s="23" cm="1">
        <f ca="1" t="array" ref="R12">增益计算!$T$2+增益计算!$T$4+_xlfn.XLOOKUP(A12,增益数据表[增益名字],增益数据表[降低防御])</f>
        <v>0.15</v>
      </c>
      <c r="S12" s="23" cm="1">
        <f ca="1" t="array" ref="S12">增益计算!$T$2+增益计算!$T$3+增益计算!$T$4+_xlfn.XLOOKUP(A12,增益数据表[增益名字],增益数据表[降低防御])</f>
        <v>0.15</v>
      </c>
      <c r="T12" s="25" cm="1">
        <f ca="1" t="array" ref="T12">增益计算!$U$2+增益计算!$U$4+_xlfn.XLOOKUP(A12,增益数据表[增益名字],增益数据表[无视防御])</f>
        <v>0.5</v>
      </c>
      <c r="U12" s="25" cm="1">
        <f ca="1" t="array" ref="U12">增益计算!$U$2+增益计算!$U$3+增益计算!$U$4+_xlfn.XLOOKUP(A12,增益数据表[增益名字],增益数据表[无视防御])</f>
        <v>0.494569126038313</v>
      </c>
      <c r="V12" s="1">
        <f ca="1">V2</f>
        <v>32213</v>
      </c>
      <c r="W12" s="1" cm="1">
        <f ca="1" t="array" ref="W12">增益计算!$V$2+增益计算!$V$4+_xlfn.XLOOKUP(A12,增益数据表[增益名字],增益数据表[独立增伤])</f>
        <v>0</v>
      </c>
      <c r="X12" s="1" cm="1">
        <f ca="1" t="array" ref="X12">增益计算!$V$2+增益计算!$V$3+增益计算!$V$4+_xlfn.XLOOKUP(A12,增益数据表[增益名字],增益数据表[独立增伤])</f>
        <v>0</v>
      </c>
      <c r="Y12" s="1">
        <f ca="1">增益计算!$W$2+增益计算!$W$4+_xlfn.XLOOKUP(A12,增益数据表[增益名字],增益数据表[最终增伤])</f>
        <v>0.0791624882395013</v>
      </c>
      <c r="Z12" s="1">
        <f ca="1">增益计算!$W$2+增益计算!$W$3+增益计算!$W$4+_xlfn.XLOOKUP(A12,增益数据表[增益名字],增益数据表[最终增伤])</f>
        <v>0.109718043795057</v>
      </c>
    </row>
    <row r="13" spans="1:26">
      <c r="A13" s="1" t="s">
        <v>891</v>
      </c>
      <c r="B13" s="12" cm="1">
        <f ca="1" t="array" ref="B13">(角色属性!$Z$19+增益计算!$D$2+增益计算!$D$4+_xlfn.XLOOKUP(A13,增益数据表[增益名字],增益数据表[攻击等级]))*(1+增益计算!$E$2+增益计算!$E$4+_xlfn.XLOOKUP(A13,增益数据表[增益名字],增益数据表[攻击提高]))+(角色属性!$Z$18+增益计算!$B$2+增益计算!$B$4+_xlfn.XLOOKUP(A13,增益数据表[增益名字],增益数据表[根骨等级]))*(1+增益计算!$C$2+增益计算!$C$4+_xlfn.XLOOKUP(A13,增益数据表[增益名字],增益数据表[根骨提高]))*常更新数据!$AE$3</f>
        <v>127972</v>
      </c>
      <c r="C13" s="28" cm="1">
        <f ca="1" t="array" ref="C13">(角色属性!$Z$19+增益计算!$D$2+增益计算!$D$3+增益计算!$D$4+_xlfn.XLOOKUP(A13,增益数据表[增益名字],增益数据表[攻击等级]))*(1+增益计算!$E$2+增益计算!$E$3+增益计算!$E$4+_xlfn.XLOOKUP(A13,增益数据表[增益名字],增益数据表[攻击提高]))+(角色属性!$Z$18+增益计算!$B$2+增益计算!$B$3+增益计算!$B$4+_xlfn.XLOOKUP(A13,增益数据表[增益名字],增益数据表[根骨等级]))*(1+增益计算!$C$2+增益计算!$C$3+增益计算!$C$4+_xlfn.XLOOKUP(A13,增益数据表[增益名字],增益数据表[根骨提高]))*常更新数据!$AE$3</f>
        <v>164397.25</v>
      </c>
      <c r="D13" s="39" cm="1">
        <f ca="1" t="array" ref="D13">角色属性!$Z$20+增益计算!$G$2+增益计算!$G$4+_xlfn.XLOOKUP(A13,增益数据表[增益名字],增益数据表[会心提高])+((增益计算!$B$2+增益计算!$B$4+_xlfn.XLOOKUP(A13,增益数据表[增益名字],增益数据表[根骨等级]))*(1+增益计算!$C$2+增益计算!$C$4+_xlfn.XLOOKUP(A13,增益数据表[增益名字],增益数据表[根骨提高]))*常更新数据!$AE$6+增益计算!$F$2+增益计算!$F$4+_xlfn.XLOOKUP(A13,增益数据表[增益名字],增益数据表[会心等级]))/常更新数据!$AE$32</f>
        <v>0.798535429406736</v>
      </c>
      <c r="E13" s="39" cm="1">
        <f ca="1" t="array" ref="E13">角色属性!$Z$20+增益计算!$G$2+增益计算!$G$3+增益计算!$G$4+_xlfn.XLOOKUP(A13,增益数据表[增益名字],增益数据表[会心提高])+((增益计算!$B$2+增益计算!$B$3+增益计算!$B$4+_xlfn.XLOOKUP(A13,增益数据表[增益名字],增益数据表[根骨等级]))*(1+增益计算!$C$2+增益计算!$C$3+增益计算!$C$4+_xlfn.XLOOKUP(A13,增益数据表[增益名字],增益数据表[根骨提高]))*常更新数据!$AE$6+增益计算!$F$2++增益计算!$F$3+增益计算!$F$4+_xlfn.XLOOKUP(A13,增益数据表[增益名字],增益数据表[会心等级]))/常更新数据!$AE$32</f>
        <v>0.798535429406736</v>
      </c>
      <c r="F13" s="39" cm="1">
        <f ca="1" t="array" ref="F13">角色属性!$Z$21+增益计算!$I$2+增益计算!$I$4+_xlfn.XLOOKUP(A13,增益数据表[增益名字],增益数据表[会效提高])+(增益计算!$H$2+增益计算!$H$4+_xlfn.XLOOKUP(A13,增益数据表[增益名字],增益数据表[会效等级]))/常更新数据!$AE$34</f>
        <v>2.364740226401</v>
      </c>
      <c r="G13" s="23" cm="1">
        <f ca="1" t="array" ref="G13">角色属性!$Z$21+增益计算!$I$2+增益计算!$I$3+增益计算!$I$4+_xlfn.XLOOKUP(A13,增益数据表[增益名字],增益数据表[会效提高])+(增益计算!$H$2+增益计算!$H$3+增益计算!$H$4+_xlfn.XLOOKUP(A13,增益数据表[增益名字],增益数据表[会效等级]))/常更新数据!$AE$34</f>
        <v>2.364740226401</v>
      </c>
      <c r="H13" s="25" cm="1">
        <f ca="1" t="array" ref="H13">(角色属性!$Z$23+(增益计算!$K$2+增益计算!$K$4+_xlfn.XLOOKUP(A13,增益数据表[增益名字],增益数据表[破防等级]))/常更新数据!$AE$33)*(1+增益计算!$L$2+增益计算!$L$4+_xlfn.XLOOKUP(A13,增益数据表[增益名字],增益数据表[破防提高]))</f>
        <v>0.387838691860774</v>
      </c>
      <c r="I13" s="25" cm="1">
        <f ca="1" t="array" ref="I13">(角色属性!$Z$23+(增益计算!$K$2+增益计算!$K$3+增益计算!$K$4+_xlfn.XLOOKUP(A13,增益数据表[增益名字],增益数据表[破防等级]))/常更新数据!$AE$33)*(1+增益计算!$L$2+增益计算!$L$3+增益计算!$L$4+_xlfn.XLOOKUP(A13,增益数据表[增益名字],增益数据表[破防提高]))</f>
        <v>0.437836899489108</v>
      </c>
      <c r="J13" s="25" cm="1">
        <f ca="1" t="array" ref="J13">增益计算!$N$2+增益计算!$N$4+_xlfn.XLOOKUP(A13,增益数据表[增益名字],增益数据表[无双提高])+(角色属性!$Z$24+(增益计算!$M$2+增益计算!$M$4+_xlfn.XLOOKUP(A13,增益数据表[增益名字],增益数据表[无双等级]))/常更新数据!$AE$35)*(1+增益计算!$O$2+增益计算!$O$4+_xlfn.XLOOKUP(A13,增益数据表[增益名字],增益数据表[无双乘算]))</f>
        <v>2.02436332436332</v>
      </c>
      <c r="K13" s="25" cm="1">
        <f ca="1" t="array" ref="K13">增益计算!$N$2+增益计算!$N$3+增益计算!$N$4+_xlfn.XLOOKUP(A13,增益数据表[增益名字],增益数据表[无双提高])+(角色属性!$Z$24+(增益计算!$M$2+增益计算!$M$3+增益计算!$M$4+_xlfn.XLOOKUP(A13,增益数据表[增益名字],增益数据表[无双等级]))/常更新数据!$AE$35)*(1+增益计算!$O$2+增益计算!$O$3+增益计算!$O$4+_xlfn.XLOOKUP(A13,增益数据表[增益名字],增益数据表[无双乘算]))</f>
        <v>2.02436332436332</v>
      </c>
      <c r="L13" s="1" cm="1">
        <f ca="1" t="array" ref="L13">(角色属性!$Z$25+增益计算!$P$2+增益计算!$P$4+_xlfn.XLOOKUP(A13,增益数据表[增益名字],增益数据表[破招等级]))*(1+增益计算!$Q$2+增益计算!$Q$4+_xlfn.XLOOKUP(A13,增益数据表[增益名字],增益数据表[破招提高]))</f>
        <v>18487</v>
      </c>
      <c r="M13" s="12" cm="1">
        <f ca="1" t="array" ref="M13">(角色属性!$Z$25+增益计算!$P$2+增益计算!$P$3+增益计算!$P$4+_xlfn.XLOOKUP(A13,增益数据表[增益名字],增益数据表[破招等级]))*(1+增益计算!$Q$2+增益计算!$Q$3+增益计算!$Q$4+_xlfn.XLOOKUP(A13,增益数据表[增益名字],增益数据表[破招提高]))</f>
        <v>18487</v>
      </c>
      <c r="N13" s="23" cm="1">
        <f ca="1" t="array" ref="N13">增益计算!$R$2+增益计算!$R$4+_xlfn.XLOOKUP(A13,增益数据表[增益名字],增益数据表[增伤])</f>
        <v>0</v>
      </c>
      <c r="O13" s="23" cm="1">
        <f ca="1" t="array" ref="O13">增益计算!$R$2+增益计算!$R$3+增益计算!$R$4+_xlfn.XLOOKUP(A13,增益数据表[增益名字],增益数据表[增伤])</f>
        <v>0</v>
      </c>
      <c r="P13" s="23" cm="1">
        <f ca="1" t="array" ref="P13">增益计算!$S$2+增益计算!$S$3+增益计算!$S$4+_xlfn.XLOOKUP(A13,增益数据表[增益名字],增益数据表[易伤])</f>
        <v>0.02</v>
      </c>
      <c r="Q13" s="23" cm="1">
        <f ca="1" t="array" ref="Q13">增益计算!$S$2+增益计算!$S$3+增益计算!$S$4+_xlfn.XLOOKUP(A13,增益数据表[增益名字],增益数据表[易伤])</f>
        <v>0.02</v>
      </c>
      <c r="R13" s="23" cm="1">
        <f ca="1" t="array" ref="R13">增益计算!$T$2+增益计算!$T$4+_xlfn.XLOOKUP(A13,增益数据表[增益名字],增益数据表[降低防御])</f>
        <v>0.15</v>
      </c>
      <c r="S13" s="23" cm="1">
        <f ca="1" t="array" ref="S13">增益计算!$T$2+增益计算!$T$3+增益计算!$T$4+_xlfn.XLOOKUP(A13,增益数据表[增益名字],增益数据表[降低防御])</f>
        <v>0.15</v>
      </c>
      <c r="T13" s="25" cm="1">
        <f ca="1" t="array" ref="T13">增益计算!$U$2+增益计算!$U$4+_xlfn.XLOOKUP(A13,增益数据表[增益名字],增益数据表[无视防御])</f>
        <v>0.5</v>
      </c>
      <c r="U13" s="25" cm="1">
        <f ca="1" t="array" ref="U13">增益计算!$U$2+增益计算!$U$3+增益计算!$U$4+_xlfn.XLOOKUP(A13,增益数据表[增益名字],增益数据表[无视防御])</f>
        <v>0.494569126038313</v>
      </c>
      <c r="V13" s="1">
        <f ca="1">V2</f>
        <v>32213</v>
      </c>
      <c r="W13" s="1" cm="1">
        <f ca="1" t="array" ref="W13">增益计算!$V$2+增益计算!$V$4+_xlfn.XLOOKUP(A13,增益数据表[增益名字],增益数据表[独立增伤])</f>
        <v>0</v>
      </c>
      <c r="X13" s="1" cm="1">
        <f ca="1" t="array" ref="X13">增益计算!$V$2+增益计算!$V$3+增益计算!$V$4+_xlfn.XLOOKUP(A13,增益数据表[增益名字],增益数据表[独立增伤])</f>
        <v>0</v>
      </c>
      <c r="Y13" s="1">
        <f ca="1">增益计算!$W$2+增益计算!$W$4+_xlfn.XLOOKUP(A13,增益数据表[增益名字],增益数据表[最终增伤])</f>
        <v>0.0791624882395013</v>
      </c>
      <c r="Z13" s="1">
        <f ca="1">增益计算!$W$2+增益计算!$W$3+增益计算!$W$4+_xlfn.XLOOKUP(A13,增益数据表[增益名字],增益数据表[最终增伤])</f>
        <v>0.109718043795057</v>
      </c>
    </row>
    <row r="14" spans="1:26">
      <c r="A14" s="1" t="s">
        <v>892</v>
      </c>
      <c r="B14" s="12" cm="1">
        <f ca="1" t="array" ref="B14">(角色属性!$Z$19+增益计算!$D$2+增益计算!$D$4+_xlfn.XLOOKUP(A14,增益数据表[增益名字],增益数据表[攻击等级]))*(1+增益计算!$E$2+增益计算!$E$4+_xlfn.XLOOKUP(A14,增益数据表[增益名字],增益数据表[攻击提高]))+(角色属性!$Z$18+增益计算!$B$2+增益计算!$B$4+_xlfn.XLOOKUP(A14,增益数据表[增益名字],增益数据表[根骨等级]))*(1+增益计算!$C$2+增益计算!$C$4+_xlfn.XLOOKUP(A14,增益数据表[增益名字],增益数据表[根骨提高]))*常更新数据!$AE$3</f>
        <v>127972</v>
      </c>
      <c r="C14" s="28" cm="1">
        <f ca="1" t="array" ref="C14">(角色属性!$Z$19+增益计算!$D$2+增益计算!$D$3+增益计算!$D$4+_xlfn.XLOOKUP(A14,增益数据表[增益名字],增益数据表[攻击等级]))*(1+增益计算!$E$2+增益计算!$E$3+增益计算!$E$4+_xlfn.XLOOKUP(A14,增益数据表[增益名字],增益数据表[攻击提高]))+(角色属性!$Z$18+增益计算!$B$2+增益计算!$B$3+增益计算!$B$4+_xlfn.XLOOKUP(A14,增益数据表[增益名字],增益数据表[根骨等级]))*(1+增益计算!$C$2+增益计算!$C$3+增益计算!$C$4+_xlfn.XLOOKUP(A14,增益数据表[增益名字],增益数据表[根骨提高]))*常更新数据!$AE$3</f>
        <v>164397.25</v>
      </c>
      <c r="D14" s="39" cm="1">
        <f ca="1" t="array" ref="D14">角色属性!$Z$20+增益计算!$G$2+增益计算!$G$4+_xlfn.XLOOKUP(A14,增益数据表[增益名字],增益数据表[会心提高])+((增益计算!$B$2+增益计算!$B$4+_xlfn.XLOOKUP(A14,增益数据表[增益名字],增益数据表[根骨等级]))*(1+增益计算!$C$2+增益计算!$C$4+_xlfn.XLOOKUP(A14,增益数据表[增益名字],增益数据表[根骨提高]))*常更新数据!$AE$6+增益计算!$F$2+增益计算!$F$4+_xlfn.XLOOKUP(A14,增益数据表[增益名字],增益数据表[会心等级]))/常更新数据!$AE$32</f>
        <v>0.798535429406736</v>
      </c>
      <c r="E14" s="39" cm="1">
        <f ca="1" t="array" ref="E14">角色属性!$Z$20+增益计算!$G$2+增益计算!$G$3+增益计算!$G$4+_xlfn.XLOOKUP(A14,增益数据表[增益名字],增益数据表[会心提高])+((增益计算!$B$2+增益计算!$B$3+增益计算!$B$4+_xlfn.XLOOKUP(A14,增益数据表[增益名字],增益数据表[根骨等级]))*(1+增益计算!$C$2+增益计算!$C$3+增益计算!$C$4+_xlfn.XLOOKUP(A14,增益数据表[增益名字],增益数据表[根骨提高]))*常更新数据!$AE$6+增益计算!$F$2++增益计算!$F$3+增益计算!$F$4+_xlfn.XLOOKUP(A14,增益数据表[增益名字],增益数据表[会心等级]))/常更新数据!$AE$32</f>
        <v>0.798535429406736</v>
      </c>
      <c r="F14" s="39" cm="1">
        <f ca="1" t="array" ref="F14">角色属性!$Z$21+增益计算!$I$2+增益计算!$I$4+_xlfn.XLOOKUP(A14,增益数据表[增益名字],增益数据表[会效提高])+(增益计算!$H$2+增益计算!$H$4+_xlfn.XLOOKUP(A14,增益数据表[增益名字],增益数据表[会效等级]))/常更新数据!$AE$34</f>
        <v>2.314740226401</v>
      </c>
      <c r="G14" s="23" cm="1">
        <f ca="1" t="array" ref="G14">角色属性!$Z$21+增益计算!$I$2+增益计算!$I$3+增益计算!$I$4+_xlfn.XLOOKUP(A14,增益数据表[增益名字],增益数据表[会效提高])+(增益计算!$H$2+增益计算!$H$3+增益计算!$H$4+_xlfn.XLOOKUP(A14,增益数据表[增益名字],增益数据表[会效等级]))/常更新数据!$AE$34</f>
        <v>2.314740226401</v>
      </c>
      <c r="H14" s="25" cm="1">
        <f ca="1" t="array" ref="H14">(角色属性!$Z$23+(增益计算!$K$2+增益计算!$K$4+_xlfn.XLOOKUP(A14,增益数据表[增益名字],增益数据表[破防等级]))/常更新数据!$AE$33)*(1+增益计算!$L$2+增益计算!$L$4+_xlfn.XLOOKUP(A14,增益数据表[增益名字],增益数据表[破防提高]))</f>
        <v>0.423044624235104</v>
      </c>
      <c r="I14" s="25" cm="1">
        <f ca="1" t="array" ref="I14">(角色属性!$Z$23+(增益计算!$K$2+增益计算!$K$3+增益计算!$K$4+_xlfn.XLOOKUP(A14,增益数据表[增益名字],增益数据表[破防等级]))/常更新数据!$AE$33)*(1+增益计算!$L$2+增益计算!$L$3+增益计算!$L$4+_xlfn.XLOOKUP(A14,增益数据表[增益名字],增益数据表[破防提高]))</f>
        <v>0.477581403062086</v>
      </c>
      <c r="J14" s="25" cm="1">
        <f ca="1" t="array" ref="J14">增益计算!$N$2+增益计算!$N$4+_xlfn.XLOOKUP(A14,增益数据表[增益名字],增益数据表[无双提高])+(角色属性!$Z$24+(增益计算!$M$2+增益计算!$M$4+_xlfn.XLOOKUP(A14,增益数据表[增益名字],增益数据表[无双等级]))/常更新数据!$AE$35)*(1+增益计算!$O$2+增益计算!$O$4+_xlfn.XLOOKUP(A14,增益数据表[增益名字],增益数据表[无双乘算]))</f>
        <v>2.02436332436332</v>
      </c>
      <c r="K14" s="25" cm="1">
        <f ca="1" t="array" ref="K14">增益计算!$N$2+增益计算!$N$3+增益计算!$N$4+_xlfn.XLOOKUP(A14,增益数据表[增益名字],增益数据表[无双提高])+(角色属性!$Z$24+(增益计算!$M$2+增益计算!$M$3+增益计算!$M$4+_xlfn.XLOOKUP(A14,增益数据表[增益名字],增益数据表[无双等级]))/常更新数据!$AE$35)*(1+增益计算!$O$2+增益计算!$O$3+增益计算!$O$4+_xlfn.XLOOKUP(A14,增益数据表[增益名字],增益数据表[无双乘算]))</f>
        <v>2.02436332436332</v>
      </c>
      <c r="L14" s="1" cm="1">
        <f ca="1" t="array" ref="L14">(角色属性!$Z$25+增益计算!$P$2+增益计算!$P$4+_xlfn.XLOOKUP(A14,增益数据表[增益名字],增益数据表[破招等级]))*(1+增益计算!$Q$2+增益计算!$Q$4+_xlfn.XLOOKUP(A14,增益数据表[增益名字],增益数据表[破招提高]))</f>
        <v>18487</v>
      </c>
      <c r="M14" s="12" cm="1">
        <f ca="1" t="array" ref="M14">(角色属性!$Z$25+增益计算!$P$2+增益计算!$P$3+增益计算!$P$4+_xlfn.XLOOKUP(A14,增益数据表[增益名字],增益数据表[破招等级]))*(1+增益计算!$Q$2+增益计算!$Q$3+增益计算!$Q$4+_xlfn.XLOOKUP(A14,增益数据表[增益名字],增益数据表[破招提高]))</f>
        <v>18487</v>
      </c>
      <c r="N14" s="23" cm="1">
        <f ca="1" t="array" ref="N14">增益计算!$R$2+增益计算!$R$4+_xlfn.XLOOKUP(A14,增益数据表[增益名字],增益数据表[增伤])</f>
        <v>0</v>
      </c>
      <c r="O14" s="23" cm="1">
        <f ca="1" t="array" ref="O14">增益计算!$R$2+增益计算!$R$3+增益计算!$R$4+_xlfn.XLOOKUP(A14,增益数据表[增益名字],增益数据表[增伤])</f>
        <v>0</v>
      </c>
      <c r="P14" s="23" cm="1">
        <f ca="1" t="array" ref="P14">增益计算!$S$2+增益计算!$S$3+增益计算!$S$4+_xlfn.XLOOKUP(A14,增益数据表[增益名字],增益数据表[易伤])</f>
        <v>0.02</v>
      </c>
      <c r="Q14" s="23" cm="1">
        <f ca="1" t="array" ref="Q14">增益计算!$S$2+增益计算!$S$3+增益计算!$S$4+_xlfn.XLOOKUP(A14,增益数据表[增益名字],增益数据表[易伤])</f>
        <v>0.02</v>
      </c>
      <c r="R14" s="23" cm="1">
        <f ca="1" t="array" ref="R14">增益计算!$T$2+增益计算!$T$4+_xlfn.XLOOKUP(A14,增益数据表[增益名字],增益数据表[降低防御])</f>
        <v>0.15</v>
      </c>
      <c r="S14" s="23" cm="1">
        <f ca="1" t="array" ref="S14">增益计算!$T$2+增益计算!$T$3+增益计算!$T$4+_xlfn.XLOOKUP(A14,增益数据表[增益名字],增益数据表[降低防御])</f>
        <v>0.15</v>
      </c>
      <c r="T14" s="25" cm="1">
        <f ca="1" t="array" ref="T14">增益计算!$U$2+增益计算!$U$4+_xlfn.XLOOKUP(A14,增益数据表[增益名字],增益数据表[无视防御])</f>
        <v>0.5</v>
      </c>
      <c r="U14" s="25" cm="1">
        <f ca="1" t="array" ref="U14">增益计算!$U$2+增益计算!$U$3+增益计算!$U$4+_xlfn.XLOOKUP(A14,增益数据表[增益名字],增益数据表[无视防御])</f>
        <v>0.494569126038313</v>
      </c>
      <c r="V14" s="1">
        <f ca="1">V2</f>
        <v>32213</v>
      </c>
      <c r="W14" s="1" cm="1">
        <f ca="1" t="array" ref="W14">增益计算!$V$2+增益计算!$V$4+_xlfn.XLOOKUP(A14,增益数据表[增益名字],增益数据表[独立增伤])</f>
        <v>0</v>
      </c>
      <c r="X14" s="1" cm="1">
        <f ca="1" t="array" ref="X14">增益计算!$V$2+增益计算!$V$3+增益计算!$V$4+_xlfn.XLOOKUP(A14,增益数据表[增益名字],增益数据表[独立增伤])</f>
        <v>0</v>
      </c>
      <c r="Y14" s="1">
        <f ca="1">增益计算!$W$2+增益计算!$W$4+_xlfn.XLOOKUP(A14,增益数据表[增益名字],增益数据表[最终增伤])</f>
        <v>0.0791624882395013</v>
      </c>
      <c r="Z14" s="1">
        <f ca="1">增益计算!$W$2+增益计算!$W$3+增益计算!$W$4+_xlfn.XLOOKUP(A14,增益数据表[增益名字],增益数据表[最终增伤])</f>
        <v>0.109718043795057</v>
      </c>
    </row>
    <row r="15" spans="1:26">
      <c r="A15" s="1" t="s">
        <v>894</v>
      </c>
      <c r="B15" s="12" cm="1">
        <f ca="1" t="array" ref="B15">(角色属性!$Z$19+增益计算!$D$2+增益计算!$D$4+_xlfn.XLOOKUP(A15,增益数据表[增益名字],增益数据表[攻击等级]))*(1+增益计算!$E$2+增益计算!$E$4+_xlfn.XLOOKUP(A15,增益数据表[增益名字],增益数据表[攻击提高]))+(角色属性!$Z$18+增益计算!$B$2+增益计算!$B$4+_xlfn.XLOOKUP(A15,增益数据表[增益名字],增益数据表[根骨等级]))*(1+增益计算!$C$2+增益计算!$C$4+_xlfn.XLOOKUP(A15,增益数据表[增益名字],增益数据表[根骨提高]))*常更新数据!$AE$3</f>
        <v>123924.75</v>
      </c>
      <c r="C15" s="28" cm="1">
        <f ca="1" t="array" ref="C15">(角色属性!$Z$19+增益计算!$D$2+增益计算!$D$3+增益计算!$D$4+_xlfn.XLOOKUP(A15,增益数据表[增益名字],增益数据表[攻击等级]))*(1+增益计算!$E$2+增益计算!$E$3+增益计算!$E$4+_xlfn.XLOOKUP(A15,增益数据表[增益名字],增益数据表[攻击提高]))+(角色属性!$Z$18+增益计算!$B$2+增益计算!$B$3+增益计算!$B$4+_xlfn.XLOOKUP(A15,增益数据表[增益名字],增益数据表[根骨等级]))*(1+增益计算!$C$2+增益计算!$C$3+增益计算!$C$4+_xlfn.XLOOKUP(A15,增益数据表[增益名字],增益数据表[根骨提高]))*常更新数据!$AE$3</f>
        <v>160350</v>
      </c>
      <c r="D15" s="39" cm="1">
        <f ca="1" t="array" ref="D15">角色属性!$Z$20+增益计算!$G$2+增益计算!$G$4+_xlfn.XLOOKUP(A15,增益数据表[增益名字],增益数据表[会心提高])+((增益计算!$B$2+增益计算!$B$4+_xlfn.XLOOKUP(A15,增益数据表[增益名字],增益数据表[根骨等级]))*(1+增益计算!$C$2+增益计算!$C$4+_xlfn.XLOOKUP(A15,增益数据表[增益名字],增益数据表[根骨提高]))*常更新数据!$AE$6+增益计算!$F$2+增益计算!$F$4+_xlfn.XLOOKUP(A15,增益数据表[增益名字],增益数据表[会心等级]))/常更新数据!$AE$32</f>
        <v>0.768535429406736</v>
      </c>
      <c r="E15" s="39" cm="1">
        <f ca="1" t="array" ref="E15">角色属性!$Z$20+增益计算!$G$2+增益计算!$G$3+增益计算!$G$4+_xlfn.XLOOKUP(A15,增益数据表[增益名字],增益数据表[会心提高])+((增益计算!$B$2+增益计算!$B$3+增益计算!$B$4+_xlfn.XLOOKUP(A15,增益数据表[增益名字],增益数据表[根骨等级]))*(1+增益计算!$C$2+增益计算!$C$3+增益计算!$C$4+_xlfn.XLOOKUP(A15,增益数据表[增益名字],增益数据表[根骨提高]))*常更新数据!$AE$6+增益计算!$F$2++增益计算!$F$3+增益计算!$F$4+_xlfn.XLOOKUP(A15,增益数据表[增益名字],增益数据表[会心等级]))/常更新数据!$AE$32</f>
        <v>0.768535429406736</v>
      </c>
      <c r="F15" s="39" cm="1">
        <f ca="1" t="array" ref="F15">角色属性!$Z$21+增益计算!$I$2+增益计算!$I$4+_xlfn.XLOOKUP(A15,增益数据表[增益名字],增益数据表[会效提高])+(增益计算!$H$2+增益计算!$H$4+_xlfn.XLOOKUP(A15,增益数据表[增益名字],增益数据表[会效等级]))/常更新数据!$AE$34</f>
        <v>2.264740226401</v>
      </c>
      <c r="G15" s="23" cm="1">
        <f ca="1" t="array" ref="G15">角色属性!$Z$21+增益计算!$I$2+增益计算!$I$3+增益计算!$I$4+_xlfn.XLOOKUP(A15,增益数据表[增益名字],增益数据表[会效提高])+(增益计算!$H$2+增益计算!$H$3+增益计算!$H$4+_xlfn.XLOOKUP(A15,增益数据表[增益名字],增益数据表[会效等级]))/常更新数据!$AE$34</f>
        <v>2.264740226401</v>
      </c>
      <c r="H15" s="25" cm="1">
        <f ca="1" t="array" ref="H15">(角色属性!$Z$23+(增益计算!$K$2+增益计算!$K$4+_xlfn.XLOOKUP(A15,增益数据表[增益名字],增益数据表[破防等级]))/常更新数据!$AE$33)*(1+增益计算!$L$2+增益计算!$L$4+_xlfn.XLOOKUP(A15,增益数据表[增益名字],增益数据表[破防提高]))</f>
        <v>0.369370182724547</v>
      </c>
      <c r="I15" s="25" cm="1">
        <f ca="1" t="array" ref="I15">(角色属性!$Z$23+(增益计算!$K$2+增益计算!$K$3+增益计算!$K$4+_xlfn.XLOOKUP(A15,增益数据表[增益名字],增益数据表[破防等级]))/常更新数据!$AE$33)*(1+增益计算!$L$2+增益计算!$L$3+增益计算!$L$4+_xlfn.XLOOKUP(A15,增益数据表[增益名字],增益数据表[破防提高]))</f>
        <v>0.41698752332296</v>
      </c>
      <c r="J15" s="25" cm="1">
        <f ca="1" t="array" ref="J15">增益计算!$N$2+增益计算!$N$4+_xlfn.XLOOKUP(A15,增益数据表[增益名字],增益数据表[无双提高])+(角色属性!$Z$24+(增益计算!$M$2+增益计算!$M$4+_xlfn.XLOOKUP(A15,增益数据表[增益名字],增益数据表[无双等级]))/常更新数据!$AE$35)*(1+增益计算!$O$2+增益计算!$O$4+_xlfn.XLOOKUP(A15,增益数据表[增益名字],增益数据表[无双乘算]))</f>
        <v>2.12436332436332</v>
      </c>
      <c r="K15" s="25" cm="1">
        <f ca="1" t="array" ref="K15">增益计算!$N$2+增益计算!$N$3+增益计算!$N$4+_xlfn.XLOOKUP(A15,增益数据表[增益名字],增益数据表[无双提高])+(角色属性!$Z$24+(增益计算!$M$2+增益计算!$M$3+增益计算!$M$4+_xlfn.XLOOKUP(A15,增益数据表[增益名字],增益数据表[无双等级]))/常更新数据!$AE$35)*(1+增益计算!$O$2+增益计算!$O$3+增益计算!$O$4+_xlfn.XLOOKUP(A15,增益数据表[增益名字],增益数据表[无双乘算]))</f>
        <v>2.12436332436332</v>
      </c>
      <c r="L15" s="1" cm="1">
        <f ca="1" t="array" ref="L15">(角色属性!$Z$25+增益计算!$P$2+增益计算!$P$4+_xlfn.XLOOKUP(A15,增益数据表[增益名字],增益数据表[破招等级]))*(1+增益计算!$Q$2+增益计算!$Q$4+_xlfn.XLOOKUP(A15,增益数据表[增益名字],增益数据表[破招提高]))</f>
        <v>18487</v>
      </c>
      <c r="M15" s="12" cm="1">
        <f ca="1" t="array" ref="M15">(角色属性!$Z$25+增益计算!$P$2+增益计算!$P$3+增益计算!$P$4+_xlfn.XLOOKUP(A15,增益数据表[增益名字],增益数据表[破招等级]))*(1+增益计算!$Q$2+增益计算!$Q$3+增益计算!$Q$4+_xlfn.XLOOKUP(A15,增益数据表[增益名字],增益数据表[破招提高]))</f>
        <v>18487</v>
      </c>
      <c r="N15" s="23" cm="1">
        <f ca="1" t="array" ref="N15">增益计算!$R$2+增益计算!$R$4+_xlfn.XLOOKUP(A15,增益数据表[增益名字],增益数据表[增伤])</f>
        <v>0.05</v>
      </c>
      <c r="O15" s="23" cm="1">
        <f ca="1" t="array" ref="O15">增益计算!$R$2+增益计算!$R$3+增益计算!$R$4+_xlfn.XLOOKUP(A15,增益数据表[增益名字],增益数据表[增伤])</f>
        <v>0.05</v>
      </c>
      <c r="P15" s="23" cm="1">
        <f ca="1" t="array" ref="P15">增益计算!$S$2+增益计算!$S$3+增益计算!$S$4+_xlfn.XLOOKUP(A15,增益数据表[增益名字],增益数据表[易伤])</f>
        <v>0.02</v>
      </c>
      <c r="Q15" s="23" cm="1">
        <f ca="1" t="array" ref="Q15">增益计算!$S$2+增益计算!$S$3+增益计算!$S$4+_xlfn.XLOOKUP(A15,增益数据表[增益名字],增益数据表[易伤])</f>
        <v>0.02</v>
      </c>
      <c r="R15" s="23" cm="1">
        <f ca="1" t="array" ref="R15">增益计算!$T$2+增益计算!$T$4+_xlfn.XLOOKUP(A15,增益数据表[增益名字],增益数据表[降低防御])</f>
        <v>0.15</v>
      </c>
      <c r="S15" s="23" cm="1">
        <f ca="1" t="array" ref="S15">增益计算!$T$2+增益计算!$T$3+增益计算!$T$4+_xlfn.XLOOKUP(A15,增益数据表[增益名字],增益数据表[降低防御])</f>
        <v>0.15</v>
      </c>
      <c r="T15" s="25" cm="1">
        <f ca="1" t="array" ref="T15">增益计算!$U$2+增益计算!$U$4+_xlfn.XLOOKUP(A15,增益数据表[增益名字],增益数据表[无视防御])</f>
        <v>0.5</v>
      </c>
      <c r="U15" s="25" cm="1">
        <f ca="1" t="array" ref="U15">增益计算!$U$2+增益计算!$U$3+增益计算!$U$4+_xlfn.XLOOKUP(A15,增益数据表[增益名字],增益数据表[无视防御])</f>
        <v>0.494569126038313</v>
      </c>
      <c r="V15" s="1">
        <f ca="1">V2</f>
        <v>32213</v>
      </c>
      <c r="W15" s="1" cm="1">
        <f ca="1" t="array" ref="W15">增益计算!$V$2+增益计算!$V$4+_xlfn.XLOOKUP(A15,增益数据表[增益名字],增益数据表[独立增伤])</f>
        <v>0</v>
      </c>
      <c r="X15" s="1" cm="1">
        <f ca="1" t="array" ref="X15">增益计算!$V$2+增益计算!$V$3+增益计算!$V$4+_xlfn.XLOOKUP(A15,增益数据表[增益名字],增益数据表[独立增伤])</f>
        <v>0</v>
      </c>
      <c r="Y15" s="1">
        <f ca="1">增益计算!$W$2+增益计算!$W$4+_xlfn.XLOOKUP(A15,增益数据表[增益名字],增益数据表[最终增伤])</f>
        <v>0.0791624882395013</v>
      </c>
      <c r="Z15" s="1">
        <f ca="1">增益计算!$W$2+增益计算!$W$3+增益计算!$W$4+_xlfn.XLOOKUP(A15,增益数据表[增益名字],增益数据表[最终增伤])</f>
        <v>0.109718043795057</v>
      </c>
    </row>
    <row r="16" spans="1:26">
      <c r="A16" s="1" t="s">
        <v>921</v>
      </c>
      <c r="B16" s="12" cm="1">
        <f ca="1" t="array" ref="B16">(角色属性!$Z$19+增益计算!$D$2+增益计算!$D$4+_xlfn.XLOOKUP(A16,增益数据表[增益名字],增益数据表[攻击等级]))*(1+增益计算!$E$2+增益计算!$E$4+_xlfn.XLOOKUP(A16,增益数据表[增益名字],增益数据表[攻击提高]))+(角色属性!$Z$18+增益计算!$B$2+增益计算!$B$4+_xlfn.XLOOKUP(A16,增益数据表[增益名字],增益数据表[根骨等级]))*(1+增益计算!$C$2+增益计算!$C$4+_xlfn.XLOOKUP(A16,增益数据表[增益名字],增益数据表[根骨提高]))*常更新数据!$AE$3</f>
        <v>127972</v>
      </c>
      <c r="C16" s="28" cm="1">
        <f ca="1" t="array" ref="C16">(角色属性!$Z$19+增益计算!$D$2+增益计算!$D$3+增益计算!$D$4+_xlfn.XLOOKUP(A16,增益数据表[增益名字],增益数据表[攻击等级]))*(1+增益计算!$E$2+增益计算!$E$3+增益计算!$E$4+_xlfn.XLOOKUP(A16,增益数据表[增益名字],增益数据表[攻击提高]))+(角色属性!$Z$18+增益计算!$B$2+增益计算!$B$3+增益计算!$B$4+_xlfn.XLOOKUP(A16,增益数据表[增益名字],增益数据表[根骨等级]))*(1+增益计算!$C$2+增益计算!$C$3+增益计算!$C$4+_xlfn.XLOOKUP(A16,增益数据表[增益名字],增益数据表[根骨提高]))*常更新数据!$AE$3</f>
        <v>164397.25</v>
      </c>
      <c r="D16" s="39" cm="1">
        <f ca="1" t="array" ref="D16">角色属性!$Z$20+增益计算!$G$2+增益计算!$G$4+_xlfn.XLOOKUP(A16,增益数据表[增益名字],增益数据表[会心提高])+((增益计算!$B$2+增益计算!$B$4+_xlfn.XLOOKUP(A16,增益数据表[增益名字],增益数据表[根骨等级]))*(1+增益计算!$C$2+增益计算!$C$4+_xlfn.XLOOKUP(A16,增益数据表[增益名字],增益数据表[根骨提高]))*常更新数据!$AE$6+增益计算!$F$2+增益计算!$F$4+_xlfn.XLOOKUP(A16,增益数据表[增益名字],增益数据表[会心等级]))/常更新数据!$AE$32</f>
        <v>0.818535429406737</v>
      </c>
      <c r="E16" s="39" cm="1">
        <f ca="1" t="array" ref="E16">角色属性!$Z$20+增益计算!$G$2+增益计算!$G$3+增益计算!$G$4+_xlfn.XLOOKUP(A16,增益数据表[增益名字],增益数据表[会心提高])+((增益计算!$B$2+增益计算!$B$3+增益计算!$B$4+_xlfn.XLOOKUP(A16,增益数据表[增益名字],增益数据表[根骨等级]))*(1+增益计算!$C$2+增益计算!$C$3+增益计算!$C$4+_xlfn.XLOOKUP(A16,增益数据表[增益名字],增益数据表[根骨提高]))*常更新数据!$AE$6+增益计算!$F$2++增益计算!$F$3+增益计算!$F$4+_xlfn.XLOOKUP(A16,增益数据表[增益名字],增益数据表[会心等级]))/常更新数据!$AE$32</f>
        <v>0.818535429406737</v>
      </c>
      <c r="F16" s="39" cm="1">
        <f ca="1" t="array" ref="F16">角色属性!$Z$21+增益计算!$I$2+增益计算!$I$4+_xlfn.XLOOKUP(A16,增益数据表[增益名字],增益数据表[会效提高])+(增益计算!$H$2+增益计算!$H$4+_xlfn.XLOOKUP(A16,增益数据表[增益名字],增益数据表[会效等级]))/常更新数据!$AE$34</f>
        <v>2.264740226401</v>
      </c>
      <c r="G16" s="23" cm="1">
        <f ca="1" t="array" ref="G16">角色属性!$Z$21+增益计算!$I$2+增益计算!$I$3+增益计算!$I$4+_xlfn.XLOOKUP(A16,增益数据表[增益名字],增益数据表[会效提高])+(增益计算!$H$2+增益计算!$H$3+增益计算!$H$4+_xlfn.XLOOKUP(A16,增益数据表[增益名字],增益数据表[会效等级]))/常更新数据!$AE$34</f>
        <v>2.264740226401</v>
      </c>
      <c r="H16" s="25" cm="1">
        <f ca="1" t="array" ref="H16">(角色属性!$Z$23+(增益计算!$K$2+增益计算!$K$4+_xlfn.XLOOKUP(A16,增益数据表[增益名字],增益数据表[破防等级]))/常更新数据!$AE$33)*(1+增益计算!$L$2+增益计算!$L$4+_xlfn.XLOOKUP(A16,增益数据表[增益名字],增益数据表[破防提高]))</f>
        <v>0.369370182724547</v>
      </c>
      <c r="I16" s="25" cm="1">
        <f ca="1" t="array" ref="I16">(角色属性!$Z$23+(增益计算!$K$2+增益计算!$K$3+增益计算!$K$4+_xlfn.XLOOKUP(A16,增益数据表[增益名字],增益数据表[破防等级]))/常更新数据!$AE$33)*(1+增益计算!$L$2+增益计算!$L$3+增益计算!$L$4+_xlfn.XLOOKUP(A16,增益数据表[增益名字],增益数据表[破防提高]))</f>
        <v>0.41698752332296</v>
      </c>
      <c r="J16" s="25" cm="1">
        <f ca="1" t="array" ref="J16">增益计算!$N$2+增益计算!$N$4+_xlfn.XLOOKUP(A16,增益数据表[增益名字],增益数据表[无双提高])+(角色属性!$Z$24+(增益计算!$M$2+增益计算!$M$4+_xlfn.XLOOKUP(A16,增益数据表[增益名字],增益数据表[无双等级]))/常更新数据!$AE$35)*(1+增益计算!$O$2+增益计算!$O$4+_xlfn.XLOOKUP(A16,增益数据表[增益名字],增益数据表[无双乘算]))</f>
        <v>2.02436332436332</v>
      </c>
      <c r="K16" s="25" cm="1">
        <f ca="1" t="array" ref="K16">增益计算!$N$2+增益计算!$N$3+增益计算!$N$4+_xlfn.XLOOKUP(A16,增益数据表[增益名字],增益数据表[无双提高])+(角色属性!$Z$24+(增益计算!$M$2+增益计算!$M$3+增益计算!$M$4+_xlfn.XLOOKUP(A16,增益数据表[增益名字],增益数据表[无双等级]))/常更新数据!$AE$35)*(1+增益计算!$O$2+增益计算!$O$3+增益计算!$O$4+_xlfn.XLOOKUP(A16,增益数据表[增益名字],增益数据表[无双乘算]))</f>
        <v>2.02436332436332</v>
      </c>
      <c r="L16" s="1" cm="1">
        <f ca="1" t="array" ref="L16">(角色属性!$Z$25+增益计算!$P$2+增益计算!$P$4+_xlfn.XLOOKUP(A16,增益数据表[增益名字],增益数据表[破招等级]))*(1+增益计算!$Q$2+增益计算!$Q$4+_xlfn.XLOOKUP(A16,增益数据表[增益名字],增益数据表[破招提高]))</f>
        <v>21153</v>
      </c>
      <c r="M16" s="12" cm="1">
        <f ca="1" t="array" ref="M16">(角色属性!$Z$25+增益计算!$P$2+增益计算!$P$3+增益计算!$P$4+_xlfn.XLOOKUP(A16,增益数据表[增益名字],增益数据表[破招等级]))*(1+增益计算!$Q$2+增益计算!$Q$3+增益计算!$Q$4+_xlfn.XLOOKUP(A16,增益数据表[增益名字],增益数据表[破招提高]))</f>
        <v>21153</v>
      </c>
      <c r="N16" s="23" cm="1">
        <f ca="1" t="array" ref="N16">增益计算!$R$2+增益计算!$R$4+_xlfn.XLOOKUP(A16,增益数据表[增益名字],增益数据表[增伤])</f>
        <v>0.0522</v>
      </c>
      <c r="O16" s="23" cm="1">
        <f ca="1" t="array" ref="O16">增益计算!$R$2+增益计算!$R$3+增益计算!$R$4+_xlfn.XLOOKUP(A16,增益数据表[增益名字],增益数据表[增伤])</f>
        <v>0.0522</v>
      </c>
      <c r="P16" s="23" cm="1">
        <f ca="1" t="array" ref="P16">增益计算!$S$2+增益计算!$S$3+增益计算!$S$4+_xlfn.XLOOKUP(A16,增益数据表[增益名字],增益数据表[易伤])</f>
        <v>0.02</v>
      </c>
      <c r="Q16" s="23" cm="1">
        <f ca="1" t="array" ref="Q16">增益计算!$S$2+增益计算!$S$3+增益计算!$S$4+_xlfn.XLOOKUP(A16,增益数据表[增益名字],增益数据表[易伤])</f>
        <v>0.02</v>
      </c>
      <c r="R16" s="23" cm="1">
        <f ca="1" t="array" ref="R16">增益计算!$T$2+增益计算!$T$4+_xlfn.XLOOKUP(A16,增益数据表[增益名字],增益数据表[降低防御])</f>
        <v>0.15</v>
      </c>
      <c r="S16" s="23" cm="1">
        <f ca="1" t="array" ref="S16">增益计算!$T$2+增益计算!$T$3+增益计算!$T$4+_xlfn.XLOOKUP(A16,增益数据表[增益名字],增益数据表[降低防御])</f>
        <v>0.15</v>
      </c>
      <c r="T16" s="25" cm="1">
        <f ca="1" t="array" ref="T16">增益计算!$U$2+增益计算!$U$4+_xlfn.XLOOKUP(A16,增益数据表[增益名字],增益数据表[无视防御])</f>
        <v>0.5</v>
      </c>
      <c r="U16" s="25" cm="1">
        <f ca="1" t="array" ref="U16">增益计算!$U$2+增益计算!$U$3+增益计算!$U$4+_xlfn.XLOOKUP(A16,增益数据表[增益名字],增益数据表[无视防御])</f>
        <v>0.494569126038313</v>
      </c>
      <c r="V16" s="1">
        <f ca="1">V3</f>
        <v>32213</v>
      </c>
      <c r="W16" s="1" cm="1">
        <f ca="1" t="array" ref="W16">增益计算!$V$2+增益计算!$V$4+_xlfn.XLOOKUP(A16,增益数据表[增益名字],增益数据表[独立增伤])</f>
        <v>0</v>
      </c>
      <c r="X16" s="1" cm="1">
        <f ca="1" t="array" ref="X16">增益计算!$V$2+增益计算!$V$3+增益计算!$V$4+_xlfn.XLOOKUP(A16,增益数据表[增益名字],增益数据表[独立增伤])</f>
        <v>0</v>
      </c>
      <c r="Y16" s="1">
        <f ca="1">增益计算!$W$2+增益计算!$W$4+_xlfn.XLOOKUP(A16,增益数据表[增益名字],增益数据表[最终增伤])</f>
        <v>0.0791624882395013</v>
      </c>
      <c r="Z16" s="1">
        <f ca="1">增益计算!$W$2+增益计算!$W$3+增益计算!$W$4+_xlfn.XLOOKUP(A16,增益数据表[增益名字],增益数据表[最终增伤])</f>
        <v>0.109718043795057</v>
      </c>
    </row>
    <row r="17" spans="1:26">
      <c r="A17" s="1" t="s">
        <v>922</v>
      </c>
      <c r="B17" s="12" cm="1">
        <f ca="1" t="array" ref="B17">(角色属性!$Z$19+增益计算!$D$2+增益计算!$D$4+_xlfn.XLOOKUP(A17,增益数据表[增益名字],增益数据表[攻击等级]))*(1+增益计算!$E$2+增益计算!$E$4+_xlfn.XLOOKUP(A17,增益数据表[增益名字],增益数据表[攻击提高]))+(角色属性!$Z$18+增益计算!$B$2+增益计算!$B$4+_xlfn.XLOOKUP(A17,增益数据表[增益名字],增益数据表[根骨等级]))*(1+增益计算!$C$2+增益计算!$C$4+_xlfn.XLOOKUP(A17,增益数据表[增益名字],增益数据表[根骨提高]))*常更新数据!$AE$3</f>
        <v>127972</v>
      </c>
      <c r="C17" s="28" cm="1">
        <f ca="1" t="array" ref="C17">(角色属性!$Z$19+增益计算!$D$2+增益计算!$D$3+增益计算!$D$4+_xlfn.XLOOKUP(A17,增益数据表[增益名字],增益数据表[攻击等级]))*(1+增益计算!$E$2+增益计算!$E$3+增益计算!$E$4+_xlfn.XLOOKUP(A17,增益数据表[增益名字],增益数据表[攻击提高]))+(角色属性!$Z$18+增益计算!$B$2+增益计算!$B$3+增益计算!$B$4+_xlfn.XLOOKUP(A17,增益数据表[增益名字],增益数据表[根骨等级]))*(1+增益计算!$C$2+增益计算!$C$3+增益计算!$C$4+_xlfn.XLOOKUP(A17,增益数据表[增益名字],增益数据表[根骨提高]))*常更新数据!$AE$3</f>
        <v>164397.25</v>
      </c>
      <c r="D17" s="39" cm="1">
        <f ca="1" t="array" ref="D17">角色属性!$Z$20+增益计算!$G$2+增益计算!$G$4+_xlfn.XLOOKUP(A17,增益数据表[增益名字],增益数据表[会心提高])+((增益计算!$B$2+增益计算!$B$4+_xlfn.XLOOKUP(A17,增益数据表[增益名字],增益数据表[根骨等级]))*(1+增益计算!$C$2+增益计算!$C$4+_xlfn.XLOOKUP(A17,增益数据表[增益名字],增益数据表[根骨提高]))*常更新数据!$AE$6+增益计算!$F$2+增益计算!$F$4+_xlfn.XLOOKUP(A17,增益数据表[增益名字],增益数据表[会心等级]))/常更新数据!$AE$32</f>
        <v>0.798535429406736</v>
      </c>
      <c r="E17" s="39" cm="1">
        <f ca="1" t="array" ref="E17">角色属性!$Z$20+增益计算!$G$2+增益计算!$G$3+增益计算!$G$4+_xlfn.XLOOKUP(A17,增益数据表[增益名字],增益数据表[会心提高])+((增益计算!$B$2+增益计算!$B$3+增益计算!$B$4+_xlfn.XLOOKUP(A17,增益数据表[增益名字],增益数据表[根骨等级]))*(1+增益计算!$C$2+增益计算!$C$3+增益计算!$C$4+_xlfn.XLOOKUP(A17,增益数据表[增益名字],增益数据表[根骨提高]))*常更新数据!$AE$6+增益计算!$F$2++增益计算!$F$3+增益计算!$F$4+_xlfn.XLOOKUP(A17,增益数据表[增益名字],增益数据表[会心等级]))/常更新数据!$AE$32</f>
        <v>0.798535429406736</v>
      </c>
      <c r="F17" s="39" cm="1">
        <f ca="1" t="array" ref="F17">角色属性!$Z$21+增益计算!$I$2+增益计算!$I$4+_xlfn.XLOOKUP(A17,增益数据表[增益名字],增益数据表[会效提高])+(增益计算!$H$2+增益计算!$H$4+_xlfn.XLOOKUP(A17,增益数据表[增益名字],增益数据表[会效等级]))/常更新数据!$AE$34</f>
        <v>2.314740226401</v>
      </c>
      <c r="G17" s="23" cm="1">
        <f ca="1" t="array" ref="G17">角色属性!$Z$21+增益计算!$I$2+增益计算!$I$3+增益计算!$I$4+_xlfn.XLOOKUP(A17,增益数据表[增益名字],增益数据表[会效提高])+(增益计算!$H$2+增益计算!$H$3+增益计算!$H$4+_xlfn.XLOOKUP(A17,增益数据表[增益名字],增益数据表[会效等级]))/常更新数据!$AE$34</f>
        <v>2.314740226401</v>
      </c>
      <c r="H17" s="25" cm="1">
        <f ca="1" t="array" ref="H17">(角色属性!$Z$23+(增益计算!$K$2+增益计算!$K$4+_xlfn.XLOOKUP(A17,增益数据表[增益名字],增益数据表[破防等级]))/常更新数据!$AE$33)*(1+增益计算!$L$2+增益计算!$L$4+_xlfn.XLOOKUP(A17,增益数据表[增益名字],增益数据表[破防提高]))</f>
        <v>0.406307200997001</v>
      </c>
      <c r="I17" s="25" cm="1">
        <f ca="1" t="array" ref="I17">(角色属性!$Z$23+(增益计算!$K$2+增益计算!$K$3+增益计算!$K$4+_xlfn.XLOOKUP(A17,增益数据表[增益名字],增益数据表[破防等级]))/常更新数据!$AE$33)*(1+增益计算!$L$2+增益计算!$L$3+增益计算!$L$4+_xlfn.XLOOKUP(A17,增益数据表[增益名字],增益数据表[破防提高]))</f>
        <v>0.458686275655256</v>
      </c>
      <c r="J17" s="25" cm="1">
        <f ca="1" t="array" ref="J17">增益计算!$N$2+增益计算!$N$4+_xlfn.XLOOKUP(A17,增益数据表[增益名字],增益数据表[无双提高])+(角色属性!$Z$24+(增益计算!$M$2+增益计算!$M$4+_xlfn.XLOOKUP(A17,增益数据表[增益名字],增益数据表[无双等级]))/常更新数据!$AE$35)*(1+增益计算!$O$2+增益计算!$O$4+_xlfn.XLOOKUP(A17,增益数据表[增益名字],增益数据表[无双乘算]))</f>
        <v>2.02436332436332</v>
      </c>
      <c r="K17" s="25" cm="1">
        <f ca="1" t="array" ref="K17">增益计算!$N$2+增益计算!$N$3+增益计算!$N$4+_xlfn.XLOOKUP(A17,增益数据表[增益名字],增益数据表[无双提高])+(角色属性!$Z$24+(增益计算!$M$2+增益计算!$M$3+增益计算!$M$4+_xlfn.XLOOKUP(A17,增益数据表[增益名字],增益数据表[无双等级]))/常更新数据!$AE$35)*(1+增益计算!$O$2+增益计算!$O$3+增益计算!$O$4+_xlfn.XLOOKUP(A17,增益数据表[增益名字],增益数据表[无双乘算]))</f>
        <v>2.02436332436332</v>
      </c>
      <c r="L17" s="1" cm="1">
        <f ca="1" t="array" ref="L17">(角色属性!$Z$25+增益计算!$P$2+增益计算!$P$4+_xlfn.XLOOKUP(A17,增益数据表[增益名字],增益数据表[破招等级]))*(1+增益计算!$Q$2+增益计算!$Q$4+_xlfn.XLOOKUP(A17,增益数据表[增益名字],增益数据表[破招提高]))</f>
        <v>18487</v>
      </c>
      <c r="M17" s="12" cm="1">
        <f ca="1" t="array" ref="M17">(角色属性!$Z$25+增益计算!$P$2+增益计算!$P$3+增益计算!$P$4+_xlfn.XLOOKUP(A17,增益数据表[增益名字],增益数据表[破招等级]))*(1+增益计算!$Q$2+增益计算!$Q$3+增益计算!$Q$4+_xlfn.XLOOKUP(A17,增益数据表[增益名字],增益数据表[破招提高]))</f>
        <v>18487</v>
      </c>
      <c r="N17" s="23" cm="1">
        <f ca="1" t="array" ref="N17">增益计算!$R$2+增益计算!$R$4+_xlfn.XLOOKUP(A17,增益数据表[增益名字],增益数据表[增伤])</f>
        <v>0</v>
      </c>
      <c r="O17" s="23" cm="1">
        <f ca="1" t="array" ref="O17">增益计算!$R$2+增益计算!$R$3+增益计算!$R$4+_xlfn.XLOOKUP(A17,增益数据表[增益名字],增益数据表[增伤])</f>
        <v>0</v>
      </c>
      <c r="P17" s="23" cm="1">
        <f ca="1" t="array" ref="P17">增益计算!$S$2+增益计算!$S$3+增益计算!$S$4+_xlfn.XLOOKUP(A17,增益数据表[增益名字],增益数据表[易伤])</f>
        <v>0.02</v>
      </c>
      <c r="Q17" s="23" cm="1">
        <f ca="1" t="array" ref="Q17">增益计算!$S$2+增益计算!$S$3+增益计算!$S$4+_xlfn.XLOOKUP(A17,增益数据表[增益名字],增益数据表[易伤])</f>
        <v>0.02</v>
      </c>
      <c r="R17" s="23" cm="1">
        <f ca="1" t="array" ref="R17">增益计算!$T$2+增益计算!$T$4+_xlfn.XLOOKUP(A17,增益数据表[增益名字],增益数据表[降低防御])</f>
        <v>0.15</v>
      </c>
      <c r="S17" s="23" cm="1">
        <f ca="1" t="array" ref="S17">增益计算!$T$2+增益计算!$T$3+增益计算!$T$4+_xlfn.XLOOKUP(A17,增益数据表[增益名字],增益数据表[降低防御])</f>
        <v>0.15</v>
      </c>
      <c r="T17" s="25" cm="1">
        <f ca="1" t="array" ref="T17">增益计算!$U$2+增益计算!$U$4+_xlfn.XLOOKUP(A17,增益数据表[增益名字],增益数据表[无视防御])</f>
        <v>0.5</v>
      </c>
      <c r="U17" s="25" cm="1">
        <f ca="1" t="array" ref="U17">增益计算!$U$2+增益计算!$U$3+增益计算!$U$4+_xlfn.XLOOKUP(A17,增益数据表[增益名字],增益数据表[无视防御])</f>
        <v>0.494569126038313</v>
      </c>
      <c r="V17" s="1">
        <f ca="1">V3</f>
        <v>32213</v>
      </c>
      <c r="W17" s="1" cm="1">
        <f ca="1" t="array" ref="W17">增益计算!$V$2+增益计算!$V$4+_xlfn.XLOOKUP(A17,增益数据表[增益名字],增益数据表[独立增伤])</f>
        <v>0</v>
      </c>
      <c r="X17" s="1" cm="1">
        <f ca="1" t="array" ref="X17">增益计算!$V$2+增益计算!$V$3+增益计算!$V$4+_xlfn.XLOOKUP(A17,增益数据表[增益名字],增益数据表[独立增伤])</f>
        <v>0</v>
      </c>
      <c r="Y17" s="1">
        <f ca="1">增益计算!$W$2+增益计算!$W$4+_xlfn.XLOOKUP(A17,增益数据表[增益名字],增益数据表[最终增伤])</f>
        <v>0.0791624882395013</v>
      </c>
      <c r="Z17" s="1">
        <f ca="1">增益计算!$W$2+增益计算!$W$3+增益计算!$W$4+_xlfn.XLOOKUP(A17,增益数据表[增益名字],增益数据表[最终增伤])</f>
        <v>0.109718043795057</v>
      </c>
    </row>
    <row r="19" spans="1:26">
      <c r="A19" s="33" t="s">
        <v>47</v>
      </c>
      <c r="B19" s="28">
        <f ca="1">(角色属性!Z19+增益计算!D2+增益计算!D4+增益计算!D5+常更新数据!F2)*(1+增益计算!E2+增益计算!E4+增益计算!E5)+(角色属性!Z18+增益计算!B2+增益计算!B4+增益计算!B5)*(1+增益计算!C2+增益计算!C4+增益计算!C5)*常更新数据!AE3</f>
        <v>125067.85</v>
      </c>
      <c r="C19" s="28">
        <f ca="1">(角色属性!Z19+增益计算!D2+增益计算!D3+增益计算!D4+增益计算!D5+常更新数据!F2)*(1+增益计算!E2+增益计算!E3+增益计算!E4+增益计算!E5)+(角色属性!Z18+增益计算!B2+增益计算!B3+增益计算!B4+增益计算!B5)*(1+增益计算!C2+增益计算!C3+增益计算!C4+增益计算!C5)*常更新数据!AE3</f>
        <v>161940.4</v>
      </c>
      <c r="D19" s="39">
        <f ca="1" t="shared" ref="D19:Z19" si="0">D5</f>
        <v>0.798535429406736</v>
      </c>
      <c r="E19" s="39">
        <f ca="1" t="shared" si="0"/>
        <v>0.798535429406736</v>
      </c>
      <c r="F19" s="39">
        <f ca="1" t="shared" si="0"/>
        <v>2.408740226401</v>
      </c>
      <c r="G19" s="23">
        <f ca="1" t="shared" si="0"/>
        <v>2.408740226401</v>
      </c>
      <c r="H19" s="25">
        <f ca="1" t="shared" si="0"/>
        <v>0.369370182724547</v>
      </c>
      <c r="I19" s="25">
        <f ca="1" t="shared" si="0"/>
        <v>0.41698752332296</v>
      </c>
      <c r="J19" s="25">
        <f ca="1" t="shared" si="0"/>
        <v>2.04436332436332</v>
      </c>
      <c r="K19" s="25">
        <f ca="1" t="shared" si="0"/>
        <v>2.04436332436332</v>
      </c>
      <c r="L19" s="1">
        <f ca="1" t="shared" si="0"/>
        <v>18487</v>
      </c>
      <c r="M19" s="12">
        <f ca="1" t="shared" si="0"/>
        <v>18487</v>
      </c>
      <c r="N19" s="23">
        <f ca="1" t="shared" si="0"/>
        <v>0.06</v>
      </c>
      <c r="O19" s="23">
        <f ca="1" t="shared" si="0"/>
        <v>0.06</v>
      </c>
      <c r="P19" s="23">
        <f ca="1" t="shared" si="0"/>
        <v>0.02</v>
      </c>
      <c r="Q19" s="23">
        <f ca="1" t="shared" si="0"/>
        <v>0.02</v>
      </c>
      <c r="R19" s="23">
        <f ca="1" t="shared" si="0"/>
        <v>0.15</v>
      </c>
      <c r="S19" s="23">
        <f ca="1" t="shared" si="0"/>
        <v>0.15</v>
      </c>
      <c r="T19" s="25">
        <f ca="1" t="shared" si="0"/>
        <v>0.5</v>
      </c>
      <c r="U19" s="25">
        <f ca="1" t="shared" si="0"/>
        <v>0.494569126038313</v>
      </c>
      <c r="V19" s="1">
        <f ca="1" t="shared" si="0"/>
        <v>32213</v>
      </c>
      <c r="W19" s="1">
        <f ca="1" t="shared" si="0"/>
        <v>0</v>
      </c>
      <c r="X19" s="1">
        <f ca="1" t="shared" si="0"/>
        <v>0</v>
      </c>
      <c r="Y19" s="1">
        <f ca="1" t="shared" si="0"/>
        <v>0.0791624882395013</v>
      </c>
      <c r="Z19" s="1">
        <f ca="1" t="shared" si="0"/>
        <v>0.109718043795057</v>
      </c>
    </row>
    <row r="20" spans="1:26">
      <c r="A20" s="12" t="s">
        <v>91</v>
      </c>
      <c r="B20" s="28">
        <f ca="1">(角色属性!Z19+增益计算!D2+增益计算!D4+增益计算!D5)*(1+增益计算!E2+增益计算!E4+增益计算!E5)+(角色属性!Z18+增益计算!B2+增益计算!B4+增益计算!B5+常更新数据!F3)*(1+增益计算!C2+增益计算!C4+增益计算!C5)*常更新数据!AE3</f>
        <v>124764.75</v>
      </c>
      <c r="C20" s="28">
        <f ca="1">(角色属性!Z19+增益计算!D2+增益计算!D3+增益计算!D4+增益计算!D5)*(1+增益计算!E2+增益计算!E3+增益计算!E4+增益计算!E5)+(角色属性!Z18+增益计算!B2+增益计算!B3+增益计算!B4+增益计算!B5+常更新数据!F3)*(1+增益计算!C2+增益计算!C3+增益计算!C4+增益计算!C5)*常更新数据!AE3</f>
        <v>161190</v>
      </c>
      <c r="D20" s="39">
        <f ca="1">角色属性!Z20+增益计算!G2+增益计算!G4+增益计算!G5+((增益计算!B2+增益计算!B4+增益计算!B5+常更新数据!F3)*(1+增益计算!C2+增益计算!C4+增益计算!C5)*常更新数据!AE6+增益计算!F2+增益计算!F4+增益计算!F5)/常更新数据!AE32</f>
        <v>0.801063463882693</v>
      </c>
      <c r="E20" s="39">
        <f ca="1">角色属性!Z20+增益计算!G2+增益计算!G3+增益计算!G4+增益计算!G5+((增益计算!B2+增益计算!B3+增益计算!B4+增益计算!B5+常更新数据!F3)*(1+增益计算!C2+增益计算!C3+增益计算!C4+增益计算!C5)*常更新数据!AE6+增益计算!F2+增益计算!F3+增益计算!F4+增益计算!F5)/常更新数据!AE32</f>
        <v>0.801063463882693</v>
      </c>
      <c r="F20" s="39">
        <f ca="1" t="shared" ref="F20:Z20" si="1">F5</f>
        <v>2.408740226401</v>
      </c>
      <c r="G20" s="23">
        <f ca="1" t="shared" si="1"/>
        <v>2.408740226401</v>
      </c>
      <c r="H20" s="25">
        <f ca="1" t="shared" si="1"/>
        <v>0.369370182724547</v>
      </c>
      <c r="I20" s="25">
        <f ca="1" t="shared" si="1"/>
        <v>0.41698752332296</v>
      </c>
      <c r="J20" s="25">
        <f ca="1" t="shared" si="1"/>
        <v>2.04436332436332</v>
      </c>
      <c r="K20" s="25">
        <f ca="1" t="shared" si="1"/>
        <v>2.04436332436332</v>
      </c>
      <c r="L20" s="1">
        <f ca="1" t="shared" si="1"/>
        <v>18487</v>
      </c>
      <c r="M20" s="12">
        <f ca="1" t="shared" si="1"/>
        <v>18487</v>
      </c>
      <c r="N20" s="23">
        <f ca="1" t="shared" si="1"/>
        <v>0.06</v>
      </c>
      <c r="O20" s="23">
        <f ca="1" t="shared" si="1"/>
        <v>0.06</v>
      </c>
      <c r="P20" s="23">
        <f ca="1" t="shared" si="1"/>
        <v>0.02</v>
      </c>
      <c r="Q20" s="23">
        <f ca="1" t="shared" si="1"/>
        <v>0.02</v>
      </c>
      <c r="R20" s="23">
        <f ca="1" t="shared" si="1"/>
        <v>0.15</v>
      </c>
      <c r="S20" s="23">
        <f ca="1" t="shared" si="1"/>
        <v>0.15</v>
      </c>
      <c r="T20" s="25">
        <f ca="1" t="shared" si="1"/>
        <v>0.5</v>
      </c>
      <c r="U20" s="25">
        <f ca="1" t="shared" si="1"/>
        <v>0.494569126038313</v>
      </c>
      <c r="V20" s="1">
        <f ca="1" t="shared" si="1"/>
        <v>32213</v>
      </c>
      <c r="W20" s="1">
        <f ca="1" t="shared" si="1"/>
        <v>0</v>
      </c>
      <c r="X20" s="1">
        <f ca="1" t="shared" si="1"/>
        <v>0</v>
      </c>
      <c r="Y20" s="1">
        <f ca="1" t="shared" si="1"/>
        <v>0.0791624882395013</v>
      </c>
      <c r="Z20" s="1">
        <f ca="1" t="shared" si="1"/>
        <v>0.109718043795057</v>
      </c>
    </row>
    <row r="21" spans="1:26">
      <c r="A21" s="12" t="s">
        <v>98</v>
      </c>
      <c r="B21" s="28">
        <f ca="1">B5</f>
        <v>123924.75</v>
      </c>
      <c r="C21" s="28">
        <f ca="1">C5</f>
        <v>160350</v>
      </c>
      <c r="D21" s="39">
        <f ca="1">角色属性!Z20+增益计算!G2+增益计算!G4+增益计算!G5+((增益计算!B2+增益计算!B4+增益计算!B5)*(1+增益计算!C2+增益计算!C4+增益计算!C5)*常更新数据!AE6+增益计算!F2+增益计算!F4+增益计算!F5+常更新数据!F4)/常更新数据!AE32</f>
        <v>0.815120913693773</v>
      </c>
      <c r="E21" s="39">
        <f ca="1">角色属性!Z20+增益计算!G2+增益计算!G3+增益计算!G4+增益计算!G5+((增益计算!B2+增益计算!B3+增益计算!B4+增益计算!B5)*(1+增益计算!C2+增益计算!C3+增益计算!C4+增益计算!C5)*常更新数据!AE6+增益计算!F2+增益计算!F3+增益计算!F4+增益计算!F5+常更新数据!F4)/常更新数据!AE32</f>
        <v>0.815120913693773</v>
      </c>
      <c r="F21" s="39">
        <f ca="1" t="shared" ref="F21:Z21" si="2">F5</f>
        <v>2.408740226401</v>
      </c>
      <c r="G21" s="23">
        <f ca="1" t="shared" si="2"/>
        <v>2.408740226401</v>
      </c>
      <c r="H21" s="25">
        <f ca="1" t="shared" si="2"/>
        <v>0.369370182724547</v>
      </c>
      <c r="I21" s="25">
        <f ca="1" t="shared" si="2"/>
        <v>0.41698752332296</v>
      </c>
      <c r="J21" s="25">
        <f ca="1" t="shared" si="2"/>
        <v>2.04436332436332</v>
      </c>
      <c r="K21" s="25">
        <f ca="1" t="shared" si="2"/>
        <v>2.04436332436332</v>
      </c>
      <c r="L21" s="1">
        <f ca="1" t="shared" si="2"/>
        <v>18487</v>
      </c>
      <c r="M21" s="12">
        <f ca="1" t="shared" si="2"/>
        <v>18487</v>
      </c>
      <c r="N21" s="23">
        <f ca="1" t="shared" si="2"/>
        <v>0.06</v>
      </c>
      <c r="O21" s="23">
        <f ca="1" t="shared" si="2"/>
        <v>0.06</v>
      </c>
      <c r="P21" s="23">
        <f ca="1" t="shared" si="2"/>
        <v>0.02</v>
      </c>
      <c r="Q21" s="23">
        <f ca="1" t="shared" si="2"/>
        <v>0.02</v>
      </c>
      <c r="R21" s="23">
        <f ca="1" t="shared" si="2"/>
        <v>0.15</v>
      </c>
      <c r="S21" s="23">
        <f ca="1" t="shared" si="2"/>
        <v>0.15</v>
      </c>
      <c r="T21" s="25">
        <f ca="1" t="shared" si="2"/>
        <v>0.5</v>
      </c>
      <c r="U21" s="25">
        <f ca="1" t="shared" si="2"/>
        <v>0.494569126038313</v>
      </c>
      <c r="V21" s="1">
        <f ca="1" t="shared" si="2"/>
        <v>32213</v>
      </c>
      <c r="W21" s="1">
        <f ca="1" t="shared" si="2"/>
        <v>0</v>
      </c>
      <c r="X21" s="1">
        <f ca="1" t="shared" si="2"/>
        <v>0</v>
      </c>
      <c r="Y21" s="1">
        <f ca="1" t="shared" si="2"/>
        <v>0.0791624882395013</v>
      </c>
      <c r="Z21" s="1">
        <f ca="1" t="shared" si="2"/>
        <v>0.109718043795057</v>
      </c>
    </row>
    <row r="22" spans="1:26">
      <c r="A22" s="12" t="s">
        <v>42</v>
      </c>
      <c r="B22" s="28">
        <f ca="1">B5</f>
        <v>123924.75</v>
      </c>
      <c r="C22" s="28">
        <f ca="1">C5</f>
        <v>160350</v>
      </c>
      <c r="D22" s="39">
        <f ca="1">D5</f>
        <v>0.798535429406736</v>
      </c>
      <c r="E22" s="39">
        <f ca="1">E5</f>
        <v>0.798535429406736</v>
      </c>
      <c r="F22" s="39">
        <f ca="1">角色属性!Z21+增益计算!I2+增益计算!I4+增益计算!I5+(增益计算!H2+增益计算!H4+增益计算!H5+常更新数据!F5)/常更新数据!AE34</f>
        <v>2.45375410533714</v>
      </c>
      <c r="G22" s="23">
        <f ca="1">角色属性!Z21+增益计算!I2+增益计算!I3+增益计算!I4+增益计算!I5+(增益计算!H2+增益计算!H3+增益计算!H4+增益计算!H5+常更新数据!F5)/常更新数据!AE34</f>
        <v>2.45375410533714</v>
      </c>
      <c r="H22" s="25">
        <f ca="1" t="shared" ref="H22:Z22" si="3">H5</f>
        <v>0.369370182724547</v>
      </c>
      <c r="I22" s="25">
        <f ca="1" t="shared" si="3"/>
        <v>0.41698752332296</v>
      </c>
      <c r="J22" s="25">
        <f ca="1" t="shared" si="3"/>
        <v>2.04436332436332</v>
      </c>
      <c r="K22" s="25">
        <f ca="1" t="shared" si="3"/>
        <v>2.04436332436332</v>
      </c>
      <c r="L22" s="1">
        <f ca="1" t="shared" si="3"/>
        <v>18487</v>
      </c>
      <c r="M22" s="12">
        <f ca="1" t="shared" si="3"/>
        <v>18487</v>
      </c>
      <c r="N22" s="23">
        <f ca="1" t="shared" si="3"/>
        <v>0.06</v>
      </c>
      <c r="O22" s="23">
        <f ca="1" t="shared" si="3"/>
        <v>0.06</v>
      </c>
      <c r="P22" s="23">
        <f ca="1" t="shared" si="3"/>
        <v>0.02</v>
      </c>
      <c r="Q22" s="23">
        <f ca="1" t="shared" si="3"/>
        <v>0.02</v>
      </c>
      <c r="R22" s="23">
        <f ca="1" t="shared" si="3"/>
        <v>0.15</v>
      </c>
      <c r="S22" s="23">
        <f ca="1" t="shared" si="3"/>
        <v>0.15</v>
      </c>
      <c r="T22" s="25">
        <f ca="1" t="shared" si="3"/>
        <v>0.5</v>
      </c>
      <c r="U22" s="25">
        <f ca="1" t="shared" si="3"/>
        <v>0.494569126038313</v>
      </c>
      <c r="V22" s="1">
        <f ca="1" t="shared" si="3"/>
        <v>32213</v>
      </c>
      <c r="W22" s="1">
        <f ca="1" t="shared" si="3"/>
        <v>0</v>
      </c>
      <c r="X22" s="1">
        <f ca="1" t="shared" si="3"/>
        <v>0</v>
      </c>
      <c r="Y22" s="1">
        <f ca="1" t="shared" si="3"/>
        <v>0.0791624882395013</v>
      </c>
      <c r="Z22" s="1">
        <f ca="1" t="shared" si="3"/>
        <v>0.109718043795057</v>
      </c>
    </row>
    <row r="23" spans="1:26">
      <c r="A23" s="12" t="s">
        <v>32</v>
      </c>
      <c r="B23" s="28">
        <f ca="1" t="shared" ref="B23:G23" si="4">B5</f>
        <v>123924.75</v>
      </c>
      <c r="C23" s="28">
        <f ca="1" t="shared" si="4"/>
        <v>160350</v>
      </c>
      <c r="D23" s="39">
        <f ca="1" t="shared" si="4"/>
        <v>0.798535429406736</v>
      </c>
      <c r="E23" s="39">
        <f ca="1" t="shared" si="4"/>
        <v>0.798535429406736</v>
      </c>
      <c r="F23" s="39">
        <f ca="1" t="shared" si="4"/>
        <v>2.408740226401</v>
      </c>
      <c r="G23" s="23">
        <f ca="1" t="shared" si="4"/>
        <v>2.408740226401</v>
      </c>
      <c r="H23" s="25">
        <f ca="1">(角色属性!Z23+(增益计算!K2+增益计算!K4+增益计算!K5+常更新数据!F6)/常更新数据!AE33)*(1+增益计算!L2+增益计算!L4+增益计算!L5)</f>
        <v>0.383881754807097</v>
      </c>
      <c r="I23" s="25">
        <f ca="1">(角色属性!Z23+(增益计算!K2+增益计算!K3+增益计算!K4+增益计算!K5+常更新数据!F6)/常更新数据!AE33)*(1+增益计算!L2+增益计算!L3+增益计算!L4+增益计算!L5)</f>
        <v>0.43149909540551</v>
      </c>
      <c r="J23" s="25">
        <f ca="1" t="shared" ref="J23:Z23" si="5">J5</f>
        <v>2.04436332436332</v>
      </c>
      <c r="K23" s="25">
        <f ca="1" t="shared" si="5"/>
        <v>2.04436332436332</v>
      </c>
      <c r="L23" s="1">
        <f ca="1" t="shared" si="5"/>
        <v>18487</v>
      </c>
      <c r="M23" s="12">
        <f ca="1" t="shared" si="5"/>
        <v>18487</v>
      </c>
      <c r="N23" s="23">
        <f ca="1" t="shared" si="5"/>
        <v>0.06</v>
      </c>
      <c r="O23" s="23">
        <f ca="1" t="shared" si="5"/>
        <v>0.06</v>
      </c>
      <c r="P23" s="23">
        <f ca="1" t="shared" si="5"/>
        <v>0.02</v>
      </c>
      <c r="Q23" s="23">
        <f ca="1" t="shared" si="5"/>
        <v>0.02</v>
      </c>
      <c r="R23" s="23">
        <f ca="1" t="shared" si="5"/>
        <v>0.15</v>
      </c>
      <c r="S23" s="23">
        <f ca="1" t="shared" si="5"/>
        <v>0.15</v>
      </c>
      <c r="T23" s="25">
        <f ca="1" t="shared" si="5"/>
        <v>0.5</v>
      </c>
      <c r="U23" s="25">
        <f ca="1" t="shared" si="5"/>
        <v>0.494569126038313</v>
      </c>
      <c r="V23" s="1">
        <f ca="1" t="shared" si="5"/>
        <v>32213</v>
      </c>
      <c r="W23" s="1">
        <f ca="1" t="shared" si="5"/>
        <v>0</v>
      </c>
      <c r="X23" s="1">
        <f ca="1" t="shared" si="5"/>
        <v>0</v>
      </c>
      <c r="Y23" s="1">
        <f ca="1" t="shared" si="5"/>
        <v>0.0791624882395013</v>
      </c>
      <c r="Z23" s="1">
        <f ca="1" t="shared" si="5"/>
        <v>0.109718043795057</v>
      </c>
    </row>
    <row r="24" spans="1:26">
      <c r="A24" s="12" t="s">
        <v>37</v>
      </c>
      <c r="B24" s="28">
        <f ca="1" t="shared" ref="B24:I24" si="6">B5</f>
        <v>123924.75</v>
      </c>
      <c r="C24" s="28">
        <f ca="1" t="shared" si="6"/>
        <v>160350</v>
      </c>
      <c r="D24" s="39">
        <f ca="1" t="shared" si="6"/>
        <v>0.798535429406736</v>
      </c>
      <c r="E24" s="39">
        <f ca="1" t="shared" si="6"/>
        <v>0.798535429406736</v>
      </c>
      <c r="F24" s="39">
        <f ca="1" t="shared" si="6"/>
        <v>2.408740226401</v>
      </c>
      <c r="G24" s="23">
        <f ca="1" t="shared" si="6"/>
        <v>2.408740226401</v>
      </c>
      <c r="H24" s="25">
        <f ca="1" t="shared" si="6"/>
        <v>0.369370182724547</v>
      </c>
      <c r="I24" s="25">
        <f ca="1" t="shared" si="6"/>
        <v>0.41698752332296</v>
      </c>
      <c r="J24" s="25">
        <f ca="1">增益计算!N2+增益计算!N4+增益计算!N5+(角色属性!Z24+(增益计算!M2+增益计算!M4+增益计算!M5+常更新数据!F7)/常更新数据!AE35)*(1+增益计算!O2+增益计算!O4+增益计算!O5)</f>
        <v>2.07633360633361</v>
      </c>
      <c r="K24" s="25">
        <f ca="1">增益计算!N2+增益计算!N3+增益计算!N4+增益计算!N5+(角色属性!Z24+(增益计算!M2+增益计算!M3+增益计算!M4+增益计算!M5+常更新数据!F7)/常更新数据!AE35)*(1+增益计算!O2+增益计算!O3+增益计算!O4+增益计算!O5)</f>
        <v>2.07633360633361</v>
      </c>
      <c r="L24" s="1">
        <f ca="1" t="shared" ref="L24:Z24" si="7">L5</f>
        <v>18487</v>
      </c>
      <c r="M24" s="12">
        <f ca="1" t="shared" si="7"/>
        <v>18487</v>
      </c>
      <c r="N24" s="23">
        <f ca="1" t="shared" si="7"/>
        <v>0.06</v>
      </c>
      <c r="O24" s="23">
        <f ca="1" t="shared" si="7"/>
        <v>0.06</v>
      </c>
      <c r="P24" s="23">
        <f ca="1" t="shared" si="7"/>
        <v>0.02</v>
      </c>
      <c r="Q24" s="23">
        <f ca="1" t="shared" si="7"/>
        <v>0.02</v>
      </c>
      <c r="R24" s="23">
        <f ca="1" t="shared" si="7"/>
        <v>0.15</v>
      </c>
      <c r="S24" s="23">
        <f ca="1" t="shared" si="7"/>
        <v>0.15</v>
      </c>
      <c r="T24" s="25">
        <f ca="1" t="shared" si="7"/>
        <v>0.5</v>
      </c>
      <c r="U24" s="25">
        <f ca="1" t="shared" si="7"/>
        <v>0.494569126038313</v>
      </c>
      <c r="V24" s="1">
        <f ca="1" t="shared" si="7"/>
        <v>32213</v>
      </c>
      <c r="W24" s="1">
        <f ca="1" t="shared" si="7"/>
        <v>0</v>
      </c>
      <c r="X24" s="1">
        <f ca="1" t="shared" si="7"/>
        <v>0</v>
      </c>
      <c r="Y24" s="1">
        <f ca="1" t="shared" si="7"/>
        <v>0.0791624882395013</v>
      </c>
      <c r="Z24" s="1">
        <f ca="1" t="shared" si="7"/>
        <v>0.109718043795057</v>
      </c>
    </row>
    <row r="25" spans="1:26">
      <c r="A25" s="12" t="s">
        <v>110</v>
      </c>
      <c r="B25" s="28">
        <f ca="1" t="shared" ref="B25:K25" si="8">B5</f>
        <v>123924.75</v>
      </c>
      <c r="C25" s="28">
        <f ca="1" t="shared" si="8"/>
        <v>160350</v>
      </c>
      <c r="D25" s="39">
        <f ca="1" t="shared" si="8"/>
        <v>0.798535429406736</v>
      </c>
      <c r="E25" s="39">
        <f ca="1" t="shared" si="8"/>
        <v>0.798535429406736</v>
      </c>
      <c r="F25" s="39">
        <f ca="1" t="shared" si="8"/>
        <v>2.408740226401</v>
      </c>
      <c r="G25" s="23">
        <f ca="1" t="shared" si="8"/>
        <v>2.408740226401</v>
      </c>
      <c r="H25" s="25">
        <f ca="1" t="shared" si="8"/>
        <v>0.369370182724547</v>
      </c>
      <c r="I25" s="25">
        <f ca="1" t="shared" si="8"/>
        <v>0.41698752332296</v>
      </c>
      <c r="J25" s="25">
        <f ca="1" t="shared" si="8"/>
        <v>2.04436332436332</v>
      </c>
      <c r="K25" s="25">
        <f ca="1" t="shared" si="8"/>
        <v>2.04436332436332</v>
      </c>
      <c r="L25" s="1">
        <f ca="1">(角色属性!Z25+增益计算!P2+增益计算!P4+增益计算!P5+常更新数据!F8)*(1+增益计算!Q2+增益计算!Q4+增益计算!Q5)</f>
        <v>21766</v>
      </c>
      <c r="M25" s="12">
        <f ca="1">(角色属性!Z25+增益计算!P2+增益计算!P3+增益计算!P4+增益计算!P5+常更新数据!F8)*(1+增益计算!Q2+增益计算!Q3+增益计算!Q4+增益计算!Q5)</f>
        <v>21766</v>
      </c>
      <c r="N25" s="23">
        <f ca="1" t="shared" ref="N25:Z25" si="9">N5</f>
        <v>0.06</v>
      </c>
      <c r="O25" s="23">
        <f ca="1" t="shared" si="9"/>
        <v>0.06</v>
      </c>
      <c r="P25" s="23">
        <f ca="1" t="shared" si="9"/>
        <v>0.02</v>
      </c>
      <c r="Q25" s="23">
        <f ca="1" t="shared" si="9"/>
        <v>0.02</v>
      </c>
      <c r="R25" s="23">
        <f ca="1" t="shared" si="9"/>
        <v>0.15</v>
      </c>
      <c r="S25" s="23">
        <f ca="1" t="shared" si="9"/>
        <v>0.15</v>
      </c>
      <c r="T25" s="25">
        <f ca="1" t="shared" si="9"/>
        <v>0.5</v>
      </c>
      <c r="U25" s="25">
        <f ca="1" t="shared" si="9"/>
        <v>0.494569126038313</v>
      </c>
      <c r="V25" s="1">
        <f ca="1" t="shared" si="9"/>
        <v>32213</v>
      </c>
      <c r="W25" s="1">
        <f ca="1" t="shared" si="9"/>
        <v>0</v>
      </c>
      <c r="X25" s="1">
        <f ca="1" t="shared" si="9"/>
        <v>0</v>
      </c>
      <c r="Y25" s="1">
        <f ca="1" t="shared" si="9"/>
        <v>0.0791624882395013</v>
      </c>
      <c r="Z25" s="1">
        <f ca="1" t="shared" si="9"/>
        <v>0.109718043795057</v>
      </c>
    </row>
    <row r="28" spans="1:26">
      <c r="A28" s="28"/>
    </row>
    <row r="29" spans="1:26">
      <c r="A29" s="12"/>
    </row>
    <row r="44" spans="1:1">
      <c r="A44" s="33"/>
    </row>
    <row r="45" spans="1:1">
      <c r="A45" s="12"/>
    </row>
    <row r="46" spans="1:1">
      <c r="A46" s="12"/>
    </row>
    <row r="47" spans="1:1">
      <c r="A47" s="12"/>
    </row>
    <row r="48" spans="1:1">
      <c r="A48" s="12"/>
    </row>
    <row r="49" spans="1:1">
      <c r="A49" s="12"/>
    </row>
    <row r="50" spans="1:1">
      <c r="A50" s="12"/>
    </row>
  </sheetData>
  <pageMargins left="0.75" right="0.75" top="1" bottom="1" header="0.5" footer="0.5"/>
  <headerFooter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1:AI59"/>
  <sheetViews>
    <sheetView workbookViewId="0">
      <selection activeCell="I21" sqref="I21"/>
    </sheetView>
  </sheetViews>
  <sheetFormatPr defaultColWidth="9" defaultRowHeight="14.25"/>
  <cols>
    <col min="1" max="1" width="9" style="1"/>
    <col min="2" max="2" width="13.125" style="1" customWidth="1"/>
    <col min="3" max="3" width="12.875" style="1"/>
    <col min="4" max="4" width="9" style="1"/>
    <col min="5" max="5" width="12.5" style="1" customWidth="1"/>
    <col min="6" max="6" width="11.125" style="1"/>
    <col min="7" max="8" width="9" style="1"/>
    <col min="9" max="9" width="9" style="23"/>
    <col min="10" max="11" width="9" style="1"/>
    <col min="12" max="13" width="9" style="23"/>
    <col min="14" max="14" width="9" style="1"/>
    <col min="15" max="28" width="11.125" style="1"/>
    <col min="29" max="29" width="12" style="1"/>
    <col min="30" max="35" width="11.125" style="1"/>
    <col min="36" max="16384" width="9" style="1"/>
  </cols>
  <sheetData>
    <row r="1" spans="2:35">
      <c r="B1" s="1" t="s">
        <v>936</v>
      </c>
      <c r="C1" s="1" t="s">
        <v>1099</v>
      </c>
      <c r="E1" s="1" t="s">
        <v>1100</v>
      </c>
      <c r="H1" s="1" t="s">
        <v>193</v>
      </c>
      <c r="K1" s="1" t="s">
        <v>160</v>
      </c>
      <c r="N1" s="1" t="s">
        <v>1101</v>
      </c>
      <c r="O1" s="1" t="s">
        <v>1102</v>
      </c>
      <c r="P1" s="1" t="s">
        <v>1097</v>
      </c>
      <c r="Q1" s="1" t="s">
        <v>2</v>
      </c>
      <c r="R1" s="1" t="s">
        <v>885</v>
      </c>
      <c r="S1" s="1" t="s">
        <v>886</v>
      </c>
      <c r="T1" s="1" t="s">
        <v>887</v>
      </c>
      <c r="U1" s="1" t="s">
        <v>888</v>
      </c>
      <c r="V1" s="1" t="s">
        <v>889</v>
      </c>
      <c r="W1" s="1" t="s">
        <v>890</v>
      </c>
      <c r="X1" s="1" t="s">
        <v>891</v>
      </c>
      <c r="Y1" s="1" t="s">
        <v>892</v>
      </c>
      <c r="Z1" s="1" t="s">
        <v>894</v>
      </c>
      <c r="AA1" s="1" t="s">
        <v>921</v>
      </c>
      <c r="AB1" s="1" t="s">
        <v>922</v>
      </c>
      <c r="AC1" s="33" t="s">
        <v>47</v>
      </c>
      <c r="AD1" s="12" t="s">
        <v>91</v>
      </c>
      <c r="AE1" s="12" t="s">
        <v>98</v>
      </c>
      <c r="AF1" s="12" t="s">
        <v>42</v>
      </c>
      <c r="AG1" s="12" t="s">
        <v>32</v>
      </c>
      <c r="AH1" s="12" t="s">
        <v>37</v>
      </c>
      <c r="AI1" s="12" t="s">
        <v>110</v>
      </c>
    </row>
    <row r="2" spans="2:35">
      <c r="B2" s="12" t="str">
        <f>技能数据!A32</f>
        <v>破•钗燕</v>
      </c>
      <c r="C2" s="1" cm="1">
        <f ca="1" t="array" ref="C2">_xlfn.XLOOKUP(B2,_xlfn.ANCHORARRAY(伤害计算!$A$11),_xlfn.ANCHORARRAY(伤害计算!$AK$11),0)</f>
        <v>0.0165070708190326</v>
      </c>
      <c r="E2" s="1" t="str" cm="1">
        <f ca="1" t="array" ref="E2:F18">_xlfn._xlws.FILTER(_xlfn._xlws.SORT(伤害占比表[],2,-1,FALSE),INDEX(_xlfn._xlws.SORT(伤害占比表[],2,-1,FALSE),0,2)&gt;0)</f>
        <v>玳弦急曲</v>
      </c>
      <c r="F2" s="1">
        <v>0.319045396491468</v>
      </c>
      <c r="G2" s="26"/>
      <c r="H2" s="1" t="s">
        <v>1103</v>
      </c>
      <c r="K2" s="1" t="str" cm="1">
        <f ca="1" t="array" ref="K2:L8">_xlfn._xlws.SORT(TRANSPOSE(AC1:AI2),2,-1,FALSE)</f>
        <v>会效</v>
      </c>
      <c r="L2" s="23">
        <v>0.0163508883822641</v>
      </c>
      <c r="N2" s="1" t="s">
        <v>1104</v>
      </c>
      <c r="Q2" s="1">
        <f ca="1" t="shared" ref="Q2:X2" si="0">Q3/$P$3-1</f>
        <v>0.134323756488608</v>
      </c>
      <c r="R2" s="1">
        <f ca="1" t="shared" si="0"/>
        <v>0.110788310898524</v>
      </c>
      <c r="S2" s="1">
        <f ca="1" t="shared" si="0"/>
        <v>0.0649468078950262</v>
      </c>
      <c r="T2" s="1">
        <f ca="1" t="shared" si="0"/>
        <v>0.117959904619415</v>
      </c>
      <c r="U2" s="1">
        <f ca="1" t="shared" si="0"/>
        <v>0.139386552906419</v>
      </c>
      <c r="V2" s="1">
        <f ca="1" t="shared" si="0"/>
        <v>0.109376414992736</v>
      </c>
      <c r="W2" s="1">
        <f ca="1" t="shared" si="0"/>
        <v>0.114622713878719</v>
      </c>
      <c r="X2" s="1">
        <f ca="1" t="shared" si="0"/>
        <v>0.0996546299806678</v>
      </c>
      <c r="Y2" s="1">
        <f ca="1">IF(全局设置!H2,Y3/$P$3-1,0)</f>
        <v>0.106866326710263</v>
      </c>
      <c r="Z2" s="1">
        <f ca="1">Z3/$P$3-1</f>
        <v>0.073787067087296</v>
      </c>
      <c r="AA2" s="1">
        <f ca="1">AA3/$P$3-1</f>
        <v>0.110425279632527</v>
      </c>
      <c r="AB2" s="1">
        <f ca="1">AB3/$P$3-1</f>
        <v>0.0937944677658116</v>
      </c>
      <c r="AC2" s="1">
        <f ca="1" t="shared" ref="AC2:AI2" si="1">AC3/$O$3-1</f>
        <v>0.0087235344470693</v>
      </c>
      <c r="AD2" s="1">
        <f ca="1" t="shared" si="1"/>
        <v>0.0070628764557894</v>
      </c>
      <c r="AE2" s="1">
        <f ca="1" t="shared" si="1"/>
        <v>0.0105254307271394</v>
      </c>
      <c r="AF2" s="1">
        <f ca="1" t="shared" si="1"/>
        <v>0.0163508883822641</v>
      </c>
      <c r="AG2" s="1">
        <f ca="1" t="shared" si="1"/>
        <v>0.0100218562922174</v>
      </c>
      <c r="AH2" s="1">
        <f ca="1" t="shared" si="1"/>
        <v>0.0101044883096364</v>
      </c>
      <c r="AI2" s="1">
        <f ca="1" t="shared" si="1"/>
        <v>0.00894339064997496</v>
      </c>
    </row>
    <row r="3" spans="2:35">
      <c r="B3" s="12" t="s">
        <v>82</v>
      </c>
      <c r="C3" s="1" cm="1">
        <f ca="1" t="array" ref="C3">_xlfn.XLOOKUP(B3,_xlfn.ANCHORARRAY(伤害计算!$A$11),_xlfn.ANCHORARRAY(伤害计算!$AK$11),0)</f>
        <v>0.0754278003062493</v>
      </c>
      <c r="E3" s="1" t="str">
        <v>急曲（DOT）</v>
      </c>
      <c r="F3" s="1">
        <v>0.153842080755086</v>
      </c>
      <c r="G3" s="26"/>
      <c r="H3" s="1" t="str" cm="1">
        <f ca="1" t="array" ref="H3:I14">_xlfn._xlws.SORT(TRANSPOSE(Q1:AB2),2,-1,FALSE)</f>
        <v>田螺阵</v>
      </c>
      <c r="I3" s="23">
        <v>0.139386552906419</v>
      </c>
      <c r="K3" s="1" t="str">
        <v>会心</v>
      </c>
      <c r="L3" s="23">
        <v>0.0105254307271394</v>
      </c>
      <c r="N3" s="1" t="s">
        <v>1105</v>
      </c>
      <c r="O3" s="1">
        <f ca="1">伤害计算!AM3</f>
        <v>11713430.3166304</v>
      </c>
      <c r="P3" s="1">
        <f ca="1">SUM(_xlfn.ANCHORARRAY(P4))+伤害计算!$AL$3</f>
        <v>10326355.4603584</v>
      </c>
      <c r="Q3" s="1">
        <f ca="1">SUM(_xlfn.ANCHORARRAY(Q4))+伤害计算!$AL$3</f>
        <v>11713430.3166304</v>
      </c>
      <c r="R3" s="1">
        <f ca="1">SUM(_xlfn.ANCHORARRAY(R4))+伤害计算!$AL$3</f>
        <v>11470394.9395493</v>
      </c>
      <c r="S3" s="1">
        <f ca="1">SUM(_xlfn.ANCHORARRAY(S4))+伤害计算!$AL$3</f>
        <v>10997019.2846981</v>
      </c>
      <c r="T3" s="1">
        <f ca="1">SUM(_xlfn.ANCHORARRAY(T4))+伤害计算!$AL$3</f>
        <v>11544451.3655285</v>
      </c>
      <c r="U3" s="1">
        <f ca="1">SUM(_xlfn.ANCHORARRAY(U4))+伤害计算!$AL$3</f>
        <v>11765710.5520642</v>
      </c>
      <c r="V3" s="1">
        <f ca="1">SUM(_xlfn.ANCHORARRAY(V4))+伤害计算!$AL$3</f>
        <v>11455815.2005531</v>
      </c>
      <c r="W3" s="1">
        <f ca="1">SUM(_xlfn.ANCHORARRAY(W4))+伤害计算!$AL$3</f>
        <v>11509990.347701</v>
      </c>
      <c r="X3" s="1">
        <f ca="1">SUM(_xlfn.ANCHORARRAY(X4))+伤害计算!$AL$3</f>
        <v>11355424.5928093</v>
      </c>
      <c r="Y3" s="1">
        <f ca="1">SUM(_xlfn.ANCHORARRAY(Y4))+伤害计算!$AL$3</f>
        <v>11429895.1367114</v>
      </c>
      <c r="Z3" s="1">
        <f ca="1">SUM(_xlfn.ANCHORARRAY(Z4))+伤害计算!$AL$3</f>
        <v>11088306.9434792</v>
      </c>
      <c r="AA3" s="1">
        <f ca="1">SUM(_xlfn.ANCHORARRAY(AA4))+伤害计算!$AL$3</f>
        <v>11466646.1496534</v>
      </c>
      <c r="AB3" s="1">
        <f ca="1">SUM(_xlfn.ANCHORARRAY(AB4))+伤害计算!$AL$3</f>
        <v>11294910.4747233</v>
      </c>
      <c r="AC3" s="1">
        <f ca="1">SUM(_xlfn.ANCHORARRAY(AC4))+伤害计算!$AL$3</f>
        <v>11815612.8294909</v>
      </c>
      <c r="AD3" s="1">
        <f ca="1">SUM(_xlfn.ANCHORARRAY(AD4))+伤害计算!$AL$3</f>
        <v>11796160.8278303</v>
      </c>
      <c r="AE3" s="1">
        <f ca="1">SUM(_xlfn.ANCHORARRAY(AE4))+伤害计算!$AL$3</f>
        <v>11836719.2160053</v>
      </c>
      <c r="AF3" s="1">
        <f ca="1">SUM(_xlfn.ANCHORARRAY(AF4))+伤害计算!$AL$3</f>
        <v>11904955.3083111</v>
      </c>
      <c r="AG3" s="1">
        <f ca="1">SUM(_xlfn.ANCHORARRAY(AG4))+伤害计算!$AL$3</f>
        <v>11830820.6319526</v>
      </c>
      <c r="AH3" s="1">
        <f ca="1">SUM(_xlfn.ANCHORARRAY(AH4))+伤害计算!$AL$3</f>
        <v>11831788.5363305</v>
      </c>
      <c r="AI3" s="1">
        <f ca="1">SUM(_xlfn.ANCHORARRAY(AI4))+伤害计算!$AL$3</f>
        <v>11818188.0998033</v>
      </c>
    </row>
    <row r="4" spans="2:35">
      <c r="B4" s="12" t="s">
        <v>137</v>
      </c>
      <c r="C4" s="1" cm="1">
        <f ca="1" t="array" ref="C4">_xlfn.XLOOKUP(B4,_xlfn.ANCHORARRAY(伤害计算!$A$11),_xlfn.ANCHORARRAY(伤害计算!$AK$11),0)+C56</f>
        <v>0</v>
      </c>
      <c r="E4" s="1" t="str">
        <v>剑破虚空</v>
      </c>
      <c r="F4" s="1">
        <v>0.100366998454193</v>
      </c>
      <c r="G4" s="26"/>
      <c r="H4" s="1" t="str">
        <v>万灵阵</v>
      </c>
      <c r="I4" s="23">
        <v>0.134323756488608</v>
      </c>
      <c r="K4" s="1" t="str">
        <v>无双</v>
      </c>
      <c r="L4" s="23">
        <v>0.0101044883096364</v>
      </c>
      <c r="N4" s="1" t="str" cm="1">
        <f t="array" ref="N4:N27">计算技能</f>
        <v>剑破虚空</v>
      </c>
      <c r="O4" s="1" cm="1">
        <f ca="1" t="array" ref="O4:O27">_xlfn.ANCHORARRAY(伤害计算!AJ11)</f>
        <v>1175641.84248254</v>
      </c>
      <c r="P4" s="1" cm="1">
        <f ca="1" t="array" ref="P4:P27">计算秒伤(计算技能,P1)</f>
        <v>1021443.1814877</v>
      </c>
      <c r="Q4" s="1" cm="1">
        <f ca="1" t="array" ref="Q4:Q27">计算秒伤(计算技能,Q1)</f>
        <v>1175641.84248254</v>
      </c>
      <c r="R4" s="1" cm="1">
        <f ca="1" t="array" ref="R4:R27">计算秒伤(计算技能,R1)</f>
        <v>1142367.26386453</v>
      </c>
      <c r="S4" s="1" cm="1">
        <f ca="1" t="array" ref="S4:S27">计算秒伤(计算技能,S1)</f>
        <v>1092793.40816644</v>
      </c>
      <c r="T4" s="1" cm="1">
        <f ca="1" t="array" ref="T4:T27">计算秒伤(计算技能,T1)</f>
        <v>1147404.39906036</v>
      </c>
      <c r="U4" s="1" cm="1">
        <f ca="1" t="array" ref="U4:U27">计算秒伤(计算技能,U1)</f>
        <v>1173063.85994786</v>
      </c>
      <c r="V4" s="1" cm="1">
        <f ca="1" t="array" ref="V4:V27">计算秒伤(计算技能,V1)</f>
        <v>1139928.13349743</v>
      </c>
      <c r="W4" s="1" cm="1">
        <f ca="1" t="array" ref="W4:W27">计算秒伤(计算技能,W1)</f>
        <v>1149723.48150578</v>
      </c>
      <c r="X4" s="1" cm="1">
        <f ca="1" t="array" ref="X4:X27">计算秒伤(计算技能,X1)</f>
        <v>1130374.70574187</v>
      </c>
      <c r="Y4" s="1" cm="1">
        <f ca="1" t="array" ref="Y4:Y27">计算秒伤(计算技能,Y1)</f>
        <v>1137428.41876285</v>
      </c>
      <c r="Z4" s="1" cm="1">
        <f ca="1" t="array" ref="Z4:Z27">计算秒伤(计算技能,Z1)</f>
        <v>1107977.85698405</v>
      </c>
      <c r="AA4" s="1" cm="1">
        <f ca="1" t="array" ref="AA4:AA27">计算秒伤(计算技能,AA1)</f>
        <v>1140525.94632236</v>
      </c>
      <c r="AB4" s="1" cm="1">
        <f ca="1" t="array" ref="AB4:AB27">计算秒伤(计算技能,AB1)</f>
        <v>1123509.78183689</v>
      </c>
      <c r="AC4" s="1" cm="1">
        <f ca="1" t="array" ref="AC4:AC27">计算秒伤(计算技能,AC1)</f>
        <v>1186862.54106256</v>
      </c>
      <c r="AD4" s="1" cm="1">
        <f ca="1" t="array" ref="AD4:AD27">计算秒伤(计算技能,AD1)</f>
        <v>1184687.8788304</v>
      </c>
      <c r="AE4" s="1" cm="1">
        <f ca="1" t="array" ref="AE4:AE27">计算秒伤(计算技能,AE1)</f>
        <v>1188153.85514986</v>
      </c>
      <c r="AF4" s="1" cm="1">
        <f ca="1" t="array" ref="AF4:AF27">计算秒伤(计算技能,AF1)</f>
        <v>1196096.13776214</v>
      </c>
      <c r="AG4" s="1" cm="1">
        <f ca="1" t="array" ref="AG4:AG27">计算秒伤(计算技能,AG1)</f>
        <v>1187906.14182534</v>
      </c>
      <c r="AH4" s="1" cm="1">
        <f ca="1" t="array" ref="AH4:AH27">计算秒伤(计算技能,AH1)</f>
        <v>1187987.80687497</v>
      </c>
      <c r="AI4" s="1" cm="1">
        <f ca="1" t="array" ref="AI4:AI27">计算秒伤(计算技能,AI1)</f>
        <v>1175641.84248254</v>
      </c>
    </row>
    <row r="5" spans="2:35">
      <c r="B5" s="12" t="s">
        <v>977</v>
      </c>
      <c r="C5" s="1" cm="1">
        <f ca="1" t="array" ref="C5">_xlfn.XLOOKUP(B5,_xlfn.ANCHORARRAY(伤害计算!$A$11),_xlfn.ANCHORARRAY(伤害计算!$AK$11),0)</f>
        <v>0.00535611134550201</v>
      </c>
      <c r="E5" s="1" t="str">
        <v>化冰</v>
      </c>
      <c r="F5" s="1">
        <v>0.0754278003062493</v>
      </c>
      <c r="G5" s="26"/>
      <c r="H5" s="1" t="str">
        <v>气纯阵</v>
      </c>
      <c r="I5" s="23">
        <v>0.117959904619415</v>
      </c>
      <c r="K5" s="1" t="str">
        <v>破防</v>
      </c>
      <c r="L5" s="23">
        <v>0.0100218562922174</v>
      </c>
      <c r="N5" s="1" t="str">
        <v>玳弦2</v>
      </c>
      <c r="O5" s="1">
        <v>607755.61304469</v>
      </c>
      <c r="P5" s="1">
        <v>534045.54849157</v>
      </c>
      <c r="Q5" s="1">
        <v>607755.61304469</v>
      </c>
      <c r="R5" s="23">
        <v>601999.08918697</v>
      </c>
      <c r="S5" s="26">
        <v>573226.796968281</v>
      </c>
      <c r="T5" s="1">
        <v>599856.468723398</v>
      </c>
      <c r="U5" s="1">
        <v>614920.786204853</v>
      </c>
      <c r="V5" s="1">
        <v>596075.539106256</v>
      </c>
      <c r="W5" s="1">
        <v>606058.428906698</v>
      </c>
      <c r="X5" s="1">
        <v>592273.574750641</v>
      </c>
      <c r="Y5" s="1">
        <v>595695.248943</v>
      </c>
      <c r="Z5" s="1">
        <v>574314.469188489</v>
      </c>
      <c r="AA5" s="1">
        <v>593486.617001674</v>
      </c>
      <c r="AB5" s="1">
        <v>588688.860434386</v>
      </c>
      <c r="AC5" s="1">
        <v>613350.239055155</v>
      </c>
      <c r="AD5" s="1">
        <v>612892.267590018</v>
      </c>
      <c r="AE5" s="1">
        <v>614438.18481755</v>
      </c>
      <c r="AF5" s="1">
        <v>618036.372242353</v>
      </c>
      <c r="AG5" s="1">
        <v>614196.157390211</v>
      </c>
      <c r="AH5" s="1">
        <v>614137.938755477</v>
      </c>
      <c r="AI5" s="1">
        <v>607755.61304469</v>
      </c>
    </row>
    <row r="6" spans="2:35">
      <c r="B6" s="12" t="s">
        <v>83</v>
      </c>
      <c r="C6" s="1" cm="1">
        <f ca="1" t="array" ref="C6">_xlfn.XLOOKUP(B6,_xlfn.ANCHORARRAY(伤害计算!$A$11),_xlfn.ANCHORARRAY(伤害计算!$AK$11),0)</f>
        <v>0.0656114604712815</v>
      </c>
      <c r="E6" s="1" t="str">
        <v>盈袖</v>
      </c>
      <c r="F6" s="1">
        <v>0.0719768093766666</v>
      </c>
      <c r="G6" s="26"/>
      <c r="H6" s="1" t="str">
        <v>和尚阵</v>
      </c>
      <c r="I6" s="23">
        <v>0.114622713878719</v>
      </c>
      <c r="K6" s="1" t="str">
        <v>破招</v>
      </c>
      <c r="L6" s="23">
        <v>0.00894339064997496</v>
      </c>
      <c r="N6" s="1" t="str">
        <v>玳弦3</v>
      </c>
      <c r="O6" s="1">
        <v>785673.04050491</v>
      </c>
      <c r="P6" s="1">
        <v>690384.721828362</v>
      </c>
      <c r="Q6" s="1">
        <v>785673.04050491</v>
      </c>
      <c r="R6" s="23">
        <v>773430.132602079</v>
      </c>
      <c r="S6" s="26">
        <v>738678.075458174</v>
      </c>
      <c r="T6" s="1">
        <v>775461.461042558</v>
      </c>
      <c r="U6" s="1">
        <v>792392.806398661</v>
      </c>
      <c r="V6" s="1">
        <v>770440.79103352</v>
      </c>
      <c r="W6" s="1">
        <v>777260.333612283</v>
      </c>
      <c r="X6" s="1">
        <v>763631.958577032</v>
      </c>
      <c r="Y6" s="1">
        <v>768799.311300506</v>
      </c>
      <c r="Z6" s="1">
        <v>742442.168411704</v>
      </c>
      <c r="AA6" s="1">
        <v>764785.516615052</v>
      </c>
      <c r="AB6" s="1">
        <v>759406.537783735</v>
      </c>
      <c r="AC6" s="1">
        <v>793150.346411711</v>
      </c>
      <c r="AD6" s="1">
        <v>791776.734898726</v>
      </c>
      <c r="AE6" s="1">
        <v>794311.901867082</v>
      </c>
      <c r="AF6" s="1">
        <v>798963.440731839</v>
      </c>
      <c r="AG6" s="1">
        <v>793874.497619421</v>
      </c>
      <c r="AH6" s="1">
        <v>793923.760266371</v>
      </c>
      <c r="AI6" s="1">
        <v>785673.04050491</v>
      </c>
    </row>
    <row r="7" spans="2:35">
      <c r="B7" s="12" t="s">
        <v>147</v>
      </c>
      <c r="C7" s="1" cm="1">
        <f ca="1" t="array" ref="C7">_xlfn.XLOOKUP(B7,_xlfn.ANCHORARRAY(伤害计算!$A$11),_xlfn.ANCHORARRAY(伤害计算!$AK$11),0)</f>
        <v>0.053854051720725</v>
      </c>
      <c r="E7" s="1" t="str">
        <v>钗燕</v>
      </c>
      <c r="F7" s="1">
        <v>0.0656114604712815</v>
      </c>
      <c r="G7" s="26"/>
      <c r="H7" s="1" t="str">
        <v>莫问阵</v>
      </c>
      <c r="I7" s="23">
        <v>0.110788310898524</v>
      </c>
      <c r="K7" s="1" t="str">
        <v>攻击</v>
      </c>
      <c r="L7" s="23">
        <v>0.0087235344470693</v>
      </c>
      <c r="N7" s="1" t="str">
        <v>急曲</v>
      </c>
      <c r="O7" s="1">
        <v>1802018.49269013</v>
      </c>
      <c r="P7" s="1">
        <v>1567302.54219854</v>
      </c>
      <c r="Q7" s="1">
        <v>1802018.49269013</v>
      </c>
      <c r="R7" s="23">
        <v>1755590.34026756</v>
      </c>
      <c r="S7" s="26">
        <v>1676819.21612384</v>
      </c>
      <c r="T7" s="1">
        <v>1760442.66456283</v>
      </c>
      <c r="U7" s="1">
        <v>1798753.08762281</v>
      </c>
      <c r="V7" s="1">
        <v>1748925.05613472</v>
      </c>
      <c r="W7" s="1">
        <v>1764174.53059292</v>
      </c>
      <c r="X7" s="1">
        <v>1733465.84465035</v>
      </c>
      <c r="Y7" s="1">
        <v>1745197.05724595</v>
      </c>
      <c r="Z7" s="1">
        <v>1700081.35882954</v>
      </c>
      <c r="AA7" s="1">
        <v>1751755.2385952</v>
      </c>
      <c r="AB7" s="1">
        <v>1723874.63944783</v>
      </c>
      <c r="AC7" s="1">
        <v>1819128.4192562</v>
      </c>
      <c r="AD7" s="1">
        <v>1815990.7187965</v>
      </c>
      <c r="AE7" s="1">
        <v>1821832.57199265</v>
      </c>
      <c r="AF7" s="1">
        <v>1832501.33446969</v>
      </c>
      <c r="AG7" s="1">
        <v>1820829.15193919</v>
      </c>
      <c r="AH7" s="1">
        <v>1820942.33100664</v>
      </c>
      <c r="AI7" s="1">
        <v>1802018.49269013</v>
      </c>
    </row>
    <row r="8" spans="2:35">
      <c r="B8" s="12" t="s">
        <v>965</v>
      </c>
      <c r="C8" s="1" cm="1">
        <f ca="1" t="array" ref="C8">_xlfn.XLOOKUP(B8,_xlfn.ANCHORARRAY(伤害计算!$A$11),_xlfn.ANCHORARRAY(伤害计算!$AK$11),0)</f>
        <v>0.0091114071390006</v>
      </c>
      <c r="E8" s="1" t="str">
        <v>江海凝光</v>
      </c>
      <c r="F8" s="1">
        <v>0.053854051720725</v>
      </c>
      <c r="G8" s="26"/>
      <c r="H8" s="1" t="str">
        <v>段氏阵</v>
      </c>
      <c r="I8" s="23">
        <v>0.110425279632527</v>
      </c>
      <c r="K8" s="1" t="str">
        <v>根骨</v>
      </c>
      <c r="L8" s="23">
        <v>0.0070628764557894</v>
      </c>
      <c r="N8" s="1" t="str">
        <v>化冰</v>
      </c>
      <c r="O8" s="1">
        <v>883518.282823965</v>
      </c>
      <c r="P8" s="1">
        <v>768438.53510165</v>
      </c>
      <c r="Q8" s="1">
        <v>883518.282823965</v>
      </c>
      <c r="R8" s="23">
        <v>860356.900263601</v>
      </c>
      <c r="S8" s="26">
        <v>821938.421812716</v>
      </c>
      <c r="T8" s="1">
        <v>863133.916945912</v>
      </c>
      <c r="U8" s="1">
        <v>881705.986050253</v>
      </c>
      <c r="V8" s="1">
        <v>857564.058843529</v>
      </c>
      <c r="W8" s="1">
        <v>864479.364132722</v>
      </c>
      <c r="X8" s="1">
        <v>849754.934842523</v>
      </c>
      <c r="Y8" s="1">
        <v>855597.162089125</v>
      </c>
      <c r="Z8" s="1">
        <v>833539.15007375</v>
      </c>
      <c r="AA8" s="1">
        <v>858670.345835758</v>
      </c>
      <c r="AB8" s="1">
        <v>845101.280514711</v>
      </c>
      <c r="AC8" s="1">
        <v>891968.741681714</v>
      </c>
      <c r="AD8" s="1">
        <v>890323.834027668</v>
      </c>
      <c r="AE8" s="1">
        <v>893233.000731754</v>
      </c>
      <c r="AF8" s="1">
        <v>898463.827574989</v>
      </c>
      <c r="AG8" s="1">
        <v>892725.831203016</v>
      </c>
      <c r="AH8" s="1">
        <v>892796.521200355</v>
      </c>
      <c r="AI8" s="1">
        <v>883518.282823965</v>
      </c>
    </row>
    <row r="9" spans="2:35">
      <c r="B9" s="1" t="s">
        <v>632</v>
      </c>
      <c r="C9" s="1" cm="1">
        <f ca="1" t="array" ref="C9">_xlfn.XLOOKUP(B9,_xlfn.ANCHORARRAY(伤害计算!$A$11),_xlfn.ANCHORARRAY(伤害计算!$AK$11),0)</f>
        <v>0</v>
      </c>
      <c r="E9" s="1" t="str">
        <v>流芳仙姿•剑破</v>
      </c>
      <c r="F9" s="1">
        <v>0.0449421555671691</v>
      </c>
      <c r="G9" s="26"/>
      <c r="H9" s="1" t="str">
        <v>花间阵</v>
      </c>
      <c r="I9" s="23">
        <v>0.109376414992736</v>
      </c>
      <c r="N9" s="1" t="str">
        <v>剑气长江</v>
      </c>
      <c r="O9" s="1">
        <v>0</v>
      </c>
      <c r="P9" s="1">
        <v>0</v>
      </c>
      <c r="Q9" s="1">
        <v>0</v>
      </c>
      <c r="R9" s="23">
        <v>0</v>
      </c>
      <c r="S9" s="26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</row>
    <row r="10" spans="2:35">
      <c r="B10" s="12" t="s">
        <v>438</v>
      </c>
      <c r="C10" s="1" cm="1">
        <f ca="1" t="array" ref="C10">_xlfn.XLOOKUP(B10,_xlfn.ANCHORARRAY(伤害计算!$A$11),_xlfn.ANCHORARRAY(伤害计算!$AK$11),0)</f>
        <v>0</v>
      </c>
      <c r="E10" s="1" t="str">
        <v>流芳仙姿•玳弦</v>
      </c>
      <c r="F10" s="1">
        <v>0.0267081734172232</v>
      </c>
      <c r="G10" s="26"/>
      <c r="H10" s="1" t="str">
        <v>自己阵</v>
      </c>
      <c r="I10" s="23">
        <v>0.106866326710263</v>
      </c>
      <c r="N10" s="1" t="str">
        <v>玳弦•流玉2</v>
      </c>
      <c r="O10" s="1">
        <v>281058.351246118</v>
      </c>
      <c r="P10" s="1">
        <v>251985.366836541</v>
      </c>
      <c r="Q10" s="1">
        <v>281058.351246118</v>
      </c>
      <c r="R10" s="23">
        <v>284048.732832827</v>
      </c>
      <c r="S10" s="26">
        <v>270472.743612557</v>
      </c>
      <c r="T10" s="1">
        <v>283037.753516494</v>
      </c>
      <c r="U10" s="1">
        <v>290145.738177031</v>
      </c>
      <c r="V10" s="1">
        <v>281253.750374347</v>
      </c>
      <c r="W10" s="1">
        <v>285964.10168344</v>
      </c>
      <c r="X10" s="1">
        <v>279459.822149394</v>
      </c>
      <c r="Y10" s="1">
        <v>281074.313327145</v>
      </c>
      <c r="Z10" s="1">
        <v>266456.772185635</v>
      </c>
      <c r="AA10" s="1">
        <v>275154.322713156</v>
      </c>
      <c r="AB10" s="1">
        <v>277768.401718052</v>
      </c>
      <c r="AC10" s="1">
        <v>283645.602319724</v>
      </c>
      <c r="AD10" s="1">
        <v>283433.812083407</v>
      </c>
      <c r="AE10" s="1">
        <v>284148.726002435</v>
      </c>
      <c r="AF10" s="1">
        <v>285812.718244355</v>
      </c>
      <c r="AG10" s="1">
        <v>284036.799714592</v>
      </c>
      <c r="AH10" s="1">
        <v>284009.876337598</v>
      </c>
      <c r="AI10" s="1">
        <v>281058.351246118</v>
      </c>
    </row>
    <row r="11" spans="2:35">
      <c r="B11" s="1" t="s">
        <v>969</v>
      </c>
      <c r="C11" s="1" cm="1">
        <f ca="1" t="array" ref="C11">_xlfn.XLOOKUP(B11,_xlfn.ANCHORARRAY(伤害计算!$A$11),_xlfn.ANCHORARRAY(伤害计算!$AK$11),0)</f>
        <v>0.0267081734172232</v>
      </c>
      <c r="E11" s="1" t="str">
        <v>破•霜降</v>
      </c>
      <c r="F11" s="1">
        <v>0.0194482417260729</v>
      </c>
      <c r="G11" s="26"/>
      <c r="H11" s="1" t="str">
        <v>毒经阵</v>
      </c>
      <c r="I11" s="23">
        <v>0.0996546299806678</v>
      </c>
      <c r="N11" s="1" t="str">
        <v>玳弦•流玉3</v>
      </c>
      <c r="O11" s="1">
        <v>2062629.01484882</v>
      </c>
      <c r="P11" s="1">
        <v>1849268.40511932</v>
      </c>
      <c r="Q11" s="1">
        <v>2062629.01484882</v>
      </c>
      <c r="R11" s="23">
        <v>2059526.7642925</v>
      </c>
      <c r="S11" s="26">
        <v>1972641.58099549</v>
      </c>
      <c r="T11" s="1">
        <v>2077155.4380518</v>
      </c>
      <c r="U11" s="1">
        <v>2116052.68950948</v>
      </c>
      <c r="V11" s="1">
        <v>2063360.58209315</v>
      </c>
      <c r="W11" s="1">
        <v>2066184.93359548</v>
      </c>
      <c r="X11" s="1">
        <v>2040322.45617469</v>
      </c>
      <c r="Y11" s="1">
        <v>2056049.37687816</v>
      </c>
      <c r="Z11" s="1">
        <v>1955471.05103372</v>
      </c>
      <c r="AA11" s="1">
        <v>2006785.78893014</v>
      </c>
      <c r="AB11" s="1">
        <v>2030040.13408481</v>
      </c>
      <c r="AC11" s="1">
        <v>2082864.69250496</v>
      </c>
      <c r="AD11" s="1">
        <v>2077317.80943385</v>
      </c>
      <c r="AE11" s="1">
        <v>2085308.63497352</v>
      </c>
      <c r="AF11" s="1">
        <v>2097520.32931902</v>
      </c>
      <c r="AG11" s="1">
        <v>2083850.98878261</v>
      </c>
      <c r="AH11" s="1">
        <v>2084289.64604782</v>
      </c>
      <c r="AI11" s="1">
        <v>2062629.01484882</v>
      </c>
    </row>
    <row r="12" spans="2:35">
      <c r="B12" s="1" t="s">
        <v>971</v>
      </c>
      <c r="C12" s="1" cm="1">
        <f ca="1" t="array" ref="C12">_xlfn.XLOOKUP(B12,_xlfn.ANCHORARRAY(伤害计算!$A$11),_xlfn.ANCHORARRAY(伤害计算!$AK$11),0)</f>
        <v>0.0449421555671691</v>
      </c>
      <c r="E12" s="1" t="str">
        <v>破•钗燕</v>
      </c>
      <c r="F12" s="1">
        <v>0.0165070708190326</v>
      </c>
      <c r="G12" s="26"/>
      <c r="H12" s="1" t="str">
        <v>无相阵</v>
      </c>
      <c r="I12" s="23">
        <v>0.0937944677658116</v>
      </c>
      <c r="N12" s="1" t="str">
        <v>破•霜降2</v>
      </c>
      <c r="O12" s="1">
        <v>72375.8970693895</v>
      </c>
      <c r="P12" s="1">
        <v>62948.8143051259</v>
      </c>
      <c r="Q12" s="1">
        <v>72375.8970693895</v>
      </c>
      <c r="R12" s="23">
        <v>66616.2273529028</v>
      </c>
      <c r="S12" s="26">
        <v>65434.4966768234</v>
      </c>
      <c r="T12" s="1">
        <v>70706.0541297514</v>
      </c>
      <c r="U12" s="1">
        <v>70193.9133938596</v>
      </c>
      <c r="V12" s="1">
        <v>68042.7068118072</v>
      </c>
      <c r="W12" s="1">
        <v>65074.2851690866</v>
      </c>
      <c r="X12" s="1">
        <v>67608.7082176928</v>
      </c>
      <c r="Y12" s="1">
        <v>67999.2962532718</v>
      </c>
      <c r="Z12" s="1">
        <v>68281.7151629494</v>
      </c>
      <c r="AA12" s="1">
        <v>78216.6978488249</v>
      </c>
      <c r="AB12" s="1">
        <v>67199.5089648753</v>
      </c>
      <c r="AC12" s="1">
        <v>72375.8970693895</v>
      </c>
      <c r="AD12" s="1">
        <v>72497.1978087889</v>
      </c>
      <c r="AE12" s="1">
        <v>73171.7056417996</v>
      </c>
      <c r="AF12" s="1">
        <v>73600.2036056262</v>
      </c>
      <c r="AG12" s="1">
        <v>73142.8832799932</v>
      </c>
      <c r="AH12" s="1">
        <v>73135.9501874398</v>
      </c>
      <c r="AI12" s="1">
        <v>85213.0565052378</v>
      </c>
    </row>
    <row r="13" spans="2:35">
      <c r="B13" s="1" t="s">
        <v>973</v>
      </c>
      <c r="C13" s="1" cm="1">
        <f ca="1" t="array" ref="C13">_xlfn.XLOOKUP(B13,_xlfn.ANCHORARRAY(伤害计算!$A$11),_xlfn.ANCHORARRAY(伤害计算!$AK$11),0)</f>
        <v>0</v>
      </c>
      <c r="E13" s="1" t="str">
        <v>昆吾·弦刃</v>
      </c>
      <c r="F13" s="1">
        <v>0.0133769733956448</v>
      </c>
      <c r="H13" s="1" t="str">
        <v>无界阵</v>
      </c>
      <c r="I13" s="23">
        <v>0.073787067087296</v>
      </c>
      <c r="N13" s="1" t="str">
        <v>破•霜降3</v>
      </c>
      <c r="O13" s="1">
        <v>155429.72716995</v>
      </c>
      <c r="P13" s="1">
        <v>135184.742839694</v>
      </c>
      <c r="Q13" s="1">
        <v>155429.72716995</v>
      </c>
      <c r="R13" s="23">
        <v>143060.638441913</v>
      </c>
      <c r="S13" s="26">
        <v>140522.831188273</v>
      </c>
      <c r="T13" s="1">
        <v>151843.68204949</v>
      </c>
      <c r="U13" s="1">
        <v>150740.124318002</v>
      </c>
      <c r="V13" s="1">
        <v>146764.886659188</v>
      </c>
      <c r="W13" s="1">
        <v>139964.288709284</v>
      </c>
      <c r="X13" s="1">
        <v>145305.210934887</v>
      </c>
      <c r="Y13" s="1">
        <v>146353.489751345</v>
      </c>
      <c r="Z13" s="1">
        <v>146637.33077185</v>
      </c>
      <c r="AA13" s="1">
        <v>167973.047644877</v>
      </c>
      <c r="AB13" s="1">
        <v>144535.302223343</v>
      </c>
      <c r="AC13" s="1">
        <v>155429.72716995</v>
      </c>
      <c r="AD13" s="1">
        <v>155690.224678012</v>
      </c>
      <c r="AE13" s="1">
        <v>157138.75343833</v>
      </c>
      <c r="AF13" s="1">
        <v>158058.967546994</v>
      </c>
      <c r="AG13" s="1">
        <v>157041.215782968</v>
      </c>
      <c r="AH13" s="1">
        <v>157061.967370855</v>
      </c>
      <c r="AI13" s="1">
        <v>182997.968387577</v>
      </c>
    </row>
    <row r="14" spans="2:35">
      <c r="B14" s="1" t="s">
        <v>975</v>
      </c>
      <c r="C14" s="1" cm="1">
        <f ca="1" t="array" ref="C14">_xlfn.XLOOKUP(B14,_xlfn.ANCHORARRAY(伤害计算!$A$11),_xlfn.ANCHORARRAY(伤害计算!$AK$11),0)</f>
        <v>0</v>
      </c>
      <c r="E14" s="1" t="str">
        <v>刃凌</v>
      </c>
      <c r="F14" s="1">
        <v>0.0108652149682116</v>
      </c>
      <c r="H14" s="1" t="str">
        <v>冰心阵</v>
      </c>
      <c r="I14" s="23">
        <v>0.0649468078950262</v>
      </c>
      <c r="N14" s="1" t="str">
        <v>盈袖</v>
      </c>
      <c r="O14" s="1">
        <v>843095.341046974</v>
      </c>
      <c r="P14" s="1">
        <v>733280.749725296</v>
      </c>
      <c r="Q14" s="1">
        <v>843095.341046974</v>
      </c>
      <c r="R14" s="1">
        <v>820988.595644892</v>
      </c>
      <c r="S14" s="1">
        <v>784330.417473601</v>
      </c>
      <c r="T14" s="1">
        <v>823643.605597819</v>
      </c>
      <c r="U14" s="1">
        <v>841363.320789766</v>
      </c>
      <c r="V14" s="1">
        <v>818322.65300558</v>
      </c>
      <c r="W14" s="1">
        <v>824918.909427726</v>
      </c>
      <c r="X14" s="1">
        <v>810873.588632905</v>
      </c>
      <c r="Y14" s="1">
        <v>816447.411055508</v>
      </c>
      <c r="Z14" s="1">
        <v>795402.865644437</v>
      </c>
      <c r="AA14" s="1">
        <v>819381.662845564</v>
      </c>
      <c r="AB14" s="1">
        <v>806432.295861248</v>
      </c>
      <c r="AC14" s="1">
        <v>851156.716919238</v>
      </c>
      <c r="AD14" s="1">
        <v>849588.952929695</v>
      </c>
      <c r="AE14" s="1">
        <v>852365.588835695</v>
      </c>
      <c r="AF14" s="1">
        <v>857357.093626358</v>
      </c>
      <c r="AG14" s="1">
        <v>851881.804342707</v>
      </c>
      <c r="AH14" s="1">
        <v>851949.079221191</v>
      </c>
      <c r="AI14" s="1">
        <v>843095.341046974</v>
      </c>
    </row>
    <row r="15" spans="2:35">
      <c r="B15" s="1" t="s">
        <v>623</v>
      </c>
      <c r="C15" s="1" cm="1">
        <f ca="1" t="array" ref="C15">_xlfn.XLOOKUP(B15,_xlfn.ANCHORARRAY(伤害计算!$A$11),_xlfn.ANCHORARRAY(伤害计算!$AK$11),0)</f>
        <v>0</v>
      </c>
      <c r="E15" s="1" t="str">
        <v>破•虚空</v>
      </c>
      <c r="F15" s="1">
        <v>0.0091114071390006</v>
      </c>
      <c r="N15" s="1" t="str">
        <v>江海凝光</v>
      </c>
      <c r="O15" s="1">
        <v>630815.682098923</v>
      </c>
      <c r="P15" s="1">
        <v>555331.066434544</v>
      </c>
      <c r="Q15" s="1">
        <v>630815.682098923</v>
      </c>
      <c r="R15" s="1">
        <v>621041.1570205</v>
      </c>
      <c r="S15" s="1">
        <v>594105.992669886</v>
      </c>
      <c r="T15" s="1">
        <v>623812.777949945</v>
      </c>
      <c r="U15" s="1">
        <v>637745.592866138</v>
      </c>
      <c r="V15" s="1">
        <v>619745.197568211</v>
      </c>
      <c r="W15" s="1">
        <v>625029.992285389</v>
      </c>
      <c r="X15" s="1">
        <v>614539.848991037</v>
      </c>
      <c r="Y15" s="1">
        <v>618379.241836138</v>
      </c>
      <c r="Z15" s="1">
        <v>595758.097599559</v>
      </c>
      <c r="AA15" s="1">
        <v>612957.435933778</v>
      </c>
      <c r="AB15" s="1">
        <v>610810.059312281</v>
      </c>
      <c r="AC15" s="1">
        <v>636837.152984224</v>
      </c>
      <c r="AD15" s="1">
        <v>635665.83078721</v>
      </c>
      <c r="AE15" s="1">
        <v>637529.269111532</v>
      </c>
      <c r="AF15" s="1">
        <v>641790.870087647</v>
      </c>
      <c r="AG15" s="1">
        <v>637395.603940855</v>
      </c>
      <c r="AH15" s="1">
        <v>637440.17237135</v>
      </c>
      <c r="AI15" s="1">
        <v>630815.682098923</v>
      </c>
    </row>
    <row r="16" spans="2:35">
      <c r="B16" s="1" t="s">
        <v>943</v>
      </c>
      <c r="C16" s="1" cm="1">
        <f ca="1" t="array" ref="C16">_xlfn.XLOOKUP(B16,_xlfn.ANCHORARRAY(伤害计算!$A$11),_xlfn.ANCHORARRAY(伤害计算!$AK$11),0)</f>
        <v>0</v>
      </c>
      <c r="E16" s="1" t="str">
        <v>巽</v>
      </c>
      <c r="F16" s="1">
        <v>0.00773429856702586</v>
      </c>
      <c r="N16" s="1" t="str">
        <v>钗燕</v>
      </c>
      <c r="O16" s="1">
        <v>768535.270202707</v>
      </c>
      <c r="P16" s="1">
        <v>668432.253966369</v>
      </c>
      <c r="Q16" s="1">
        <v>768535.270202707</v>
      </c>
      <c r="R16" s="1">
        <v>748455.198475514</v>
      </c>
      <c r="S16" s="1">
        <v>715002.471927337</v>
      </c>
      <c r="T16" s="1">
        <v>750803.770535346</v>
      </c>
      <c r="U16" s="1">
        <v>766994.363192905</v>
      </c>
      <c r="V16" s="1">
        <v>745956.043932649</v>
      </c>
      <c r="W16" s="1">
        <v>752059.320465808</v>
      </c>
      <c r="X16" s="1">
        <v>739193.445499645</v>
      </c>
      <c r="Y16" s="1">
        <v>744263.461309613</v>
      </c>
      <c r="Z16" s="1">
        <v>725060.531717486</v>
      </c>
      <c r="AA16" s="1">
        <v>746955.493927697</v>
      </c>
      <c r="AB16" s="1">
        <v>735138.940404063</v>
      </c>
      <c r="AC16" s="1">
        <v>775880.335434177</v>
      </c>
      <c r="AD16" s="1">
        <v>774462.702924134</v>
      </c>
      <c r="AE16" s="1">
        <v>776985.693354498</v>
      </c>
      <c r="AF16" s="1">
        <v>781535.768887173</v>
      </c>
      <c r="AG16" s="1">
        <v>776546.533295232</v>
      </c>
      <c r="AH16" s="1">
        <v>776606.018229349</v>
      </c>
      <c r="AI16" s="1">
        <v>768535.270202707</v>
      </c>
    </row>
    <row r="17" spans="2:35">
      <c r="B17" s="1" t="s">
        <v>947</v>
      </c>
      <c r="C17" s="1" cm="1">
        <f ca="1" t="array" ref="C17">_xlfn.XLOOKUP(B17,_xlfn.ANCHORARRAY(伤害计算!$A$11),_xlfn.ANCHORARRAY(伤害计算!$AK$11),0)</f>
        <v>0</v>
      </c>
      <c r="E17" s="1" t="str">
        <v>逐云寒蕊</v>
      </c>
      <c r="F17" s="1">
        <v>0.00582575547944806</v>
      </c>
      <c r="I17" s="34"/>
      <c r="N17" s="1" t="str">
        <v>破•钗燕</v>
      </c>
      <c r="O17" s="1">
        <v>193354.423770422</v>
      </c>
      <c r="P17" s="1">
        <v>168169.683690825</v>
      </c>
      <c r="Q17" s="1">
        <v>193354.423770422</v>
      </c>
      <c r="R17" s="1">
        <v>177967.289873187</v>
      </c>
      <c r="S17" s="1">
        <v>174810.260210313</v>
      </c>
      <c r="T17" s="1">
        <v>188893.387258898</v>
      </c>
      <c r="U17" s="1">
        <v>187522.152330698</v>
      </c>
      <c r="V17" s="1">
        <v>182301.349260325</v>
      </c>
      <c r="W17" s="1">
        <v>174023.489345891</v>
      </c>
      <c r="X17" s="1">
        <v>180711.137434919</v>
      </c>
      <c r="Y17" s="1">
        <v>181925.622346366</v>
      </c>
      <c r="Z17" s="1">
        <v>182416.691522737</v>
      </c>
      <c r="AA17" s="1">
        <v>208958.301784989</v>
      </c>
      <c r="AB17" s="1">
        <v>179706.822779722</v>
      </c>
      <c r="AC17" s="1">
        <v>193354.423770422</v>
      </c>
      <c r="AD17" s="1">
        <v>193678.482407609</v>
      </c>
      <c r="AE17" s="1">
        <v>195480.450723876</v>
      </c>
      <c r="AF17" s="1">
        <v>196625.196146555</v>
      </c>
      <c r="AG17" s="1">
        <v>195374.353962745</v>
      </c>
      <c r="AH17" s="1">
        <v>195384.928933414</v>
      </c>
      <c r="AI17" s="1">
        <v>227649.288028723</v>
      </c>
    </row>
    <row r="18" spans="2:35">
      <c r="B18" s="1" t="s">
        <v>630</v>
      </c>
      <c r="C18" s="1" cm="1">
        <f ca="1" t="array" ref="C18">_xlfn.XLOOKUP(B18,_xlfn.ANCHORARRAY(伤害计算!$A$11),_xlfn.ANCHORARRAY(伤害计算!$AK$11),0)</f>
        <v>0</v>
      </c>
      <c r="E18" s="1" t="str">
        <v>破</v>
      </c>
      <c r="F18" s="1">
        <v>0.00535611134550201</v>
      </c>
      <c r="I18" s="34"/>
      <c r="N18" s="1" t="str">
        <v>气吞长江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</row>
    <row r="19" spans="2:35">
      <c r="B19" s="1" t="s">
        <v>81</v>
      </c>
      <c r="C19" s="1" cm="1">
        <f ca="1" t="array" ref="C19">_xlfn.XLOOKUP(B19,_xlfn.ANCHORARRAY(伤害计算!$A$11),_xlfn.ANCHORARRAY(伤害计算!$AK$11),0)</f>
        <v>0.0719768093766666</v>
      </c>
      <c r="I19" s="34"/>
      <c r="N19" s="1" t="str">
        <v>流芳仙姿•玳弦</v>
      </c>
      <c r="O19" s="1">
        <v>312844.328207125</v>
      </c>
      <c r="P19" s="1">
        <v>272095.826374927</v>
      </c>
      <c r="Q19" s="1">
        <v>312844.328207125</v>
      </c>
      <c r="R19" s="1">
        <v>303335.265389768</v>
      </c>
      <c r="S19" s="1">
        <v>290397.228538636</v>
      </c>
      <c r="T19" s="1">
        <v>305626.443333634</v>
      </c>
      <c r="U19" s="1">
        <v>311509.959748063</v>
      </c>
      <c r="V19" s="1">
        <v>303606.876346863</v>
      </c>
      <c r="W19" s="1">
        <v>304404.917992887</v>
      </c>
      <c r="X19" s="1">
        <v>300335.024982449</v>
      </c>
      <c r="Y19" s="1">
        <v>302602.722615811</v>
      </c>
      <c r="Z19" s="1">
        <v>295147.254458249</v>
      </c>
      <c r="AA19" s="1">
        <v>303374.902598036</v>
      </c>
      <c r="AB19" s="1">
        <v>298796.655622833</v>
      </c>
      <c r="AC19" s="1">
        <v>315898.822131301</v>
      </c>
      <c r="AD19" s="1">
        <v>315106.396234878</v>
      </c>
      <c r="AE19" s="1">
        <v>316284.205407934</v>
      </c>
      <c r="AF19" s="1">
        <v>318136.384974053</v>
      </c>
      <c r="AG19" s="1">
        <v>316070.954331607</v>
      </c>
      <c r="AH19" s="1">
        <v>316129.652696993</v>
      </c>
      <c r="AI19" s="1">
        <v>312844.328207125</v>
      </c>
    </row>
    <row r="20" spans="2:35">
      <c r="B20" s="1" t="str">
        <f>技能数据!A24</f>
        <v>剑风</v>
      </c>
      <c r="C20" s="1" cm="1">
        <f ca="1" t="array" ref="C20">_xlfn.XLOOKUP(B20,_xlfn.ANCHORARRAY(伤害计算!$A$11),_xlfn.ANCHORARRAY(伤害计算!$AK$11),0)</f>
        <v>0</v>
      </c>
      <c r="I20" s="34"/>
      <c r="N20" s="1" t="str">
        <v>流芳仙姿•剑破</v>
      </c>
      <c r="O20" s="1">
        <v>526426.807515199</v>
      </c>
      <c r="P20" s="1">
        <v>457858.827224537</v>
      </c>
      <c r="Q20" s="1">
        <v>526426.807515199</v>
      </c>
      <c r="R20" s="1">
        <v>512839.098939353</v>
      </c>
      <c r="S20" s="1">
        <v>489840.056582934</v>
      </c>
      <c r="T20" s="1">
        <v>514281.188277862</v>
      </c>
      <c r="U20" s="1">
        <v>525459.558055255</v>
      </c>
      <c r="V20" s="1">
        <v>510968.699626718</v>
      </c>
      <c r="W20" s="1">
        <v>515358.24664103</v>
      </c>
      <c r="X20" s="1">
        <v>506399.364919501</v>
      </c>
      <c r="Y20" s="1">
        <v>509847.508058125</v>
      </c>
      <c r="Z20" s="1">
        <v>496647.734679288</v>
      </c>
      <c r="AA20" s="1">
        <v>511730.708320768</v>
      </c>
      <c r="AB20" s="1">
        <v>503608.538935546</v>
      </c>
      <c r="AC20" s="1">
        <v>531450.969811609</v>
      </c>
      <c r="AD20" s="1">
        <v>530505.76333473</v>
      </c>
      <c r="AE20" s="1">
        <v>532215.129085367</v>
      </c>
      <c r="AF20" s="1">
        <v>535331.813289057</v>
      </c>
      <c r="AG20" s="1">
        <v>531918.494125273</v>
      </c>
      <c r="AH20" s="1">
        <v>531955.061432295</v>
      </c>
      <c r="AI20" s="1">
        <v>526426.807515199</v>
      </c>
    </row>
    <row r="21" spans="2:35">
      <c r="I21" s="34"/>
      <c r="N21" s="1" t="str">
        <v>流芳仙姿•剑影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</row>
    <row r="22" spans="2:35">
      <c r="B22" s="35" t="str">
        <f>技能数!E43</f>
        <v>巽</v>
      </c>
      <c r="C22" s="1" cm="1">
        <f ca="1" t="array" ref="C22">_xlfn.XLOOKUP(B22,_xlfn.ANCHORARRAY(伤害计算!$A$3),_xlfn.ANCHORARRAY(伤害计算!$AK$3),0)</f>
        <v>0.00773429856702586</v>
      </c>
      <c r="I22" s="34"/>
      <c r="N22" s="1" t="str">
        <v>流芳仙姿•剑气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</row>
    <row r="23" spans="2:35">
      <c r="B23" s="35" t="s">
        <v>1082</v>
      </c>
      <c r="C23" s="1" cm="1">
        <f ca="1" t="array" ref="C23">_xlfn.XLOOKUP(B23,_xlfn.ANCHORARRAY(伤害计算!$A$3),_xlfn.ANCHORARRAY(伤害计算!$AK$3),0)</f>
        <v>0.0108652149682116</v>
      </c>
      <c r="I23" s="34"/>
      <c r="N23" s="1" t="str">
        <v>破</v>
      </c>
      <c r="O23" s="1">
        <v>62738.4370136514</v>
      </c>
      <c r="P23" s="1">
        <v>54566.6496897417</v>
      </c>
      <c r="Q23" s="1">
        <v>62738.4370136514</v>
      </c>
      <c r="R23" s="1">
        <v>57745.7158128241</v>
      </c>
      <c r="S23" s="1">
        <v>56721.3425257168</v>
      </c>
      <c r="T23" s="1">
        <v>61290.9477204861</v>
      </c>
      <c r="U23" s="1">
        <v>60846.0012900871</v>
      </c>
      <c r="V23" s="1">
        <v>59154.8788130857</v>
      </c>
      <c r="W23" s="1">
        <v>56467.0205115243</v>
      </c>
      <c r="X23" s="1">
        <v>58636.5300423068</v>
      </c>
      <c r="Y23" s="1">
        <v>59031.5381367875</v>
      </c>
      <c r="Z23" s="1">
        <v>59189.4298985705</v>
      </c>
      <c r="AA23" s="1">
        <v>67801.4859933217</v>
      </c>
      <c r="AB23" s="1">
        <v>58311.144582293</v>
      </c>
      <c r="AC23" s="1">
        <v>62738.4370136514</v>
      </c>
      <c r="AD23" s="1">
        <v>62843.5855383214</v>
      </c>
      <c r="AE23" s="1">
        <v>63428.2769744218</v>
      </c>
      <c r="AF23" s="1">
        <v>63799.7168266732</v>
      </c>
      <c r="AG23" s="1">
        <v>63393.6914938669</v>
      </c>
      <c r="AH23" s="1">
        <v>63397.2826598493</v>
      </c>
      <c r="AI23" s="1">
        <v>73866.2205895567</v>
      </c>
    </row>
    <row r="24" spans="2:35">
      <c r="B24" s="35" t="s">
        <v>893</v>
      </c>
      <c r="C24" s="1" cm="1">
        <f ca="1" t="array" ref="C24">_xlfn.XLOOKUP(B24,_xlfn.ANCHORARRAY(伤害计算!$A$3),_xlfn.ANCHORARRAY(伤害计算!$AK$3),0)</f>
        <v>0.00582575547944806</v>
      </c>
      <c r="I24" s="34"/>
      <c r="N24" s="1" t="str">
        <v>破•虚空</v>
      </c>
      <c r="O24" s="1">
        <v>106725.832609132</v>
      </c>
      <c r="P24" s="1">
        <v>92824.6127579071</v>
      </c>
      <c r="Q24" s="1">
        <v>106725.832609132</v>
      </c>
      <c r="R24" s="1">
        <v>98232.5970025837</v>
      </c>
      <c r="S24" s="1">
        <v>96490.0114812821</v>
      </c>
      <c r="T24" s="1">
        <v>104263.474486117</v>
      </c>
      <c r="U24" s="1">
        <v>103506.679882662</v>
      </c>
      <c r="V24" s="1">
        <v>100610.065159942</v>
      </c>
      <c r="W24" s="1">
        <v>96050.7708373069</v>
      </c>
      <c r="X24" s="1">
        <v>99744.5039816722</v>
      </c>
      <c r="Y24" s="1">
        <v>100410.024515913</v>
      </c>
      <c r="Z24" s="1">
        <v>100688.533031358</v>
      </c>
      <c r="AA24" s="1">
        <v>115338.704456395</v>
      </c>
      <c r="AB24" s="1">
        <v>99187.6379309198</v>
      </c>
      <c r="AC24" s="1">
        <v>106725.832609132</v>
      </c>
      <c r="AD24" s="1">
        <v>106904.703240554</v>
      </c>
      <c r="AE24" s="1">
        <v>107899.335611196</v>
      </c>
      <c r="AF24" s="1">
        <v>108531.200690766</v>
      </c>
      <c r="AG24" s="1">
        <v>107841.596637183</v>
      </c>
      <c r="AH24" s="1">
        <v>107846.610452802</v>
      </c>
      <c r="AI24" s="1">
        <v>125655.567294335</v>
      </c>
    </row>
    <row r="25" spans="2:35">
      <c r="B25" s="35" t="str">
        <f ca="1">"无修·"&amp;IF(F40,"地","天")</f>
        <v>无修·天</v>
      </c>
      <c r="C25" s="1">
        <f ca="1">C59</f>
        <v>0</v>
      </c>
      <c r="I25" s="34"/>
      <c r="N25" s="1" t="str">
        <v>剑风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</row>
    <row r="26" spans="2:35">
      <c r="B26" s="35" t="str">
        <f>技能数据!A28</f>
        <v>速·震</v>
      </c>
      <c r="C26" s="1" cm="1">
        <f ca="1" t="array" ref="C26">_xlfn.XLOOKUP(B26,_xlfn.ANCHORARRAY(伤害计算!$A$3),_xlfn.ANCHORARRAY(伤害计算!$AK$3),0)</f>
        <v>0</v>
      </c>
      <c r="I26" s="34"/>
      <c r="N26" s="1" t="str">
        <v>广陵月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</row>
    <row r="27" spans="2:35">
      <c r="B27" s="35" t="str">
        <f>技能数据!A47</f>
        <v>昆吾·弦刃</v>
      </c>
      <c r="C27" s="1" cm="1">
        <f ca="1" t="array" ref="C27">_xlfn.XLOOKUP(B27,_xlfn.ANCHORARRAY(伤害计算!$A$3),_xlfn.ANCHORARRAY(伤害计算!$AK$3),0)</f>
        <v>0.0133769733956448</v>
      </c>
      <c r="I27" s="34"/>
      <c r="N27" s="1" t="str">
        <v>满堂剑气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</row>
    <row r="28" spans="2:35">
      <c r="B28" s="36" t="s">
        <v>1062</v>
      </c>
      <c r="C28" s="1">
        <f ca="1">C49+C50</f>
        <v>0.0194482417260729</v>
      </c>
      <c r="I28" s="34"/>
    </row>
    <row r="29" spans="2:35">
      <c r="B29" s="36" t="s">
        <v>130</v>
      </c>
      <c r="C29" s="1">
        <f ca="1">C41+C43+C42+C44</f>
        <v>0.319045396491468</v>
      </c>
    </row>
    <row r="30" spans="2:35">
      <c r="B30" s="8" t="s">
        <v>642</v>
      </c>
      <c r="C30" s="1">
        <f ca="1">C47+C48</f>
        <v>0</v>
      </c>
    </row>
    <row r="31" spans="2:35">
      <c r="B31" s="8" t="s">
        <v>627</v>
      </c>
      <c r="C31" s="1">
        <f ca="1">C45+C46</f>
        <v>0</v>
      </c>
    </row>
    <row r="32" spans="2:35">
      <c r="B32" s="36" t="s">
        <v>1106</v>
      </c>
      <c r="C32" s="1">
        <f ca="1">C40</f>
        <v>0</v>
      </c>
    </row>
    <row r="33" spans="2:6">
      <c r="B33" s="36" t="s">
        <v>1107</v>
      </c>
      <c r="C33" s="1">
        <f ca="1">C39</f>
        <v>0.153842080755086</v>
      </c>
    </row>
    <row r="34" spans="2:6">
      <c r="B34" s="36" t="s">
        <v>883</v>
      </c>
      <c r="C34" s="1">
        <f ca="1">C51+C52</f>
        <v>0.100366998454193</v>
      </c>
    </row>
    <row r="35" spans="2:6">
      <c r="B35" s="8" t="s">
        <v>636</v>
      </c>
      <c r="C35" s="1">
        <f ca="1">C53+C54+C55</f>
        <v>0</v>
      </c>
    </row>
    <row r="39" spans="2:6">
      <c r="B39" s="1" t="s">
        <v>949</v>
      </c>
      <c r="C39" s="1" cm="1">
        <f ca="1" t="array" ref="C39">_xlfn.XLOOKUP(B39,_xlfn.ANCHORARRAY(伤害计算!$A$11),_xlfn.ANCHORARRAY(伤害计算!$AK$11),0)</f>
        <v>0.153842080755086</v>
      </c>
      <c r="E39" s="1" t="s">
        <v>1108</v>
      </c>
      <c r="F39" s="1" t="b">
        <f>技能数!B65</f>
        <v>0</v>
      </c>
    </row>
    <row r="40" spans="2:6">
      <c r="B40" s="1" t="s">
        <v>925</v>
      </c>
      <c r="C40" s="1" cm="1">
        <f ca="1" t="array" ref="C40">_xlfn.XLOOKUP(B40,_xlfn.ANCHORARRAY(伤害计算!$A$11),_xlfn.ANCHORARRAY(伤害计算!$AK$11),0)</f>
        <v>0</v>
      </c>
      <c r="E40" s="1" t="s">
        <v>1109</v>
      </c>
      <c r="F40" s="1" t="b">
        <f ca="1">AND(角色属性!AA75,角色属性!Z75)</f>
        <v>0</v>
      </c>
    </row>
    <row r="41" spans="2:6">
      <c r="B41" s="1" t="str">
        <f>技能数!J4</f>
        <v>玳弦2</v>
      </c>
      <c r="C41" s="1" cm="1">
        <f ca="1" t="array" ref="C41">_xlfn.XLOOKUP(B41,_xlfn.ANCHORARRAY(伤害计算!$A$11),_xlfn.ANCHORARRAY(伤害计算!$AK$11),0)</f>
        <v>0.0518853654835693</v>
      </c>
    </row>
    <row r="42" spans="2:6">
      <c r="B42" s="1" t="str">
        <f>技能数!J5</f>
        <v>玳弦3</v>
      </c>
      <c r="C42" s="1" cm="1">
        <f ca="1" t="array" ref="C42">IF(F39,0,_xlfn.XLOOKUP(B42,_xlfn.ANCHORARRAY(伤害计算!$A$11),_xlfn.ANCHORARRAY(伤害计算!$AK$11),0))</f>
        <v>0.0670745477001244</v>
      </c>
    </row>
    <row r="43" spans="2:6">
      <c r="B43" s="1" t="str">
        <f>技能数!J9</f>
        <v>玳弦•流玉2</v>
      </c>
      <c r="C43" s="1" cm="1">
        <f ca="1" t="array" ref="C43">_xlfn.XLOOKUP(B43,_xlfn.ANCHORARRAY(伤害计算!$A$11),_xlfn.ANCHORARRAY(伤害计算!$AK$11),0)</f>
        <v>0.0239945382051813</v>
      </c>
    </row>
    <row r="44" spans="2:6">
      <c r="B44" s="1" t="str">
        <f>技能数!J10</f>
        <v>玳弦•流玉3</v>
      </c>
      <c r="C44" s="1" cm="1">
        <f ca="1" t="array" ref="C44">IF(F39,0,_xlfn.XLOOKUP(B44,_xlfn.ANCHORARRAY(伤害计算!$A$11),_xlfn.ANCHORARRAY(伤害计算!$AK$11),0))</f>
        <v>0.176090945102593</v>
      </c>
    </row>
    <row r="45" spans="2:6">
      <c r="B45" s="1" t="s">
        <v>627</v>
      </c>
      <c r="C45" s="1" cm="1">
        <f ca="1" t="array" ref="C45">_xlfn.XLOOKUP(B45,_xlfn.ANCHORARRAY(伤害计算!$A$11),_xlfn.ANCHORARRAY(伤害计算!$AK$11),0)</f>
        <v>0</v>
      </c>
    </row>
    <row r="46" spans="2:6">
      <c r="B46" s="1" t="s">
        <v>957</v>
      </c>
      <c r="C46" s="1" cm="1">
        <f ca="1" t="array" ref="C46">_xlfn.XLOOKUP(B46,_xlfn.ANCHORARRAY(伤害计算!$A$11),_xlfn.ANCHORARRAY(伤害计算!$AK$11),0)</f>
        <v>0</v>
      </c>
    </row>
    <row r="47" spans="2:6">
      <c r="B47" s="1" t="s">
        <v>642</v>
      </c>
      <c r="C47" s="1" cm="1">
        <f ca="1" t="array" ref="C47">_xlfn.XLOOKUP(B47,_xlfn.ANCHORARRAY(伤害计算!$A$11),_xlfn.ANCHORARRAY(伤害计算!$AK$11),0)</f>
        <v>0</v>
      </c>
    </row>
    <row r="48" spans="2:6">
      <c r="B48" s="1" t="s">
        <v>946</v>
      </c>
      <c r="C48" s="1" cm="1">
        <f ca="1" t="array" ref="C48">_xlfn.XLOOKUP(B48,_xlfn.ANCHORARRAY(伤害计算!$A$11),_xlfn.ANCHORARRAY(伤害计算!$AK$11),0)</f>
        <v>0</v>
      </c>
    </row>
    <row r="49" spans="2:3">
      <c r="B49" s="1" t="str">
        <f>技能数!J11</f>
        <v>破•霜降2</v>
      </c>
      <c r="C49" s="1" cm="1">
        <f ca="1" t="array" ref="C49">_xlfn.XLOOKUP(B49,_xlfn.ANCHORARRAY(伤害计算!$A$11),_xlfn.ANCHORARRAY(伤害计算!$AK$11),0)</f>
        <v>0.00617888143037246</v>
      </c>
    </row>
    <row r="50" spans="2:3">
      <c r="B50" s="1" t="str">
        <f>技能数!J12</f>
        <v>破•霜降3</v>
      </c>
      <c r="C50" s="1" cm="1">
        <f ca="1" t="array" ref="C50">IF(F39,0,_xlfn.XLOOKUP(B50,_xlfn.ANCHORARRAY(伤害计算!$A$11),_xlfn.ANCHORARRAY(伤害计算!$AK$11),0))</f>
        <v>0.0132693602957005</v>
      </c>
    </row>
    <row r="51" spans="2:3">
      <c r="B51" s="1" t="s">
        <v>883</v>
      </c>
      <c r="C51" s="1" cm="1">
        <f ca="1" t="array" ref="C51">_xlfn.XLOOKUP(B51,_xlfn.ANCHORARRAY(伤害计算!$A$11),_xlfn.ANCHORARRAY(伤害计算!$AK$11),0)</f>
        <v>0.100366998454193</v>
      </c>
    </row>
    <row r="52" spans="2:3">
      <c r="B52" s="1" t="s">
        <v>1110</v>
      </c>
      <c r="C52" s="1" cm="1">
        <f ca="1" t="array" ref="C52">_xlfn.XLOOKUP(B52,_xlfn.ANCHORARRAY(伤害计算!$A$11),_xlfn.ANCHORARRAY(伤害计算!$AK$11),0)</f>
        <v>0</v>
      </c>
    </row>
    <row r="53" spans="2:3">
      <c r="B53" s="1" t="s">
        <v>636</v>
      </c>
      <c r="C53" s="1" cm="1">
        <f ca="1" t="array" ref="C53">_xlfn.XLOOKUP(B53,_xlfn.ANCHORARRAY(伤害计算!$A$11),_xlfn.ANCHORARRAY(伤害计算!$AK$11),0)</f>
        <v>0</v>
      </c>
    </row>
    <row r="54" spans="2:3">
      <c r="B54" s="1" t="s">
        <v>960</v>
      </c>
      <c r="C54" s="1" cm="1">
        <f ca="1" t="array" ref="C54">_xlfn.XLOOKUP(B54,_xlfn.ANCHORARRAY(伤害计算!$A$11),_xlfn.ANCHORARRAY(伤害计算!$AK$11),0)</f>
        <v>0</v>
      </c>
    </row>
    <row r="55" spans="2:3">
      <c r="B55" s="1" t="s">
        <v>962</v>
      </c>
      <c r="C55" s="1" cm="1">
        <f ca="1" t="array" ref="C55">_xlfn.XLOOKUP(B55,_xlfn.ANCHORARRAY(伤害计算!$A$11),_xlfn.ANCHORARRAY(伤害计算!$AK$11),0)</f>
        <v>0</v>
      </c>
    </row>
    <row r="56" spans="2:3">
      <c r="B56" s="1" t="s">
        <v>924</v>
      </c>
      <c r="C56" s="1" cm="1">
        <f ca="1" t="array" ref="C56">_xlfn.XLOOKUP(B56,_xlfn.ANCHORARRAY(伤害计算!$A$11),_xlfn.ANCHORARRAY(伤害计算!$AK$11),0)</f>
        <v>0</v>
      </c>
    </row>
    <row r="57" spans="2:3">
      <c r="C57" s="37"/>
    </row>
    <row r="59" spans="2:3">
      <c r="B59" s="38" t="s">
        <v>1073</v>
      </c>
      <c r="C59" s="1" cm="1">
        <f ca="1" t="array" ref="C59">_xlfn.XLOOKUP(B59,_xlfn.ANCHORARRAY(伤害计算!$A$3),_xlfn.ANCHORARRAY(伤害计算!$AK$3),0)</f>
        <v>0</v>
      </c>
    </row>
  </sheetData>
  <pageMargins left="0.75" right="0.75" top="1" bottom="1" header="0.5" footer="0.5"/>
  <headerFooter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C15"/>
  <sheetViews>
    <sheetView workbookViewId="0">
      <selection activeCell="A12" sqref="A12"/>
    </sheetView>
  </sheetViews>
  <sheetFormatPr defaultColWidth="9" defaultRowHeight="14.25" outlineLevelCol="2"/>
  <cols>
    <col min="1" max="1" width="37.125" style="1" customWidth="1"/>
    <col min="2" max="2" width="9" style="1"/>
    <col min="3" max="3" width="18.625" style="1" customWidth="1"/>
    <col min="4" max="4" width="9" style="1"/>
    <col min="5" max="5" width="10.375" style="1" customWidth="1"/>
    <col min="6" max="6" width="10.25" style="27" customWidth="1"/>
    <col min="7" max="8" width="11.125" style="1"/>
    <col min="9" max="16384" width="9" style="1"/>
  </cols>
  <sheetData>
    <row r="1" spans="1:3">
      <c r="A1" s="1" t="s">
        <v>1111</v>
      </c>
      <c r="C1" s="1" t="s">
        <v>1112</v>
      </c>
    </row>
    <row r="2" spans="1:3">
      <c r="A2" s="1" t="s">
        <v>1113</v>
      </c>
      <c r="C2" s="1" t="str">
        <f>"channel_interval/"&amp;192</f>
        <v>channel_interval/192</v>
      </c>
    </row>
    <row r="3" spans="1:3">
      <c r="A3" s="1" t="s">
        <v>1114</v>
      </c>
    </row>
    <row r="4" spans="1:3">
      <c r="A4" s="1" t="s">
        <v>1115</v>
      </c>
    </row>
    <row r="5" spans="1:3">
      <c r="A5" s="1" t="s">
        <v>1116</v>
      </c>
      <c r="B5" s="1">
        <v>1</v>
      </c>
    </row>
    <row r="6" spans="1:3">
      <c r="A6" s="1" t="s">
        <v>1117</v>
      </c>
      <c r="B6" s="1">
        <v>1</v>
      </c>
    </row>
    <row r="7" spans="1:3">
      <c r="A7" s="1" t="s">
        <v>1118</v>
      </c>
      <c r="B7" s="1">
        <v>1</v>
      </c>
    </row>
    <row r="8" spans="1:3">
      <c r="A8" s="1" t="s">
        <v>1119</v>
      </c>
    </row>
    <row r="9" spans="1:3">
      <c r="A9" s="1" t="s">
        <v>1120</v>
      </c>
      <c r="B9" s="1">
        <v>1</v>
      </c>
    </row>
    <row r="10" spans="1:3">
      <c r="B10" s="1">
        <v>1</v>
      </c>
    </row>
    <row r="11" spans="1:3">
      <c r="A11" s="1" t="s">
        <v>1121</v>
      </c>
      <c r="B11" s="1">
        <v>1</v>
      </c>
    </row>
    <row r="15" spans="1:3">
      <c r="A15" s="1" t="s">
        <v>1122</v>
      </c>
    </row>
  </sheetData>
  <pageMargins left="0.75" right="0.75" top="1" bottom="1" header="0.5" footer="0.5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7"/>
  <dimension ref="A1:AR58"/>
  <sheetViews>
    <sheetView workbookViewId="0">
      <pane xSplit="1" ySplit="2" topLeftCell="B3" activePane="bottomRight" state="frozen"/>
      <selection/>
      <selection pane="topRight"/>
      <selection pane="bottomLeft"/>
      <selection pane="bottomRight" activeCell="B11" sqref="B11"/>
    </sheetView>
  </sheetViews>
  <sheetFormatPr defaultColWidth="9" defaultRowHeight="14.25"/>
  <cols>
    <col min="1" max="1" width="13.625" style="1" customWidth="1"/>
    <col min="2" max="2" width="10.25" style="1" customWidth="1"/>
    <col min="3" max="3" width="10" style="1" customWidth="1"/>
    <col min="4" max="4" width="13.125" style="1" customWidth="1"/>
    <col min="5" max="5" width="11.125" style="1"/>
    <col min="6" max="7" width="9" style="1"/>
    <col min="8" max="16" width="11.125" style="1"/>
    <col min="17" max="17" width="10.25" style="1" customWidth="1"/>
    <col min="18" max="19" width="9" style="1"/>
    <col min="20" max="21" width="12.25" style="1" customWidth="1"/>
    <col min="22" max="23" width="11.125" style="1"/>
    <col min="24" max="24" width="9" style="1"/>
    <col min="25" max="26" width="11.125" style="1"/>
    <col min="27" max="27" width="12.125" style="1"/>
    <col min="28" max="29" width="9" style="1"/>
    <col min="30" max="31" width="9.75" style="1" customWidth="1"/>
    <col min="32" max="32" width="11.125" style="1"/>
    <col min="33" max="33" width="13.125" style="1"/>
    <col min="34" max="34" width="52.125" style="1" customWidth="1"/>
    <col min="35" max="39" width="11.125" style="1"/>
    <col min="40" max="40" width="9" style="1"/>
    <col min="41" max="41" width="12.25" style="1" customWidth="1"/>
    <col min="42" max="43" width="9" style="1"/>
    <col min="44" max="44" width="11.125" style="1"/>
    <col min="45" max="16384" width="9" style="1"/>
  </cols>
  <sheetData>
    <row r="1" spans="1:39">
      <c r="A1" s="1" t="s">
        <v>1123</v>
      </c>
      <c r="B1" s="18" t="str">
        <f>IF(C1,"有阵眼","无增益")</f>
        <v>有阵眼</v>
      </c>
      <c r="C1" s="18" t="b">
        <f>IF(目标数据!B7="极境木桩",FALSE(),TRUE())</f>
        <v>1</v>
      </c>
    </row>
    <row r="2" spans="1:39">
      <c r="A2" s="12" t="s">
        <v>936</v>
      </c>
      <c r="B2" s="19" t="s">
        <v>1124</v>
      </c>
      <c r="C2" s="19" t="s">
        <v>1125</v>
      </c>
      <c r="D2" s="1" t="s">
        <v>817</v>
      </c>
      <c r="E2" s="1" t="s">
        <v>1090</v>
      </c>
      <c r="F2" s="1" t="s">
        <v>821</v>
      </c>
      <c r="G2" s="1" t="s">
        <v>1094</v>
      </c>
      <c r="H2" s="1" t="s">
        <v>32</v>
      </c>
      <c r="I2" s="1" t="s">
        <v>1087</v>
      </c>
      <c r="J2" s="19" t="s">
        <v>1126</v>
      </c>
      <c r="K2" s="19" t="s">
        <v>1127</v>
      </c>
      <c r="L2" s="1" t="s">
        <v>98</v>
      </c>
      <c r="M2" s="1" t="s">
        <v>1085</v>
      </c>
      <c r="N2" s="1" t="s">
        <v>42</v>
      </c>
      <c r="O2" s="1" t="s">
        <v>1086</v>
      </c>
      <c r="P2" s="19" t="s">
        <v>1128</v>
      </c>
      <c r="Q2" s="19" t="s">
        <v>1129</v>
      </c>
      <c r="R2" s="1" t="s">
        <v>1130</v>
      </c>
      <c r="S2" s="1" t="s">
        <v>1131</v>
      </c>
      <c r="T2" s="1" t="s">
        <v>820</v>
      </c>
      <c r="U2" s="1" t="s">
        <v>1093</v>
      </c>
      <c r="V2" s="19" t="s">
        <v>1132</v>
      </c>
      <c r="W2" s="19" t="s">
        <v>1133</v>
      </c>
      <c r="X2" s="1" t="s">
        <v>1134</v>
      </c>
      <c r="Y2" s="1" t="s">
        <v>37</v>
      </c>
      <c r="Z2" s="1" t="s">
        <v>1088</v>
      </c>
      <c r="AA2" s="1" t="s">
        <v>297</v>
      </c>
      <c r="AB2" s="1" t="s">
        <v>818</v>
      </c>
      <c r="AC2" s="1" t="s">
        <v>1091</v>
      </c>
      <c r="AD2" s="1" t="s">
        <v>822</v>
      </c>
      <c r="AE2" s="1" t="s">
        <v>1095</v>
      </c>
      <c r="AF2" s="19" t="s">
        <v>1135</v>
      </c>
      <c r="AG2" s="19" t="s">
        <v>1136</v>
      </c>
      <c r="AH2" s="1" t="s">
        <v>939</v>
      </c>
      <c r="AI2" s="1" t="s">
        <v>940</v>
      </c>
      <c r="AJ2" s="1" t="s">
        <v>1137</v>
      </c>
      <c r="AK2" s="19" t="s">
        <v>1099</v>
      </c>
      <c r="AL2" s="19" t="s">
        <v>1138</v>
      </c>
      <c r="AM2" s="19" t="s">
        <v>1139</v>
      </c>
    </row>
    <row r="3" spans="1:39">
      <c r="A3" s="12" t="str" cm="1">
        <f t="array" ref="A3:A8">大附魔技能[技能]</f>
        <v>昆吾·弦刃</v>
      </c>
      <c r="B3" s="20" cm="1">
        <f ca="1" t="array" ref="B3:B8">计算原始伤害(_xlfn.ANCHORARRAY(A3),B1,实战面板表[攻击],实战面板表[破招])</f>
        <v>2415000</v>
      </c>
      <c r="C3" s="20" cm="1">
        <f ca="1" t="array" ref="C3:C8">计算原始伤害(_xlfn.ANCHORARRAY(A3),B1,实战面板表[繁音攻击],实战面板表[繁音破招])</f>
        <v>2415000</v>
      </c>
      <c r="J3" s="20" cm="1">
        <f ca="1" t="array" ref="J3:J8">_xlfn.ANCHORARRAY(B3)</f>
        <v>2415000</v>
      </c>
      <c r="K3" s="20" cm="1">
        <f ca="1" t="array" ref="K3:K8">_xlfn.ANCHORARRAY(C3)</f>
        <v>2415000</v>
      </c>
      <c r="P3" s="20" cm="1">
        <f ca="1" t="array" ref="P3:P8">_xlfn.ANCHORARRAY(J3)</f>
        <v>2415000</v>
      </c>
      <c r="Q3" s="20" cm="1">
        <f ca="1" t="array" ref="Q3:Q8">_xlfn.ANCHORARRAY(K3)</f>
        <v>2415000</v>
      </c>
      <c r="R3" s="21"/>
      <c r="S3" s="21"/>
      <c r="T3" s="22"/>
      <c r="U3" s="23"/>
      <c r="V3" s="23">
        <v>0</v>
      </c>
      <c r="W3" s="23">
        <v>0</v>
      </c>
      <c r="AA3" s="21">
        <f>目标数据!M7</f>
        <v>0.2</v>
      </c>
      <c r="AB3" s="21" cm="1">
        <f ca="1" t="array" ref="AB3">计算易伤(B1,实战面板表[易伤])</f>
        <v>0.02</v>
      </c>
      <c r="AC3" s="21" cm="1">
        <f ca="1" t="array" ref="AC3">计算易伤(B1,实战面板表[繁音易伤])</f>
        <v>0.02</v>
      </c>
      <c r="AD3" s="21">
        <v>0</v>
      </c>
      <c r="AE3" s="21">
        <v>0</v>
      </c>
      <c r="AF3" s="20" cm="1">
        <f ca="1" t="array" ref="AF3:AF8">计算伤害(_xlfn.ANCHORARRAY(P3),V3,X3,Y3,AA3,AB3,AD3)</f>
        <v>1970640</v>
      </c>
      <c r="AG3" s="20" cm="1">
        <f ca="1" t="array" ref="AG3:AG8">计算伤害(_xlfn.ANCHORARRAY(Q3),W3,X3,Y3,AA3,AC3,AE3)</f>
        <v>1970640</v>
      </c>
      <c r="AH3" s="1" cm="1">
        <f ca="1" t="array" ref="AH3:AH8">大附魔技能[技能数]</f>
        <v>14.253160324497</v>
      </c>
      <c r="AI3" s="1" cm="1">
        <f ca="1" t="array" ref="AI3:AI8">大附魔技能[繁音技能数]</f>
        <v>9.60054898577335</v>
      </c>
      <c r="AJ3" s="1" cm="1">
        <f ca="1" t="array" ref="AJ3:AJ8">(_xlfn.ANCHORARRAY(AF3)*_xlfn.ANCHORARRAY(AH3)+_xlfn.ANCHORARRAY(AG3)*_xlfn.ANCHORARRAY(AI3))/技能数!$H$3</f>
        <v>156690.245717304</v>
      </c>
      <c r="AK3" s="23" cm="1">
        <f ca="1" t="array" ref="AK3:AK8">_xlfn.ANCHORARRAY(AJ3)/$AM$3</f>
        <v>0.0133769733956448</v>
      </c>
      <c r="AL3" s="20">
        <f ca="1">SUM(_xlfn.ANCHORARRAY(AJ3))</f>
        <v>442793.932285775</v>
      </c>
      <c r="AM3" s="24">
        <f ca="1">+AL3+AL11</f>
        <v>11713430.3166304</v>
      </c>
    </row>
    <row r="4" spans="1:39">
      <c r="A4" s="12" t="str">
        <v>刃凌</v>
      </c>
      <c r="B4" s="20">
        <v>1610000</v>
      </c>
      <c r="C4" s="20">
        <v>1610000</v>
      </c>
      <c r="D4" s="20"/>
      <c r="J4" s="20">
        <v>1610000</v>
      </c>
      <c r="K4" s="20">
        <v>1610000</v>
      </c>
      <c r="P4" s="20">
        <v>1610000</v>
      </c>
      <c r="Q4" s="20">
        <v>1610000</v>
      </c>
      <c r="T4" s="23"/>
      <c r="U4" s="23"/>
      <c r="V4" s="23"/>
      <c r="W4" s="23"/>
      <c r="AD4" s="21"/>
      <c r="AE4" s="21"/>
      <c r="AF4" s="20">
        <v>1313760</v>
      </c>
      <c r="AG4" s="20">
        <v>1313760</v>
      </c>
      <c r="AH4" s="1">
        <v>17.426325466205</v>
      </c>
      <c r="AI4" s="1">
        <v>11.6358179402064</v>
      </c>
      <c r="AJ4" s="1">
        <v>127268.938405357</v>
      </c>
      <c r="AK4" s="23">
        <v>0.0108652149682116</v>
      </c>
      <c r="AL4" s="20"/>
      <c r="AM4" s="19"/>
    </row>
    <row r="5" spans="1:39">
      <c r="A5" s="12" t="str">
        <v>逐云寒蕊</v>
      </c>
      <c r="B5" s="20">
        <v>348445.572151974</v>
      </c>
      <c r="C5" s="20">
        <v>348445.572151974</v>
      </c>
      <c r="J5" s="20">
        <v>348445.572151974</v>
      </c>
      <c r="K5" s="20">
        <v>348445.572151974</v>
      </c>
      <c r="P5" s="20">
        <v>348445.572151974</v>
      </c>
      <c r="Q5" s="20">
        <v>348445.572151974</v>
      </c>
      <c r="V5" s="19"/>
      <c r="W5" s="19"/>
      <c r="AD5" s="21"/>
      <c r="AE5" s="21"/>
      <c r="AF5" s="20">
        <v>284331.586876011</v>
      </c>
      <c r="AG5" s="20">
        <v>284331.586876011</v>
      </c>
      <c r="AH5" s="1">
        <v>43.2</v>
      </c>
      <c r="AI5" s="1">
        <v>28.8</v>
      </c>
      <c r="AJ5" s="1">
        <v>68239.5808502426</v>
      </c>
      <c r="AK5" s="20">
        <v>0.00582575547944806</v>
      </c>
      <c r="AL5" s="20"/>
      <c r="AM5" s="19"/>
    </row>
    <row r="6" spans="1:39">
      <c r="A6" s="12" t="str">
        <v>巽</v>
      </c>
      <c r="B6" s="20">
        <v>1138845</v>
      </c>
      <c r="C6" s="20">
        <v>1138845</v>
      </c>
      <c r="J6" s="20">
        <v>1138845</v>
      </c>
      <c r="K6" s="20">
        <v>1138845</v>
      </c>
      <c r="P6" s="20">
        <v>1138845</v>
      </c>
      <c r="Q6" s="20">
        <v>1138845</v>
      </c>
      <c r="V6" s="19"/>
      <c r="W6" s="19"/>
      <c r="AD6" s="21"/>
      <c r="AE6" s="21"/>
      <c r="AF6" s="20">
        <v>929297.52</v>
      </c>
      <c r="AG6" s="20">
        <v>929297.52</v>
      </c>
      <c r="AH6" s="1">
        <v>17.5389401690875</v>
      </c>
      <c r="AI6" s="1">
        <v>11.7073987147842</v>
      </c>
      <c r="AJ6" s="1">
        <v>90595.1673128719</v>
      </c>
      <c r="AK6" s="25">
        <v>0.00773429856702586</v>
      </c>
      <c r="AL6" s="20"/>
      <c r="AM6" s="19"/>
    </row>
    <row r="7" spans="1:39">
      <c r="A7" s="12" t="str">
        <v>无修·荒</v>
      </c>
      <c r="B7" s="19">
        <v>0</v>
      </c>
      <c r="C7" s="19">
        <v>0</v>
      </c>
      <c r="J7" s="19">
        <v>0</v>
      </c>
      <c r="K7" s="19">
        <v>0</v>
      </c>
      <c r="P7" s="19">
        <v>0</v>
      </c>
      <c r="Q7" s="19">
        <v>0</v>
      </c>
      <c r="V7" s="19"/>
      <c r="W7" s="19"/>
      <c r="AD7" s="21"/>
      <c r="AE7" s="21"/>
      <c r="AF7" s="19">
        <v>0</v>
      </c>
      <c r="AG7" s="19">
        <v>0</v>
      </c>
      <c r="AH7" s="1">
        <v>0</v>
      </c>
      <c r="AI7" s="1">
        <v>0</v>
      </c>
      <c r="AJ7" s="1">
        <v>0</v>
      </c>
      <c r="AK7" s="19">
        <v>0</v>
      </c>
      <c r="AL7" s="20"/>
      <c r="AM7" s="19"/>
    </row>
    <row r="8" spans="1:39">
      <c r="A8" s="12" t="str">
        <v>速·震</v>
      </c>
      <c r="B8" s="19">
        <v>0</v>
      </c>
      <c r="C8" s="19">
        <v>0</v>
      </c>
      <c r="J8" s="19">
        <v>0</v>
      </c>
      <c r="K8" s="19">
        <v>0</v>
      </c>
      <c r="P8" s="19">
        <v>0</v>
      </c>
      <c r="Q8" s="19">
        <v>0</v>
      </c>
      <c r="V8" s="19"/>
      <c r="W8" s="19"/>
      <c r="AF8" s="19">
        <v>0</v>
      </c>
      <c r="AG8" s="19">
        <v>0</v>
      </c>
      <c r="AH8" s="1">
        <v>0</v>
      </c>
      <c r="AI8" s="1">
        <v>0</v>
      </c>
      <c r="AJ8" s="1">
        <v>0</v>
      </c>
      <c r="AK8" s="19">
        <v>0</v>
      </c>
      <c r="AL8" s="20"/>
      <c r="AM8" s="19"/>
    </row>
    <row r="9" spans="1:39">
      <c r="A9" s="12"/>
      <c r="B9" s="19"/>
      <c r="C9" s="19"/>
      <c r="J9" s="19"/>
      <c r="K9" s="19"/>
      <c r="P9" s="19"/>
      <c r="Q9" s="19"/>
      <c r="V9" s="19"/>
      <c r="W9" s="19"/>
      <c r="AF9" s="19"/>
      <c r="AG9" s="19"/>
      <c r="AK9" s="19"/>
      <c r="AL9" s="20"/>
      <c r="AM9" s="19"/>
    </row>
    <row r="10" spans="1:39">
      <c r="A10" s="12"/>
      <c r="B10" s="19"/>
      <c r="C10" s="19"/>
      <c r="J10" s="19"/>
      <c r="K10" s="19"/>
      <c r="P10" s="19"/>
      <c r="Q10" s="19"/>
      <c r="V10" s="19"/>
      <c r="W10" s="19"/>
      <c r="AF10" s="19"/>
      <c r="AG10" s="19"/>
      <c r="AK10" s="19"/>
      <c r="AL10" s="20"/>
      <c r="AM10" s="19"/>
    </row>
    <row r="11" spans="1:39">
      <c r="A11" s="1" t="str" cm="1">
        <f t="array" ref="A11:A34">计算技能</f>
        <v>剑破虚空</v>
      </c>
      <c r="B11" s="20" cm="1">
        <f ca="1" t="array" ref="B11:B34">计算原始伤害(计算技能,B1,实战面板表[攻击],实战面板表[破招])</f>
        <v>561017.582072558</v>
      </c>
      <c r="C11" s="20" cm="1">
        <f ca="1" t="array" ref="C11:C34">计算原始伤害(计算技能,B1,实战面板表[繁音攻击],实战面板表[繁音破招])</f>
        <v>725879.78130345</v>
      </c>
      <c r="D11" s="23" cm="1">
        <f ca="1" t="array" ref="D11:D34">计算增伤(计算技能,B1,实战面板表[增伤])</f>
        <v>0.06</v>
      </c>
      <c r="E11" s="23" cm="1">
        <f ca="1" t="array" ref="E11:E34">计算增伤(计算技能,B1,实战面板表[繁音增伤])</f>
        <v>0.06</v>
      </c>
      <c r="F11" s="23" cm="1">
        <f ca="1" t="array" ref="F11:F34">计算独立增伤(计算技能,B1,实战面板表[独立增伤])</f>
        <v>0</v>
      </c>
      <c r="G11" s="23" cm="1">
        <f ca="1" t="array" ref="G11:G34">计算独立增伤(计算技能,B1,实战面板表[繁音独立])</f>
        <v>0</v>
      </c>
      <c r="H11" s="23" cm="1">
        <f ca="1" t="array" ref="H11">计算破防($B$1,实战面板表[破防])</f>
        <v>0.369370182724547</v>
      </c>
      <c r="I11" s="23" cm="1">
        <f ca="1" t="array" ref="I11">计算破防($B$1,实战面板表[繁音破防])</f>
        <v>0.41698752332296</v>
      </c>
      <c r="J11" s="20" cm="1">
        <f ca="1" t="array" ref="J11:J34">计算裸伤(_xlfn.ANCHORARRAY(B11),_xlfn.ANCHORARRAY(D11),_xlfn.ANCHORARRAY(F11),H11)</f>
        <v>814335.193806845</v>
      </c>
      <c r="K11" s="26" cm="1">
        <f ca="1" t="array" ref="K11:K34">计算裸伤(_xlfn.ANCHORARRAY(C11),_xlfn.ANCHORARRAY(E11),_xlfn.ANCHORARRAY(G11),I11)</f>
        <v>1090276.34915175</v>
      </c>
      <c r="L11" s="23" cm="1">
        <f ca="1" t="array" ref="L11:L34">计算会心(计算技能,B1,实战面板表[会心])</f>
        <v>0.848535429406737</v>
      </c>
      <c r="M11" s="23" cm="1">
        <f ca="1" t="array" ref="M11:M34">计算会心(计算技能,B1,实战面板表[繁音会心])</f>
        <v>0.848535429406737</v>
      </c>
      <c r="N11" s="23" cm="1">
        <f ca="1" t="array" ref="N11:N34">计算会效(计算技能,B1,实战面板表[会效])</f>
        <v>2.408740226401</v>
      </c>
      <c r="O11" s="23" cm="1">
        <f ca="1" t="array" ref="O11:O34">计算会效(计算技能,B1,实战面板表[繁音会效])</f>
        <v>2.408740226401</v>
      </c>
      <c r="P11" s="20" cm="1">
        <f ca="1" t="array" ref="P11:P34">计算期望(_xlfn.ANCHORARRAY(J11),_xlfn.ANCHORARRAY(L11),_xlfn.ANCHORARRAY(N11))</f>
        <v>1787763.79133101</v>
      </c>
      <c r="Q11" s="20" cm="1">
        <f ca="1" t="array" ref="Q11:Q34">计算期望(_xlfn.ANCHORARRAY(K11),_xlfn.ANCHORARRAY(M11),_xlfn.ANCHORARRAY(O11))</f>
        <v>2393555.6198255</v>
      </c>
      <c r="R11" s="27" cm="1">
        <f ca="1" t="array" ref="R11">计算降防(B1,实战面板表[降低防御])</f>
        <v>0.15</v>
      </c>
      <c r="S11" s="27" cm="1">
        <f ca="1" t="array" ref="S11">计算降防(B1,实战面板表[繁音降防])</f>
        <v>0.15</v>
      </c>
      <c r="T11" s="23" cm="1">
        <f ca="1" t="array" ref="T11:T34">计算无视(计算技能,B1,实战面板表[无视防御])</f>
        <v>0.5</v>
      </c>
      <c r="U11" s="23" cm="1">
        <f ca="1" t="array" ref="U11:U34">计算无视(计算技能,B1,实战面板表[繁音无视])</f>
        <v>0.494569126038313</v>
      </c>
      <c r="V11" s="23" cm="1">
        <f ca="1" t="array" ref="V11:V34">计算防御减伤(R11,_xlfn.ANCHORARRAY(T11))</f>
        <v>0.186223583919471</v>
      </c>
      <c r="W11" s="23" cm="1">
        <f ca="1" t="array" ref="W11:W34">计算防御减伤(S11,_xlfn.ANCHORARRAY(U11))</f>
        <v>0.18786629782493</v>
      </c>
      <c r="X11" s="1">
        <f ca="1">IF(全局设置!H2,常更新数据!AE24,常更新数据!AE19)</f>
        <v>0.2592</v>
      </c>
      <c r="Y11" s="23" cm="1">
        <f ca="1" t="array" ref="Y11">计算无双(B1,实战面板表[无双])</f>
        <v>2.04436332436332</v>
      </c>
      <c r="Z11" s="23" cm="1">
        <f ca="1" t="array" ref="Z11">计算无双(B1,实战面板表[繁音无双])</f>
        <v>2.04436332436332</v>
      </c>
      <c r="AD11" s="23" cm="1">
        <f ca="1" t="array" ref="AD11:AD34">计算最终增伤(计算技能,$B$1,实战面板表[最终增伤])</f>
        <v>0.0791624882395013</v>
      </c>
      <c r="AE11" s="23" cm="1">
        <f ca="1" t="array" ref="AE11:AE34">计算最终增伤(计算技能,$B$1,实战面板表[繁音最终])</f>
        <v>0.109718043795057</v>
      </c>
      <c r="AF11" s="20" cm="1">
        <f ca="1" t="array" ref="AF11:AF34">计算伤害(_xlfn.ANCHORARRAY(P11),_xlfn.ANCHORARRAY(V11),X11,Y11,AA3,AB3,_xlfn.ANCHORARRAY(AD11))</f>
        <v>4911152.64073925</v>
      </c>
      <c r="AG11" s="26" cm="1">
        <f ca="1" t="array" ref="AG11:AG34">计算伤害(_xlfn.ANCHORARRAY(Q11),_xlfn.ANCHORARRAY(W11),X11,Y11,AA3,AC3,AE11)</f>
        <v>6747844.40490889</v>
      </c>
      <c r="AH11" s="20" cm="1">
        <f ca="1" t="array" ref="AH11:AH34">技能数</f>
        <v>38.488849382298</v>
      </c>
      <c r="AI11" s="20" cm="1">
        <f ca="1" t="array" ref="AI11:AI34">繁音技能数</f>
        <v>24.2548477174146</v>
      </c>
      <c r="AJ11" s="20" cm="1">
        <f ca="1" t="array" ref="AJ11:AJ34">计算秒伤(计算技能,B1)</f>
        <v>1175641.84248254</v>
      </c>
      <c r="AK11" s="23" cm="1">
        <f ca="1" t="array" ref="AK11:AK34">_xlfn.ANCHORARRAY(AJ11)/$AM$3</f>
        <v>0.100366998454193</v>
      </c>
      <c r="AL11" s="20">
        <f ca="1">SUM(_xlfn.ANCHORARRAY(AJ11))</f>
        <v>11270636.3843446</v>
      </c>
    </row>
    <row r="12" spans="1:39">
      <c r="A12" s="1" t="str">
        <v>玳弦2</v>
      </c>
      <c r="B12" s="20">
        <v>128833.92807543</v>
      </c>
      <c r="C12" s="20">
        <v>166625.12493586</v>
      </c>
      <c r="D12" s="23">
        <v>0.28</v>
      </c>
      <c r="E12" s="23">
        <v>0.28</v>
      </c>
      <c r="F12" s="23">
        <v>0.45</v>
      </c>
      <c r="G12" s="23">
        <v>0.45</v>
      </c>
      <c r="H12" s="23"/>
      <c r="I12" s="23"/>
      <c r="J12" s="20">
        <v>327438.006352858</v>
      </c>
      <c r="K12" s="26">
        <v>438212.222085187</v>
      </c>
      <c r="L12" s="23">
        <v>0.798535429406736</v>
      </c>
      <c r="M12" s="23">
        <v>0.798535429406736</v>
      </c>
      <c r="N12" s="23">
        <v>2.408740226401</v>
      </c>
      <c r="O12" s="23">
        <v>2.408740226401</v>
      </c>
      <c r="P12" s="20">
        <v>695782.509380334</v>
      </c>
      <c r="Q12" s="20">
        <v>931169.850805263</v>
      </c>
      <c r="R12" s="21"/>
      <c r="S12" s="21"/>
      <c r="T12" s="23">
        <v>0.5</v>
      </c>
      <c r="U12" s="23">
        <v>0.494569126038313</v>
      </c>
      <c r="V12" s="23">
        <v>0.186223583919471</v>
      </c>
      <c r="W12" s="23">
        <v>0.18786629782493</v>
      </c>
      <c r="Y12" s="23"/>
      <c r="Z12" s="23"/>
      <c r="AA12" s="21"/>
      <c r="AB12" s="21"/>
      <c r="AC12" s="21"/>
      <c r="AD12" s="21">
        <v>0.0791624882395013</v>
      </c>
      <c r="AE12" s="21">
        <v>0.109718043795057</v>
      </c>
      <c r="AF12" s="20">
        <v>1911378.96678137</v>
      </c>
      <c r="AG12" s="26">
        <v>2625127.7454059</v>
      </c>
      <c r="AH12" s="20">
        <v>95.3901277989014</v>
      </c>
      <c r="AI12" s="20">
        <v>0</v>
      </c>
      <c r="AJ12" s="20">
        <v>607755.61304469</v>
      </c>
      <c r="AK12" s="23">
        <v>0.0518853654835693</v>
      </c>
      <c r="AL12" s="24"/>
      <c r="AM12" s="20"/>
    </row>
    <row r="13" spans="1:39">
      <c r="A13" s="1" t="str">
        <v>玳弦3</v>
      </c>
      <c r="B13" s="20">
        <v>139548.255415049</v>
      </c>
      <c r="C13" s="20">
        <v>180488.718680515</v>
      </c>
      <c r="D13" s="23">
        <v>0.28</v>
      </c>
      <c r="E13" s="23">
        <v>0.28</v>
      </c>
      <c r="F13" s="23">
        <v>0.45</v>
      </c>
      <c r="G13" s="23">
        <v>0.45</v>
      </c>
      <c r="H13" s="23"/>
      <c r="I13" s="23"/>
      <c r="J13" s="20">
        <v>354669.016350805</v>
      </c>
      <c r="K13" s="26">
        <v>474672.487145874</v>
      </c>
      <c r="L13" s="23">
        <v>0.798535429406736</v>
      </c>
      <c r="M13" s="23">
        <v>0.798535429406736</v>
      </c>
      <c r="N13" s="23">
        <v>2.408740226401</v>
      </c>
      <c r="O13" s="23">
        <v>2.408740226401</v>
      </c>
      <c r="P13" s="20">
        <v>753646.471723529</v>
      </c>
      <c r="Q13" s="20">
        <v>1008645.32470996</v>
      </c>
      <c r="R13" s="21"/>
      <c r="S13" s="21"/>
      <c r="T13" s="23">
        <v>0.5</v>
      </c>
      <c r="U13" s="23">
        <v>0.494569126038313</v>
      </c>
      <c r="V13" s="23">
        <v>0.186223583919471</v>
      </c>
      <c r="W13" s="23">
        <v>0.18786629782493</v>
      </c>
      <c r="Y13" s="23"/>
      <c r="Z13" s="23"/>
      <c r="AA13" s="21"/>
      <c r="AB13" s="21"/>
      <c r="AC13" s="21"/>
      <c r="AD13" s="21">
        <v>0.0791624882395013</v>
      </c>
      <c r="AE13" s="21">
        <v>0.109718043795057</v>
      </c>
      <c r="AF13" s="20">
        <v>2070336.62821484</v>
      </c>
      <c r="AG13" s="26">
        <v>2843544.41338523</v>
      </c>
      <c r="AH13" s="20">
        <v>63.1781387044025</v>
      </c>
      <c r="AI13" s="20">
        <v>36.8912463598293</v>
      </c>
      <c r="AJ13" s="20">
        <v>785673.04050491</v>
      </c>
      <c r="AK13" s="23">
        <v>0.0670745477001244</v>
      </c>
      <c r="AL13" s="24"/>
      <c r="AM13" s="20"/>
    </row>
    <row r="14" spans="1:39">
      <c r="A14" s="1" t="str">
        <v>急曲</v>
      </c>
      <c r="B14" s="20">
        <v>22206.3681644756</v>
      </c>
      <c r="C14" s="20">
        <v>28704.1015630345</v>
      </c>
      <c r="D14" s="23">
        <v>0.06</v>
      </c>
      <c r="E14" s="23">
        <v>0.06</v>
      </c>
      <c r="F14" s="23">
        <v>0</v>
      </c>
      <c r="G14" s="23">
        <v>0</v>
      </c>
      <c r="H14" s="23"/>
      <c r="I14" s="23"/>
      <c r="J14" s="20">
        <v>32233.2627368987</v>
      </c>
      <c r="K14" s="26">
        <v>43113.7550099958</v>
      </c>
      <c r="L14" s="23">
        <v>0.798535429406736</v>
      </c>
      <c r="M14" s="23">
        <v>0.798535429406736</v>
      </c>
      <c r="N14" s="23">
        <v>2.408740226401</v>
      </c>
      <c r="O14" s="23">
        <v>2.408740226401</v>
      </c>
      <c r="P14" s="20">
        <v>68493.3941615395</v>
      </c>
      <c r="Q14" s="20">
        <v>91613.6675268455</v>
      </c>
      <c r="R14" s="21"/>
      <c r="S14" s="21"/>
      <c r="T14" s="23">
        <v>0.5</v>
      </c>
      <c r="U14" s="23">
        <v>0.494569126038313</v>
      </c>
      <c r="V14" s="23">
        <v>0.186223583919471</v>
      </c>
      <c r="W14" s="23">
        <v>0.18786629782493</v>
      </c>
      <c r="Y14" s="23"/>
      <c r="Z14" s="23"/>
      <c r="AA14" s="21"/>
      <c r="AB14" s="21"/>
      <c r="AC14" s="21"/>
      <c r="AD14" s="21">
        <v>0.0791624882395013</v>
      </c>
      <c r="AE14" s="21">
        <v>0.109718043795057</v>
      </c>
      <c r="AF14" s="20">
        <v>188157.694680235</v>
      </c>
      <c r="AG14" s="26">
        <v>258274.664149762</v>
      </c>
      <c r="AH14" s="20">
        <v>1593.56955018653</v>
      </c>
      <c r="AI14" s="20">
        <v>932.198191889678</v>
      </c>
      <c r="AJ14" s="20">
        <v>1802018.49269013</v>
      </c>
      <c r="AK14" s="23">
        <v>0.153842080755086</v>
      </c>
      <c r="AL14" s="24"/>
      <c r="AM14" s="20"/>
    </row>
    <row r="15" spans="1:39">
      <c r="A15" s="1" t="str">
        <v>化冰</v>
      </c>
      <c r="B15" s="20">
        <v>78119.4101149418</v>
      </c>
      <c r="C15" s="20">
        <v>101074.90619655</v>
      </c>
      <c r="D15" s="23">
        <v>0.06</v>
      </c>
      <c r="E15" s="23">
        <v>0.06</v>
      </c>
      <c r="F15" s="23">
        <v>0</v>
      </c>
      <c r="G15" s="23">
        <v>0</v>
      </c>
      <c r="H15" s="23"/>
      <c r="I15" s="23"/>
      <c r="J15" s="20">
        <v>113392.854357637</v>
      </c>
      <c r="K15" s="26">
        <v>151815.193861643</v>
      </c>
      <c r="L15" s="23">
        <v>0.798535429406736</v>
      </c>
      <c r="M15" s="23">
        <v>0.798535429406736</v>
      </c>
      <c r="N15" s="23">
        <v>2.408740226401</v>
      </c>
      <c r="O15" s="23">
        <v>2.408740226401</v>
      </c>
      <c r="P15" s="20">
        <v>240951.762532215</v>
      </c>
      <c r="Q15" s="20">
        <v>322596.505285599</v>
      </c>
      <c r="R15" s="21"/>
      <c r="S15" s="21"/>
      <c r="T15" s="23">
        <v>0.5</v>
      </c>
      <c r="U15" s="23">
        <v>0.494569126038313</v>
      </c>
      <c r="V15" s="23">
        <v>0.186223583919471</v>
      </c>
      <c r="W15" s="23">
        <v>0.18786629782493</v>
      </c>
      <c r="Y15" s="23"/>
      <c r="Z15" s="23"/>
      <c r="AA15" s="21"/>
      <c r="AB15" s="21"/>
      <c r="AC15" s="21"/>
      <c r="AD15" s="21">
        <v>0.0791624882395013</v>
      </c>
      <c r="AE15" s="21">
        <v>0.109718043795057</v>
      </c>
      <c r="AF15" s="20">
        <v>661916.798286784</v>
      </c>
      <c r="AG15" s="26">
        <v>909454.95697037</v>
      </c>
      <c r="AH15" s="20">
        <v>202.754893664251</v>
      </c>
      <c r="AI15" s="20">
        <v>143.875860803334</v>
      </c>
      <c r="AJ15" s="20">
        <v>883518.282823965</v>
      </c>
      <c r="AK15" s="23">
        <v>0.0754278003062493</v>
      </c>
      <c r="AL15" s="24"/>
      <c r="AM15" s="20"/>
    </row>
    <row r="16" spans="1:39">
      <c r="A16" s="1" t="str">
        <v>剑气长江</v>
      </c>
      <c r="B16" s="20">
        <v>469413.901930667</v>
      </c>
      <c r="C16" s="20">
        <v>607336.5932155</v>
      </c>
      <c r="D16" s="23">
        <v>0.16</v>
      </c>
      <c r="E16" s="23">
        <v>0.16</v>
      </c>
      <c r="F16" s="23">
        <v>0</v>
      </c>
      <c r="G16" s="23">
        <v>0</v>
      </c>
      <c r="H16" s="23"/>
      <c r="I16" s="23"/>
      <c r="J16" s="20">
        <v>745649.624765879</v>
      </c>
      <c r="K16" s="26">
        <v>998282.515050849</v>
      </c>
      <c r="L16" s="23">
        <v>0.898535429406736</v>
      </c>
      <c r="M16" s="23">
        <v>0.898535429406736</v>
      </c>
      <c r="N16" s="23">
        <v>2.408740226401</v>
      </c>
      <c r="O16" s="23">
        <v>2.408740226401</v>
      </c>
      <c r="P16" s="20">
        <v>1689495.15991373</v>
      </c>
      <c r="Q16" s="20">
        <v>2261911.52169423</v>
      </c>
      <c r="R16" s="21"/>
      <c r="S16" s="21"/>
      <c r="T16" s="23">
        <v>0.5</v>
      </c>
      <c r="U16" s="23">
        <v>0.494569126038313</v>
      </c>
      <c r="V16" s="23">
        <v>0.186223583919471</v>
      </c>
      <c r="W16" s="23">
        <v>0.18786629782493</v>
      </c>
      <c r="Y16" s="23"/>
      <c r="Z16" s="23"/>
      <c r="AA16" s="21"/>
      <c r="AB16" s="21"/>
      <c r="AC16" s="21"/>
      <c r="AD16" s="21">
        <v>0.0791624882395013</v>
      </c>
      <c r="AE16" s="21">
        <v>0.109718043795057</v>
      </c>
      <c r="AF16" s="20">
        <v>4641199.61281296</v>
      </c>
      <c r="AG16" s="26">
        <v>6376717.08133361</v>
      </c>
      <c r="AH16" s="20">
        <v>0</v>
      </c>
      <c r="AI16" s="20">
        <v>0</v>
      </c>
      <c r="AJ16" s="20">
        <v>0</v>
      </c>
      <c r="AK16" s="23">
        <v>0</v>
      </c>
      <c r="AL16" s="24"/>
      <c r="AM16" s="20"/>
    </row>
    <row r="17" spans="1:39">
      <c r="A17" s="1" t="str">
        <v>玳弦•流玉2</v>
      </c>
      <c r="B17" s="20">
        <v>128833.92807543</v>
      </c>
      <c r="C17" s="20">
        <v>166625.12493586</v>
      </c>
      <c r="D17" s="23">
        <v>1.18</v>
      </c>
      <c r="E17" s="23">
        <v>1.18</v>
      </c>
      <c r="F17" s="23">
        <v>0.45</v>
      </c>
      <c r="G17" s="23">
        <v>0.45</v>
      </c>
      <c r="H17" s="23"/>
      <c r="I17" s="23"/>
      <c r="J17" s="20">
        <v>557667.854569712</v>
      </c>
      <c r="K17" s="26">
        <v>746330.190738834</v>
      </c>
      <c r="L17" s="23">
        <v>0.798535429406736</v>
      </c>
      <c r="M17" s="23">
        <v>0.798535429406736</v>
      </c>
      <c r="N17" s="23">
        <v>2.408740226401</v>
      </c>
      <c r="O17" s="23">
        <v>2.408740226401</v>
      </c>
      <c r="P17" s="20">
        <v>1185004.58628838</v>
      </c>
      <c r="Q17" s="20">
        <v>1585898.65215271</v>
      </c>
      <c r="R17" s="21"/>
      <c r="S17" s="21"/>
      <c r="T17" s="23">
        <v>0.5</v>
      </c>
      <c r="U17" s="23">
        <v>0.494569126038313</v>
      </c>
      <c r="V17" s="23">
        <v>0.186223583919471</v>
      </c>
      <c r="W17" s="23">
        <v>0.18786629782493</v>
      </c>
      <c r="Y17" s="23"/>
      <c r="Z17" s="23"/>
      <c r="AA17" s="21"/>
      <c r="AB17" s="21"/>
      <c r="AC17" s="21"/>
      <c r="AD17" s="21">
        <v>0.0791624882395013</v>
      </c>
      <c r="AE17" s="21">
        <v>0.109718043795057</v>
      </c>
      <c r="AF17" s="20">
        <v>3255317.30279952</v>
      </c>
      <c r="AG17" s="26">
        <v>4470920.69139442</v>
      </c>
      <c r="AH17" s="20">
        <v>25.9014705882353</v>
      </c>
      <c r="AI17" s="20">
        <v>0</v>
      </c>
      <c r="AJ17" s="20">
        <v>281058.351246118</v>
      </c>
      <c r="AK17" s="23">
        <v>0.0239945382051813</v>
      </c>
      <c r="AL17" s="24"/>
      <c r="AM17" s="20"/>
    </row>
    <row r="18" spans="1:39">
      <c r="A18" s="1" t="str">
        <v>玳弦•流玉3</v>
      </c>
      <c r="B18" s="20">
        <v>139548.255415049</v>
      </c>
      <c r="C18" s="20">
        <v>180488.718680515</v>
      </c>
      <c r="D18" s="23">
        <v>1.18</v>
      </c>
      <c r="E18" s="23">
        <v>1.18</v>
      </c>
      <c r="F18" s="23">
        <v>0.45</v>
      </c>
      <c r="G18" s="23">
        <v>0.45</v>
      </c>
      <c r="H18" s="23"/>
      <c r="I18" s="23"/>
      <c r="J18" s="20">
        <v>604045.668472465</v>
      </c>
      <c r="K18" s="26">
        <v>808426.579670317</v>
      </c>
      <c r="L18" s="23">
        <v>0.798535429406736</v>
      </c>
      <c r="M18" s="23">
        <v>0.798535429406736</v>
      </c>
      <c r="N18" s="23">
        <v>2.408740226401</v>
      </c>
      <c r="O18" s="23">
        <v>2.408740226401</v>
      </c>
      <c r="P18" s="20">
        <v>1283554.14715414</v>
      </c>
      <c r="Q18" s="20">
        <v>1717849.06864665</v>
      </c>
      <c r="R18" s="21"/>
      <c r="S18" s="21"/>
      <c r="T18" s="23">
        <v>0.5</v>
      </c>
      <c r="U18" s="23">
        <v>0.494569126038313</v>
      </c>
      <c r="V18" s="23">
        <v>0.186223583919471</v>
      </c>
      <c r="W18" s="23">
        <v>0.18786629782493</v>
      </c>
      <c r="Y18" s="23"/>
      <c r="Z18" s="23"/>
      <c r="AA18" s="21"/>
      <c r="AB18" s="21"/>
      <c r="AC18" s="21"/>
      <c r="AD18" s="21">
        <v>0.0791624882395013</v>
      </c>
      <c r="AE18" s="21">
        <v>0.109718043795057</v>
      </c>
      <c r="AF18" s="20">
        <v>3526042.06992841</v>
      </c>
      <c r="AG18" s="26">
        <v>4842911.57904671</v>
      </c>
      <c r="AH18" s="20">
        <v>23.484</v>
      </c>
      <c r="AI18" s="20">
        <v>110.673739079488</v>
      </c>
      <c r="AJ18" s="20">
        <v>2062629.01484882</v>
      </c>
      <c r="AK18" s="23">
        <v>0.176090945102593</v>
      </c>
      <c r="AL18" s="24"/>
      <c r="AM18" s="20"/>
    </row>
    <row r="19" spans="1:39">
      <c r="A19" s="1" t="str">
        <v>破•霜降2</v>
      </c>
      <c r="B19" s="20">
        <v>36871.043216385</v>
      </c>
      <c r="C19" s="20">
        <v>36871.043216385</v>
      </c>
      <c r="D19" s="23">
        <v>0.06</v>
      </c>
      <c r="E19" s="23">
        <v>0.06</v>
      </c>
      <c r="F19" s="23">
        <v>0</v>
      </c>
      <c r="G19" s="23">
        <v>0</v>
      </c>
      <c r="H19" s="23"/>
      <c r="I19" s="23"/>
      <c r="J19" s="20">
        <v>53519.5136176537</v>
      </c>
      <c r="K19" s="26">
        <v>55380.5567020903</v>
      </c>
      <c r="L19" s="23">
        <v>0.798535429406736</v>
      </c>
      <c r="M19" s="23">
        <v>0.798535429406736</v>
      </c>
      <c r="N19" s="23">
        <v>2.408740226401</v>
      </c>
      <c r="O19" s="23">
        <v>2.408740226401</v>
      </c>
      <c r="P19" s="20">
        <v>113725.165567913</v>
      </c>
      <c r="Q19" s="20">
        <v>117679.74995406</v>
      </c>
      <c r="R19" s="21"/>
      <c r="S19" s="21"/>
      <c r="T19" s="23">
        <v>0.5</v>
      </c>
      <c r="U19" s="23">
        <v>0.494569126038313</v>
      </c>
      <c r="V19" s="23">
        <v>0.186223583919471</v>
      </c>
      <c r="W19" s="23">
        <v>0.18786629782493</v>
      </c>
      <c r="Y19" s="23"/>
      <c r="Z19" s="23"/>
      <c r="AA19" s="21"/>
      <c r="AB19" s="21"/>
      <c r="AC19" s="21"/>
      <c r="AD19" s="21">
        <v>0.0791624882395013</v>
      </c>
      <c r="AE19" s="21">
        <v>0.109718043795057</v>
      </c>
      <c r="AF19" s="20">
        <v>312413.558158899</v>
      </c>
      <c r="AG19" s="26">
        <v>331759.427573475</v>
      </c>
      <c r="AH19" s="20">
        <v>69.5000858758293</v>
      </c>
      <c r="AI19" s="20">
        <v>0</v>
      </c>
      <c r="AJ19" s="20">
        <v>72375.8970693895</v>
      </c>
      <c r="AK19" s="23">
        <v>0.00617888143037246</v>
      </c>
      <c r="AL19" s="24"/>
      <c r="AM19" s="20"/>
    </row>
    <row r="20" spans="1:39">
      <c r="A20" s="1" t="str">
        <v>破•霜降3</v>
      </c>
      <c r="B20" s="20">
        <v>47356.492647968</v>
      </c>
      <c r="C20" s="20">
        <v>47356.492647968</v>
      </c>
      <c r="D20" s="23">
        <v>0.06</v>
      </c>
      <c r="E20" s="23">
        <v>0.06</v>
      </c>
      <c r="F20" s="23">
        <v>0</v>
      </c>
      <c r="G20" s="23">
        <v>0</v>
      </c>
      <c r="H20" s="23"/>
      <c r="I20" s="23"/>
      <c r="J20" s="20">
        <v>68739.4831299741</v>
      </c>
      <c r="K20" s="26">
        <v>71129.7727843365</v>
      </c>
      <c r="L20" s="23">
        <v>0.798535429406736</v>
      </c>
      <c r="M20" s="23">
        <v>0.798535429406736</v>
      </c>
      <c r="N20" s="23">
        <v>2.408740226401</v>
      </c>
      <c r="O20" s="23">
        <v>2.408740226401</v>
      </c>
      <c r="P20" s="20">
        <v>146066.519883888</v>
      </c>
      <c r="Q20" s="20">
        <v>151145.71564489</v>
      </c>
      <c r="R20" s="21"/>
      <c r="S20" s="21"/>
      <c r="T20" s="23">
        <v>0.5</v>
      </c>
      <c r="U20" s="23">
        <v>0.494569126038313</v>
      </c>
      <c r="V20" s="23">
        <v>0.186223583919471</v>
      </c>
      <c r="W20" s="23">
        <v>0.18786629782493</v>
      </c>
      <c r="Y20" s="23"/>
      <c r="Z20" s="23"/>
      <c r="AA20" s="21"/>
      <c r="AB20" s="21"/>
      <c r="AC20" s="21"/>
      <c r="AD20" s="21">
        <v>0.0791624882395013</v>
      </c>
      <c r="AE20" s="21">
        <v>0.109718043795057</v>
      </c>
      <c r="AF20" s="20">
        <v>401258.252533055</v>
      </c>
      <c r="AG20" s="26">
        <v>426105.732907378</v>
      </c>
      <c r="AH20" s="20">
        <v>41.3811712313522</v>
      </c>
      <c r="AI20" s="20">
        <v>70.4622805472739</v>
      </c>
      <c r="AJ20" s="20">
        <v>155429.72716995</v>
      </c>
      <c r="AK20" s="23">
        <v>0.0132693602957005</v>
      </c>
      <c r="AL20" s="24"/>
      <c r="AM20" s="20"/>
    </row>
    <row r="21" spans="1:39">
      <c r="A21" s="1" t="str">
        <v>盈袖</v>
      </c>
      <c r="B21" s="20">
        <v>133035.929728808</v>
      </c>
      <c r="C21" s="20">
        <v>172117.18755345</v>
      </c>
      <c r="D21" s="23">
        <v>0.06</v>
      </c>
      <c r="E21" s="23">
        <v>0.06</v>
      </c>
      <c r="F21" s="23">
        <v>0</v>
      </c>
      <c r="G21" s="23">
        <v>0</v>
      </c>
      <c r="H21" s="23"/>
      <c r="I21" s="23"/>
      <c r="J21" s="20">
        <v>193105.961525768</v>
      </c>
      <c r="K21" s="26">
        <v>258521.181751437</v>
      </c>
      <c r="L21" s="23">
        <v>0.798535429406736</v>
      </c>
      <c r="M21" s="23">
        <v>0.798535429406736</v>
      </c>
      <c r="N21" s="23">
        <v>2.408740226401</v>
      </c>
      <c r="O21" s="23">
        <v>2.408740226401</v>
      </c>
      <c r="P21" s="20">
        <v>410336.454168093</v>
      </c>
      <c r="Q21" s="20">
        <v>549339.151464126</v>
      </c>
      <c r="R21" s="21"/>
      <c r="S21" s="21"/>
      <c r="T21" s="23">
        <v>0.5</v>
      </c>
      <c r="U21" s="23">
        <v>0.494569126038313</v>
      </c>
      <c r="V21" s="23">
        <v>0.186223583919471</v>
      </c>
      <c r="W21" s="23">
        <v>0.18786629782493</v>
      </c>
      <c r="Y21" s="23"/>
      <c r="Z21" s="23"/>
      <c r="AA21" s="21"/>
      <c r="AB21" s="21"/>
      <c r="AC21" s="21"/>
      <c r="AD21" s="21">
        <v>0.0791624882395013</v>
      </c>
      <c r="AE21" s="21">
        <v>0.109718043795057</v>
      </c>
      <c r="AF21" s="20">
        <v>1127232.22735082</v>
      </c>
      <c r="AG21" s="26">
        <v>1548681.42143897</v>
      </c>
      <c r="AH21" s="20">
        <v>113.74674151893</v>
      </c>
      <c r="AI21" s="20">
        <v>80.5263159946316</v>
      </c>
      <c r="AJ21" s="20">
        <v>843095.341046974</v>
      </c>
      <c r="AK21" s="23">
        <v>0.0719768093766666</v>
      </c>
      <c r="AL21" s="24"/>
      <c r="AM21" s="20"/>
    </row>
    <row r="22" spans="1:39">
      <c r="A22" s="1" t="str">
        <v>江海凝光</v>
      </c>
      <c r="B22" s="20">
        <v>236316.5546875</v>
      </c>
      <c r="C22" s="20">
        <v>305752.1875</v>
      </c>
      <c r="D22" s="23">
        <v>0.36</v>
      </c>
      <c r="E22" s="23">
        <v>0.36</v>
      </c>
      <c r="F22" s="23">
        <v>0</v>
      </c>
      <c r="G22" s="23">
        <v>0</v>
      </c>
      <c r="H22" s="23"/>
      <c r="I22" s="23"/>
      <c r="J22" s="20">
        <v>440102.58739563</v>
      </c>
      <c r="K22" s="26">
        <v>589215.967486035</v>
      </c>
      <c r="L22" s="23">
        <v>0.848535429406737</v>
      </c>
      <c r="M22" s="23">
        <v>0.848535429406737</v>
      </c>
      <c r="N22" s="23">
        <v>2.408740226401</v>
      </c>
      <c r="O22" s="23">
        <v>2.408740226401</v>
      </c>
      <c r="P22" s="20">
        <v>966186.253769625</v>
      </c>
      <c r="Q22" s="20">
        <v>1293544.6975112</v>
      </c>
      <c r="R22" s="21"/>
      <c r="S22" s="21"/>
      <c r="T22" s="23">
        <v>0.5</v>
      </c>
      <c r="U22" s="23">
        <v>0.494569126038313</v>
      </c>
      <c r="V22" s="23">
        <v>0.186223583919471</v>
      </c>
      <c r="W22" s="23">
        <v>0.18786629782493</v>
      </c>
      <c r="Y22" s="23"/>
      <c r="Z22" s="23"/>
      <c r="AA22" s="21"/>
      <c r="AB22" s="21"/>
      <c r="AC22" s="21"/>
      <c r="AD22" s="21">
        <v>0.0791624882395013</v>
      </c>
      <c r="AE22" s="21">
        <v>0.109718043795057</v>
      </c>
      <c r="AF22" s="20">
        <v>2654203.08580805</v>
      </c>
      <c r="AG22" s="26">
        <v>3646724.67909347</v>
      </c>
      <c r="AH22" s="20">
        <v>37.9752225479164</v>
      </c>
      <c r="AI22" s="20">
        <v>24.2548477174146</v>
      </c>
      <c r="AJ22" s="20">
        <v>630815.682098923</v>
      </c>
      <c r="AK22" s="23">
        <v>0.053854051720725</v>
      </c>
      <c r="AL22" s="24"/>
      <c r="AM22" s="20"/>
    </row>
    <row r="23" spans="1:39">
      <c r="A23" s="1" t="str">
        <v>钗燕</v>
      </c>
      <c r="B23" s="20">
        <v>258753.462656295</v>
      </c>
      <c r="C23" s="20">
        <v>334768.406250058</v>
      </c>
      <c r="D23" s="23">
        <v>0.06</v>
      </c>
      <c r="E23" s="23">
        <v>0.06</v>
      </c>
      <c r="F23" s="23">
        <v>0</v>
      </c>
      <c r="G23" s="23">
        <v>0</v>
      </c>
      <c r="H23" s="23"/>
      <c r="I23" s="23"/>
      <c r="J23" s="20">
        <v>375589.033024555</v>
      </c>
      <c r="K23" s="26">
        <v>502824.414150586</v>
      </c>
      <c r="L23" s="23">
        <v>0.798535429406736</v>
      </c>
      <c r="M23" s="23">
        <v>0.798535429406736</v>
      </c>
      <c r="N23" s="23">
        <v>2.408740226401</v>
      </c>
      <c r="O23" s="23">
        <v>2.408740226401</v>
      </c>
      <c r="P23" s="20">
        <v>798100.021449379</v>
      </c>
      <c r="Q23" s="20">
        <v>1068466.17029049</v>
      </c>
      <c r="R23" s="21"/>
      <c r="S23" s="21"/>
      <c r="T23" s="23">
        <v>0.5</v>
      </c>
      <c r="U23" s="23">
        <v>0.494569126038313</v>
      </c>
      <c r="V23" s="23">
        <v>0.186223583919471</v>
      </c>
      <c r="W23" s="23">
        <v>0.18786629782493</v>
      </c>
      <c r="Y23" s="23"/>
      <c r="Z23" s="23"/>
      <c r="AA23" s="21"/>
      <c r="AB23" s="21"/>
      <c r="AC23" s="21"/>
      <c r="AD23" s="21">
        <v>0.0791624882395013</v>
      </c>
      <c r="AE23" s="21">
        <v>0.109718043795057</v>
      </c>
      <c r="AF23" s="20">
        <v>2192454.64469162</v>
      </c>
      <c r="AG23" s="26">
        <v>3012189.6517929</v>
      </c>
      <c r="AH23" s="20">
        <v>54.0171752759842</v>
      </c>
      <c r="AI23" s="20">
        <v>37.2255359708569</v>
      </c>
      <c r="AJ23" s="20">
        <v>768535.270202707</v>
      </c>
      <c r="AK23" s="23">
        <v>0.0656114604712815</v>
      </c>
      <c r="AL23" s="24"/>
      <c r="AM23" s="20"/>
    </row>
    <row r="24" spans="1:39">
      <c r="A24" s="1" t="str">
        <v>破•钗燕</v>
      </c>
      <c r="B24" s="20">
        <v>73180.7832538934</v>
      </c>
      <c r="C24" s="20">
        <v>73180.7832538934</v>
      </c>
      <c r="D24" s="23">
        <v>0.06</v>
      </c>
      <c r="E24" s="23">
        <v>0.06</v>
      </c>
      <c r="F24" s="23">
        <v>0</v>
      </c>
      <c r="G24" s="23">
        <v>0</v>
      </c>
      <c r="H24" s="23"/>
      <c r="I24" s="23"/>
      <c r="J24" s="20">
        <v>106224.277488488</v>
      </c>
      <c r="K24" s="26">
        <v>109918.032226835</v>
      </c>
      <c r="L24" s="23">
        <v>0.798535429406736</v>
      </c>
      <c r="M24" s="23">
        <v>0.798535429406736</v>
      </c>
      <c r="N24" s="23">
        <v>2.408740226401</v>
      </c>
      <c r="O24" s="23">
        <v>2.408740226401</v>
      </c>
      <c r="P24" s="20">
        <v>225719.045786048</v>
      </c>
      <c r="Q24" s="20">
        <v>233568.012280527</v>
      </c>
      <c r="R24" s="21"/>
      <c r="S24" s="21"/>
      <c r="T24" s="23">
        <v>0.5</v>
      </c>
      <c r="U24" s="23">
        <v>0.494569126038313</v>
      </c>
      <c r="V24" s="23">
        <v>0.186223583919471</v>
      </c>
      <c r="W24" s="23">
        <v>0.18786629782493</v>
      </c>
      <c r="Y24" s="23"/>
      <c r="Z24" s="23"/>
      <c r="AA24" s="21"/>
      <c r="AB24" s="21"/>
      <c r="AC24" s="21"/>
      <c r="AD24" s="21">
        <v>0.0791624882395013</v>
      </c>
      <c r="AE24" s="21">
        <v>0.109718043795057</v>
      </c>
      <c r="AF24" s="20">
        <v>620071.115184615</v>
      </c>
      <c r="AG24" s="26">
        <v>658468.343822211</v>
      </c>
      <c r="AH24" s="20">
        <v>54.0171752759842</v>
      </c>
      <c r="AI24" s="20">
        <v>37.2255359708569</v>
      </c>
      <c r="AJ24" s="20">
        <v>193354.423770422</v>
      </c>
      <c r="AK24" s="23">
        <v>0.0165070708190326</v>
      </c>
      <c r="AL24" s="24"/>
      <c r="AM24" s="20"/>
    </row>
    <row r="25" spans="1:39">
      <c r="A25" s="1" t="str">
        <v>气吞长江</v>
      </c>
      <c r="B25" s="20">
        <v>303208.187626987</v>
      </c>
      <c r="C25" s="20">
        <v>392322.939967499</v>
      </c>
      <c r="D25" s="23">
        <v>0.06</v>
      </c>
      <c r="E25" s="23">
        <v>0.06</v>
      </c>
      <c r="F25" s="23">
        <v>0</v>
      </c>
      <c r="G25" s="23">
        <v>0</v>
      </c>
      <c r="H25" s="23"/>
      <c r="I25" s="23"/>
      <c r="J25" s="20">
        <v>440116.506372007</v>
      </c>
      <c r="K25" s="26">
        <v>589271.713710169</v>
      </c>
      <c r="L25" s="23">
        <v>0.798535429406736</v>
      </c>
      <c r="M25" s="23">
        <v>0.798535429406736</v>
      </c>
      <c r="N25" s="23">
        <v>2.408740226401</v>
      </c>
      <c r="O25" s="23">
        <v>2.408740226401</v>
      </c>
      <c r="P25" s="20">
        <v>935216.319675554</v>
      </c>
      <c r="Q25" s="20">
        <v>1252160.54250671</v>
      </c>
      <c r="R25" s="21"/>
      <c r="S25" s="21"/>
      <c r="T25" s="23">
        <v>0.5</v>
      </c>
      <c r="U25" s="23">
        <v>0.494569126038313</v>
      </c>
      <c r="V25" s="23">
        <v>0.186223583919471</v>
      </c>
      <c r="W25" s="23">
        <v>0.18786629782493</v>
      </c>
      <c r="Y25" s="23"/>
      <c r="Z25" s="23"/>
      <c r="AA25" s="21"/>
      <c r="AB25" s="21"/>
      <c r="AC25" s="21"/>
      <c r="AD25" s="21">
        <v>0.0791624882395013</v>
      </c>
      <c r="AE25" s="21">
        <v>0.109718043795057</v>
      </c>
      <c r="AF25" s="20">
        <v>2569125.80974554</v>
      </c>
      <c r="AG25" s="26">
        <v>3530055.63807103</v>
      </c>
      <c r="AH25" s="20">
        <v>0</v>
      </c>
      <c r="AI25" s="20">
        <v>0</v>
      </c>
      <c r="AJ25" s="20">
        <v>0</v>
      </c>
      <c r="AK25" s="23">
        <v>0</v>
      </c>
      <c r="AL25" s="24"/>
      <c r="AM25" s="20"/>
    </row>
    <row r="26" spans="1:39">
      <c r="A26" s="1" t="str">
        <v>流芳仙姿•玳弦</v>
      </c>
      <c r="B26" s="20">
        <v>44607.95703125</v>
      </c>
      <c r="C26" s="20">
        <v>57698.28125</v>
      </c>
      <c r="D26" s="23">
        <v>0.06</v>
      </c>
      <c r="E26" s="23">
        <v>0.06</v>
      </c>
      <c r="F26" s="23">
        <v>0</v>
      </c>
      <c r="G26" s="23">
        <v>0</v>
      </c>
      <c r="H26" s="23"/>
      <c r="I26" s="23"/>
      <c r="J26" s="20">
        <v>64749.8946471026</v>
      </c>
      <c r="K26" s="26">
        <v>86663.2093273348</v>
      </c>
      <c r="L26" s="23">
        <v>0.798535429406736</v>
      </c>
      <c r="M26" s="23">
        <v>0.798535429406736</v>
      </c>
      <c r="N26" s="23">
        <v>2.408740226401</v>
      </c>
      <c r="O26" s="23">
        <v>2.408740226401</v>
      </c>
      <c r="P26" s="20">
        <v>137588.927691931</v>
      </c>
      <c r="Q26" s="20">
        <v>184153.165139132</v>
      </c>
      <c r="R26" s="21"/>
      <c r="S26" s="21"/>
      <c r="T26" s="23">
        <v>0.5</v>
      </c>
      <c r="U26" s="23">
        <v>0.494569126038313</v>
      </c>
      <c r="V26" s="23">
        <v>0.186223583919471</v>
      </c>
      <c r="W26" s="23">
        <v>0.18786629782493</v>
      </c>
      <c r="Y26" s="23"/>
      <c r="Z26" s="23"/>
      <c r="AA26" s="21"/>
      <c r="AB26" s="21"/>
      <c r="AC26" s="21"/>
      <c r="AD26" s="21">
        <v>0.0791624882395013</v>
      </c>
      <c r="AE26" s="21">
        <v>0.109718043795057</v>
      </c>
      <c r="AF26" s="20">
        <v>377969.52195101</v>
      </c>
      <c r="AG26" s="26">
        <v>519159.402329222</v>
      </c>
      <c r="AH26" s="20">
        <v>50.6887234160627</v>
      </c>
      <c r="AI26" s="20">
        <v>143.875860803334</v>
      </c>
      <c r="AJ26" s="20">
        <v>312844.328207125</v>
      </c>
      <c r="AK26" s="23">
        <v>0.0267081734172232</v>
      </c>
      <c r="AL26" s="24"/>
      <c r="AM26" s="20"/>
    </row>
    <row r="27" spans="1:39">
      <c r="A27" s="1" t="str">
        <v>流芳仙姿•剑破</v>
      </c>
      <c r="B27" s="20">
        <v>259539.9453125</v>
      </c>
      <c r="C27" s="20">
        <v>335805.3125</v>
      </c>
      <c r="D27" s="23">
        <v>0.06</v>
      </c>
      <c r="E27" s="23">
        <v>0.06</v>
      </c>
      <c r="F27" s="23">
        <v>0</v>
      </c>
      <c r="G27" s="23">
        <v>0</v>
      </c>
      <c r="H27" s="23"/>
      <c r="I27" s="23"/>
      <c r="J27" s="20">
        <v>376730.638077111</v>
      </c>
      <c r="K27" s="26">
        <v>504381.854362752</v>
      </c>
      <c r="L27" s="23">
        <v>0.798535429406736</v>
      </c>
      <c r="M27" s="23">
        <v>0.798535429406736</v>
      </c>
      <c r="N27" s="23">
        <v>2.408740226401</v>
      </c>
      <c r="O27" s="23">
        <v>2.408740226401</v>
      </c>
      <c r="P27" s="20">
        <v>800525.851111109</v>
      </c>
      <c r="Q27" s="20">
        <v>1071775.62013445</v>
      </c>
      <c r="R27" s="21"/>
      <c r="S27" s="21"/>
      <c r="T27" s="23">
        <v>0.5</v>
      </c>
      <c r="U27" s="23">
        <v>0.494569126038313</v>
      </c>
      <c r="V27" s="23">
        <v>0.186223583919471</v>
      </c>
      <c r="W27" s="23">
        <v>0.18786629782493</v>
      </c>
      <c r="Y27" s="23"/>
      <c r="Z27" s="23"/>
      <c r="AA27" s="21"/>
      <c r="AB27" s="21"/>
      <c r="AC27" s="21"/>
      <c r="AD27" s="21">
        <v>0.0791624882395013</v>
      </c>
      <c r="AE27" s="21">
        <v>0.109718043795057</v>
      </c>
      <c r="AF27" s="20">
        <v>2199118.62334862</v>
      </c>
      <c r="AG27" s="26">
        <v>3021519.55932791</v>
      </c>
      <c r="AH27" s="20">
        <v>38.488849382298</v>
      </c>
      <c r="AI27" s="20">
        <v>24.2548477174146</v>
      </c>
      <c r="AJ27" s="20">
        <v>526426.807515199</v>
      </c>
      <c r="AK27" s="23">
        <v>0.0449421555671691</v>
      </c>
      <c r="AL27" s="24"/>
      <c r="AM27" s="20"/>
    </row>
    <row r="28" spans="1:39">
      <c r="A28" s="1" t="str">
        <v>流芳仙姿•剑影</v>
      </c>
      <c r="B28" s="20">
        <v>386046.460896192</v>
      </c>
      <c r="C28" s="20">
        <v>499495.93744655</v>
      </c>
      <c r="D28" s="23">
        <v>0.06</v>
      </c>
      <c r="E28" s="23">
        <v>0.06</v>
      </c>
      <c r="F28" s="23">
        <v>0</v>
      </c>
      <c r="G28" s="23">
        <v>0</v>
      </c>
      <c r="H28" s="23"/>
      <c r="I28" s="23"/>
      <c r="J28" s="20">
        <v>560358.943459438</v>
      </c>
      <c r="K28" s="26">
        <v>750246.281991003</v>
      </c>
      <c r="L28" s="23">
        <v>0.798535429406736</v>
      </c>
      <c r="M28" s="23">
        <v>0.798535429406736</v>
      </c>
      <c r="N28" s="23">
        <v>2.408740226401</v>
      </c>
      <c r="O28" s="23">
        <v>2.408740226401</v>
      </c>
      <c r="P28" s="20">
        <v>1190722.95906225</v>
      </c>
      <c r="Q28" s="20">
        <v>1594220.06794908</v>
      </c>
      <c r="R28" s="21"/>
      <c r="S28" s="21"/>
      <c r="T28" s="23">
        <v>0.5</v>
      </c>
      <c r="U28" s="23">
        <v>0.494569126038313</v>
      </c>
      <c r="V28" s="23">
        <v>0.186223583919471</v>
      </c>
      <c r="W28" s="23">
        <v>0.18786629782493</v>
      </c>
      <c r="Y28" s="23"/>
      <c r="Z28" s="23"/>
      <c r="AA28" s="21"/>
      <c r="AB28" s="21"/>
      <c r="AC28" s="21"/>
      <c r="AD28" s="21">
        <v>0.0791624882395013</v>
      </c>
      <c r="AE28" s="21">
        <v>0.109718043795057</v>
      </c>
      <c r="AF28" s="20">
        <v>3271026.20219961</v>
      </c>
      <c r="AG28" s="26">
        <v>4494380.19179515</v>
      </c>
      <c r="AH28" s="20">
        <v>0</v>
      </c>
      <c r="AI28" s="20">
        <v>0</v>
      </c>
      <c r="AJ28" s="20">
        <v>0</v>
      </c>
      <c r="AK28" s="23">
        <v>0</v>
      </c>
      <c r="AL28" s="24"/>
      <c r="AM28" s="20"/>
    </row>
    <row r="29" spans="1:39">
      <c r="A29" s="1" t="str">
        <v>流芳仙姿•剑气</v>
      </c>
      <c r="B29" s="20">
        <v>103988.566406291</v>
      </c>
      <c r="C29" s="20">
        <v>134532.656250053</v>
      </c>
      <c r="D29" s="23">
        <v>0.06</v>
      </c>
      <c r="E29" s="23">
        <v>0.06</v>
      </c>
      <c r="F29" s="23">
        <v>0</v>
      </c>
      <c r="G29" s="23">
        <v>0</v>
      </c>
      <c r="H29" s="23"/>
      <c r="I29" s="23"/>
      <c r="J29" s="20">
        <v>150942.77271191</v>
      </c>
      <c r="K29" s="26">
        <v>202068.961108972</v>
      </c>
      <c r="L29" s="23">
        <v>0.798535429406736</v>
      </c>
      <c r="M29" s="23">
        <v>0.798535429406736</v>
      </c>
      <c r="N29" s="23">
        <v>2.408740226401</v>
      </c>
      <c r="O29" s="23">
        <v>2.408740226401</v>
      </c>
      <c r="P29" s="20">
        <v>320742.67230036</v>
      </c>
      <c r="Q29" s="20">
        <v>429382.191744615</v>
      </c>
      <c r="R29" s="21"/>
      <c r="S29" s="21"/>
      <c r="T29" s="23">
        <v>0.5</v>
      </c>
      <c r="U29" s="23">
        <v>0.494569126038313</v>
      </c>
      <c r="V29" s="23">
        <v>0.186223583919471</v>
      </c>
      <c r="W29" s="23">
        <v>0.18786629782493</v>
      </c>
      <c r="Y29" s="23"/>
      <c r="Z29" s="23"/>
      <c r="AA29" s="21"/>
      <c r="AB29" s="21"/>
      <c r="AC29" s="21"/>
      <c r="AD29" s="21">
        <v>0.0791624882395013</v>
      </c>
      <c r="AE29" s="21">
        <v>0.109718043795057</v>
      </c>
      <c r="AF29" s="20">
        <v>881109.814229379</v>
      </c>
      <c r="AG29" s="26">
        <v>1210502.14840742</v>
      </c>
      <c r="AH29" s="20">
        <v>0</v>
      </c>
      <c r="AI29" s="20">
        <v>0</v>
      </c>
      <c r="AJ29" s="20">
        <v>0</v>
      </c>
      <c r="AK29" s="23">
        <v>0</v>
      </c>
      <c r="AL29" s="24"/>
      <c r="AM29" s="20"/>
    </row>
    <row r="30" spans="1:39">
      <c r="A30" s="1" t="str">
        <v>破</v>
      </c>
      <c r="B30" s="20">
        <v>6247.72490958</v>
      </c>
      <c r="C30" s="20">
        <v>6247.72490958</v>
      </c>
      <c r="D30" s="23">
        <v>0.06</v>
      </c>
      <c r="E30" s="23">
        <v>0.06</v>
      </c>
      <c r="F30" s="23">
        <v>0</v>
      </c>
      <c r="G30" s="23">
        <v>0</v>
      </c>
      <c r="H30" s="23"/>
      <c r="I30" s="23"/>
      <c r="J30" s="20">
        <v>9068.77509310692</v>
      </c>
      <c r="K30" s="26">
        <v>9384.12514079066</v>
      </c>
      <c r="L30" s="23">
        <v>0.798535429406736</v>
      </c>
      <c r="M30" s="23">
        <v>0.798535429406736</v>
      </c>
      <c r="N30" s="23">
        <v>2.408740226401</v>
      </c>
      <c r="O30" s="23">
        <v>2.408740226401</v>
      </c>
      <c r="P30" s="20">
        <v>19270.503023061</v>
      </c>
      <c r="Q30" s="20">
        <v>19940.5994787368</v>
      </c>
      <c r="R30" s="21"/>
      <c r="S30" s="21"/>
      <c r="T30" s="23">
        <v>0.5</v>
      </c>
      <c r="U30" s="23">
        <v>0.494569126038313</v>
      </c>
      <c r="V30" s="23">
        <v>0.186223583919471</v>
      </c>
      <c r="W30" s="23">
        <v>0.18786629782493</v>
      </c>
      <c r="Y30" s="23"/>
      <c r="Z30" s="23"/>
      <c r="AA30" s="21"/>
      <c r="AB30" s="21"/>
      <c r="AC30" s="21"/>
      <c r="AD30" s="21">
        <v>0.0791624882395013</v>
      </c>
      <c r="AE30" s="21">
        <v>0.109718043795057</v>
      </c>
      <c r="AF30" s="20">
        <v>52937.855811264</v>
      </c>
      <c r="AG30" s="26">
        <v>56215.9748904989</v>
      </c>
      <c r="AH30" s="20">
        <v>202.754893664251</v>
      </c>
      <c r="AI30" s="20">
        <v>143.875860803334</v>
      </c>
      <c r="AJ30" s="20">
        <v>62738.4370136514</v>
      </c>
      <c r="AK30" s="23">
        <v>0.00535611134550201</v>
      </c>
      <c r="AL30" s="24"/>
      <c r="AM30" s="20"/>
    </row>
    <row r="31" spans="1:39">
      <c r="A31" s="1" t="str">
        <v>破•虚空</v>
      </c>
      <c r="B31" s="20">
        <v>58816.96581544</v>
      </c>
      <c r="C31" s="28">
        <v>58816.96581544</v>
      </c>
      <c r="D31" s="23">
        <v>0.06</v>
      </c>
      <c r="E31" s="23">
        <v>0.06</v>
      </c>
      <c r="F31" s="23">
        <v>0</v>
      </c>
      <c r="G31" s="23">
        <v>0</v>
      </c>
      <c r="H31" s="23"/>
      <c r="I31" s="23"/>
      <c r="J31" s="20">
        <v>85374.731179552</v>
      </c>
      <c r="K31" s="26">
        <v>88343.481123403</v>
      </c>
      <c r="L31" s="23">
        <v>0.798535429406736</v>
      </c>
      <c r="M31" s="23">
        <v>0.798535429406736</v>
      </c>
      <c r="N31" s="23">
        <v>2.408740226401</v>
      </c>
      <c r="O31" s="23">
        <v>2.408740226401</v>
      </c>
      <c r="P31" s="20">
        <v>181415.240580736</v>
      </c>
      <c r="Q31" s="20">
        <v>187723.623375582</v>
      </c>
      <c r="R31" s="21"/>
      <c r="S31" s="21"/>
      <c r="T31" s="23">
        <v>0.5</v>
      </c>
      <c r="U31" s="23">
        <v>0.494569126038313</v>
      </c>
      <c r="V31" s="23">
        <v>0.186223583919471</v>
      </c>
      <c r="W31" s="23">
        <v>0.18786629782493</v>
      </c>
      <c r="Y31" s="23"/>
      <c r="Z31" s="23"/>
      <c r="AA31" s="21"/>
      <c r="AB31" s="21"/>
      <c r="AC31" s="21"/>
      <c r="AD31" s="21">
        <v>0.0791624882395013</v>
      </c>
      <c r="AE31" s="21">
        <v>0.109718043795057</v>
      </c>
      <c r="AF31" s="20">
        <v>498364.460768667</v>
      </c>
      <c r="AG31" s="26">
        <v>529225.13735298</v>
      </c>
      <c r="AH31" s="20">
        <v>38.488849382298</v>
      </c>
      <c r="AI31" s="20">
        <v>24.2548477174146</v>
      </c>
      <c r="AJ31" s="20">
        <v>106725.832609132</v>
      </c>
      <c r="AK31" s="23">
        <v>0.0091114071390006</v>
      </c>
      <c r="AL31" s="24"/>
      <c r="AM31" s="20"/>
    </row>
    <row r="32" spans="1:39">
      <c r="A32" s="1" t="str">
        <v>剑风</v>
      </c>
      <c r="B32" s="20">
        <v>43065.5510204081</v>
      </c>
      <c r="C32" s="20">
        <v>43065.5510204081</v>
      </c>
      <c r="D32" s="23">
        <v>0.06</v>
      </c>
      <c r="E32" s="23">
        <v>0.06</v>
      </c>
      <c r="F32" s="23">
        <v>0</v>
      </c>
      <c r="G32" s="23">
        <v>0</v>
      </c>
      <c r="H32" s="23"/>
      <c r="I32" s="23"/>
      <c r="J32" s="20">
        <v>62511.0423581465</v>
      </c>
      <c r="K32" s="26">
        <v>64684.7493898034</v>
      </c>
      <c r="L32" s="23">
        <v>0.798535429406736</v>
      </c>
      <c r="M32" s="23">
        <v>0.798535429406736</v>
      </c>
      <c r="N32" s="23">
        <v>2.408740226401</v>
      </c>
      <c r="O32" s="23">
        <v>2.408740226401</v>
      </c>
      <c r="P32" s="20">
        <v>132831.52557758</v>
      </c>
      <c r="Q32" s="20">
        <v>137450.498646681</v>
      </c>
      <c r="R32" s="21"/>
      <c r="S32" s="21"/>
      <c r="T32" s="23">
        <v>0.5</v>
      </c>
      <c r="U32" s="23">
        <v>0.494569126038313</v>
      </c>
      <c r="V32" s="23">
        <v>0.186223583919471</v>
      </c>
      <c r="W32" s="23">
        <v>0.18786629782493</v>
      </c>
      <c r="Y32" s="23"/>
      <c r="Z32" s="23"/>
      <c r="AA32" s="21"/>
      <c r="AB32" s="21"/>
      <c r="AC32" s="21"/>
      <c r="AD32" s="21">
        <v>0.0791624882395013</v>
      </c>
      <c r="AE32" s="21">
        <v>0.109718043795057</v>
      </c>
      <c r="AF32" s="20">
        <v>364900.497916489</v>
      </c>
      <c r="AG32" s="26">
        <v>387496.563924661</v>
      </c>
      <c r="AH32" s="20">
        <v>0</v>
      </c>
      <c r="AI32" s="20">
        <v>0</v>
      </c>
      <c r="AJ32" s="20">
        <v>0</v>
      </c>
      <c r="AK32" s="23">
        <v>0</v>
      </c>
      <c r="AL32" s="24"/>
      <c r="AM32" s="20"/>
    </row>
    <row r="33" spans="1:44">
      <c r="A33" s="1" t="str">
        <v>广陵月</v>
      </c>
      <c r="B33" s="20">
        <v>11001.0039475583</v>
      </c>
      <c r="C33" s="20">
        <v>14226.15630345</v>
      </c>
      <c r="D33" s="23">
        <v>0.06</v>
      </c>
      <c r="E33" s="23">
        <v>0.06</v>
      </c>
      <c r="F33" s="23">
        <v>0</v>
      </c>
      <c r="G33" s="23">
        <v>0</v>
      </c>
      <c r="H33" s="23"/>
      <c r="I33" s="23"/>
      <c r="J33" s="20">
        <v>15968.3135929706</v>
      </c>
      <c r="K33" s="26">
        <v>21367.7831460408</v>
      </c>
      <c r="L33" s="23">
        <v>0.798535429406736</v>
      </c>
      <c r="M33" s="23">
        <v>0.798535429406736</v>
      </c>
      <c r="N33" s="23">
        <v>2.408740226401</v>
      </c>
      <c r="O33" s="23">
        <v>2.408740226401</v>
      </c>
      <c r="P33" s="20">
        <v>33931.5323411667</v>
      </c>
      <c r="Q33" s="20">
        <v>45405.0216798154</v>
      </c>
      <c r="R33" s="21"/>
      <c r="S33" s="21"/>
      <c r="T33" s="23">
        <v>0.5</v>
      </c>
      <c r="U33" s="23">
        <v>0.494569126038313</v>
      </c>
      <c r="V33" s="23">
        <v>0.186223583919471</v>
      </c>
      <c r="W33" s="23">
        <v>0.18786629782493</v>
      </c>
      <c r="Y33" s="23"/>
      <c r="Z33" s="23"/>
      <c r="AA33" s="21"/>
      <c r="AB33" s="21"/>
      <c r="AC33" s="21"/>
      <c r="AD33" s="21">
        <v>0.0791624882395013</v>
      </c>
      <c r="AE33" s="21">
        <v>0.109718043795057</v>
      </c>
      <c r="AF33" s="20">
        <v>93213.0606233964</v>
      </c>
      <c r="AG33" s="26">
        <v>128004.554796703</v>
      </c>
      <c r="AH33" s="1">
        <v>0</v>
      </c>
      <c r="AI33" s="1">
        <v>0</v>
      </c>
      <c r="AJ33" s="20">
        <v>0</v>
      </c>
      <c r="AK33" s="23">
        <v>0</v>
      </c>
      <c r="AL33" s="24"/>
      <c r="AM33" s="20"/>
      <c r="AO33" s="21"/>
      <c r="AP33" s="20"/>
      <c r="AR33" s="20"/>
    </row>
    <row r="34" spans="1:44">
      <c r="A34" s="1" t="str">
        <v>满堂剑气</v>
      </c>
      <c r="B34" s="1">
        <v>469413.901930667</v>
      </c>
      <c r="C34" s="1">
        <v>607336.5932155</v>
      </c>
      <c r="D34" s="1">
        <v>0.16</v>
      </c>
      <c r="E34" s="1">
        <v>0.16</v>
      </c>
      <c r="F34" s="1">
        <v>0</v>
      </c>
      <c r="G34" s="1">
        <v>0</v>
      </c>
      <c r="J34" s="1">
        <v>745649.624765879</v>
      </c>
      <c r="K34" s="1">
        <v>998282.515050849</v>
      </c>
      <c r="L34" s="1">
        <v>0.898535429406736</v>
      </c>
      <c r="M34" s="1">
        <v>0.898535429406736</v>
      </c>
      <c r="N34" s="23">
        <v>2.408740226401</v>
      </c>
      <c r="O34" s="23">
        <v>2.408740226401</v>
      </c>
      <c r="P34" s="20">
        <v>1689495.15991373</v>
      </c>
      <c r="Q34" s="20">
        <v>2261911.52169423</v>
      </c>
      <c r="R34" s="21"/>
      <c r="S34" s="21"/>
      <c r="T34" s="23">
        <v>0.5</v>
      </c>
      <c r="U34" s="23">
        <v>0.494569126038313</v>
      </c>
      <c r="V34" s="23">
        <v>0.186223583919471</v>
      </c>
      <c r="W34" s="23">
        <v>0.18786629782493</v>
      </c>
      <c r="Y34" s="23"/>
      <c r="Z34" s="23"/>
      <c r="AA34" s="21"/>
      <c r="AB34" s="21"/>
      <c r="AD34" s="1">
        <v>0.0791624882395013</v>
      </c>
      <c r="AE34" s="1">
        <v>0.109718043795057</v>
      </c>
      <c r="AF34" s="1">
        <v>4641199.61281296</v>
      </c>
      <c r="AG34" s="1">
        <v>6376717.08133361</v>
      </c>
      <c r="AH34" s="1">
        <v>0</v>
      </c>
      <c r="AI34" s="1">
        <v>0</v>
      </c>
      <c r="AJ34" s="20">
        <v>0</v>
      </c>
      <c r="AK34" s="23">
        <v>0</v>
      </c>
      <c r="AL34" s="24"/>
      <c r="AM34" s="20"/>
      <c r="AO34" s="21"/>
      <c r="AP34" s="20"/>
      <c r="AQ34" s="29"/>
      <c r="AR34" s="20"/>
    </row>
    <row r="35" spans="1:44">
      <c r="N35" s="23"/>
      <c r="O35" s="23"/>
      <c r="P35" s="20"/>
      <c r="Q35" s="20"/>
      <c r="R35" s="21"/>
      <c r="S35" s="21"/>
      <c r="T35" s="23"/>
      <c r="U35" s="23"/>
      <c r="V35" s="23"/>
      <c r="W35" s="23"/>
      <c r="Y35" s="23"/>
      <c r="Z35" s="23"/>
      <c r="AA35" s="21"/>
      <c r="AB35" s="21"/>
      <c r="AJ35" s="20"/>
      <c r="AK35" s="23"/>
      <c r="AL35" s="24"/>
      <c r="AM35" s="20"/>
      <c r="AO35" s="21"/>
      <c r="AP35" s="20"/>
      <c r="AQ35" s="29"/>
      <c r="AR35" s="20"/>
    </row>
    <row r="36" spans="1:44">
      <c r="N36" s="23"/>
      <c r="O36" s="23"/>
      <c r="P36" s="20"/>
      <c r="Q36" s="20"/>
      <c r="R36" s="21"/>
      <c r="S36" s="21"/>
      <c r="T36" s="23"/>
      <c r="U36" s="23"/>
      <c r="V36" s="23"/>
      <c r="W36" s="23"/>
      <c r="Y36" s="23"/>
      <c r="Z36" s="23"/>
      <c r="AA36" s="21"/>
      <c r="AB36" s="21"/>
      <c r="AJ36" s="20"/>
      <c r="AK36" s="23"/>
      <c r="AL36" s="24"/>
      <c r="AM36" s="20"/>
      <c r="AR36" s="20"/>
    </row>
    <row r="37" spans="1:44">
      <c r="B37" s="20"/>
      <c r="C37" s="20"/>
      <c r="D37" s="23"/>
      <c r="E37" s="23"/>
      <c r="F37" s="23"/>
      <c r="G37" s="23"/>
      <c r="H37" s="23"/>
      <c r="I37" s="23"/>
      <c r="J37" s="20"/>
      <c r="K37" s="26"/>
      <c r="L37" s="23"/>
      <c r="M37" s="23"/>
      <c r="N37" s="23"/>
      <c r="O37" s="23"/>
      <c r="P37" s="20"/>
      <c r="Q37" s="20"/>
      <c r="R37" s="21"/>
      <c r="S37" s="21"/>
      <c r="T37" s="23"/>
      <c r="U37" s="23"/>
      <c r="V37" s="23"/>
      <c r="W37" s="23"/>
      <c r="Y37" s="23"/>
      <c r="Z37" s="23"/>
      <c r="AA37" s="21"/>
      <c r="AB37" s="21"/>
      <c r="AC37" s="21"/>
      <c r="AD37" s="21"/>
      <c r="AE37" s="21"/>
      <c r="AF37" s="26"/>
      <c r="AH37" s="20"/>
      <c r="AJ37" s="20"/>
      <c r="AK37" s="23"/>
      <c r="AL37" s="24"/>
      <c r="AM37" s="20"/>
    </row>
    <row r="38" spans="1:44">
      <c r="B38" s="20"/>
      <c r="D38" s="23"/>
      <c r="E38" s="23"/>
      <c r="F38" s="23"/>
      <c r="G38" s="23"/>
      <c r="H38" s="23"/>
      <c r="I38" s="23"/>
      <c r="J38" s="20"/>
      <c r="K38" s="26"/>
      <c r="L38" s="23"/>
      <c r="M38" s="23"/>
      <c r="N38" s="23"/>
      <c r="O38" s="23"/>
      <c r="P38" s="20"/>
      <c r="Q38" s="20"/>
      <c r="R38" s="21"/>
      <c r="S38" s="21"/>
      <c r="T38" s="23"/>
      <c r="U38" s="23"/>
      <c r="V38" s="23"/>
      <c r="W38" s="23"/>
      <c r="Y38" s="23"/>
      <c r="Z38" s="23"/>
      <c r="AA38" s="21"/>
      <c r="AB38" s="21"/>
      <c r="AC38" s="21"/>
      <c r="AD38" s="21"/>
      <c r="AE38" s="21"/>
      <c r="AF38" s="29"/>
      <c r="AG38" s="20"/>
      <c r="AH38" s="20"/>
      <c r="AJ38" s="20"/>
      <c r="AK38" s="23"/>
      <c r="AL38" s="24"/>
      <c r="AM38" s="20"/>
    </row>
    <row r="39" spans="1:44">
      <c r="B39" s="20"/>
      <c r="C39" s="20"/>
      <c r="D39" s="23"/>
      <c r="E39" s="23"/>
      <c r="F39" s="23"/>
      <c r="G39" s="23"/>
      <c r="H39" s="23"/>
      <c r="I39" s="23"/>
      <c r="J39" s="20"/>
      <c r="K39" s="26"/>
      <c r="L39" s="23"/>
      <c r="M39" s="23"/>
      <c r="N39" s="23"/>
      <c r="O39" s="23"/>
      <c r="P39" s="20"/>
      <c r="Q39" s="20"/>
      <c r="R39" s="21"/>
      <c r="S39" s="21"/>
      <c r="T39" s="23"/>
      <c r="U39" s="23"/>
      <c r="V39" s="23"/>
      <c r="W39" s="23"/>
      <c r="Y39" s="23"/>
      <c r="Z39" s="23"/>
      <c r="AA39" s="21"/>
      <c r="AB39" s="21"/>
      <c r="AC39" s="21"/>
      <c r="AD39" s="21"/>
      <c r="AE39" s="21"/>
      <c r="AF39" s="30"/>
      <c r="AG39" s="26"/>
      <c r="AJ39" s="20"/>
      <c r="AK39" s="23"/>
      <c r="AL39" s="24"/>
      <c r="AM39" s="20"/>
    </row>
    <row r="40" spans="1:44">
      <c r="C40" s="20"/>
      <c r="D40" s="23"/>
      <c r="E40" s="23"/>
      <c r="F40" s="23"/>
      <c r="G40" s="23"/>
      <c r="H40" s="23"/>
      <c r="I40" s="23"/>
      <c r="J40" s="20"/>
      <c r="K40" s="26"/>
      <c r="L40" s="23"/>
      <c r="M40" s="23"/>
      <c r="N40" s="23"/>
      <c r="O40" s="23"/>
      <c r="P40" s="20"/>
      <c r="Q40" s="20"/>
      <c r="R40" s="21"/>
      <c r="S40" s="21"/>
      <c r="T40" s="23"/>
      <c r="U40" s="23"/>
      <c r="V40" s="23"/>
      <c r="W40" s="23"/>
      <c r="Y40" s="23"/>
      <c r="Z40" s="23"/>
      <c r="AA40" s="21"/>
      <c r="AB40" s="21"/>
      <c r="AC40" s="21"/>
      <c r="AD40" s="21"/>
      <c r="AE40" s="21"/>
      <c r="AF40" s="30"/>
      <c r="AG40" s="26"/>
      <c r="AJ40" s="20"/>
      <c r="AK40" s="23"/>
      <c r="AL40" s="24"/>
      <c r="AM40" s="20"/>
    </row>
    <row r="41" spans="1:44">
      <c r="C41" s="20"/>
      <c r="D41" s="23"/>
      <c r="E41" s="23"/>
      <c r="F41" s="23"/>
      <c r="G41" s="23"/>
      <c r="H41" s="23"/>
      <c r="I41" s="23"/>
      <c r="J41" s="20"/>
      <c r="K41" s="26"/>
      <c r="L41" s="23"/>
      <c r="M41" s="23"/>
      <c r="AG41" s="20"/>
    </row>
    <row r="42" spans="1:44">
      <c r="B42" s="20"/>
      <c r="C42" s="20"/>
      <c r="D42" s="23"/>
      <c r="E42" s="23"/>
      <c r="F42" s="23"/>
      <c r="G42" s="23"/>
      <c r="H42" s="23"/>
      <c r="I42" s="23"/>
      <c r="J42" s="20"/>
      <c r="K42" s="26"/>
      <c r="L42" s="23"/>
      <c r="M42" s="23"/>
      <c r="P42" s="20"/>
      <c r="AF42" s="30"/>
      <c r="AG42" s="20"/>
    </row>
    <row r="43" spans="1:44">
      <c r="B43" s="20"/>
      <c r="C43" s="20"/>
      <c r="D43" s="23"/>
      <c r="E43" s="23"/>
      <c r="F43" s="23"/>
      <c r="G43" s="23"/>
      <c r="H43" s="23"/>
      <c r="I43" s="23"/>
      <c r="J43" s="20"/>
      <c r="K43" s="26"/>
      <c r="L43" s="23"/>
      <c r="M43" s="23"/>
      <c r="P43" s="20"/>
      <c r="AF43" s="30"/>
      <c r="AG43" s="20"/>
    </row>
    <row r="44" spans="1:44">
      <c r="B44" s="20"/>
      <c r="C44" s="20"/>
      <c r="E44" s="23"/>
      <c r="J44" s="20"/>
      <c r="K44" s="20"/>
      <c r="P44" s="20"/>
      <c r="AF44" s="20"/>
    </row>
    <row r="45" spans="1:44">
      <c r="B45" s="20"/>
      <c r="C45" s="20"/>
      <c r="J45" s="20"/>
      <c r="K45" s="20"/>
      <c r="P45" s="20"/>
      <c r="R45" s="31"/>
      <c r="S45" s="31"/>
      <c r="AA45" s="31"/>
      <c r="AB45" s="31"/>
      <c r="AC45" s="31"/>
      <c r="AD45" s="31"/>
      <c r="AE45" s="32"/>
      <c r="AF45" s="20"/>
      <c r="AG45" s="20"/>
    </row>
    <row r="46" spans="1:44">
      <c r="B46" s="20"/>
      <c r="C46" s="20"/>
      <c r="J46" s="20"/>
      <c r="K46" s="20"/>
      <c r="P46" s="20"/>
      <c r="R46" s="31"/>
      <c r="S46" s="31"/>
      <c r="AA46" s="31"/>
      <c r="AB46" s="31"/>
      <c r="AC46" s="31"/>
      <c r="AD46" s="31"/>
      <c r="AE46" s="31"/>
      <c r="AF46" s="20"/>
      <c r="AG46" s="20"/>
    </row>
    <row r="47" spans="1:44">
      <c r="B47" s="20"/>
      <c r="C47" s="20"/>
      <c r="J47" s="20"/>
      <c r="K47" s="20"/>
      <c r="P47" s="20"/>
      <c r="R47" s="31"/>
      <c r="S47" s="31"/>
      <c r="AA47" s="31"/>
      <c r="AB47" s="31"/>
      <c r="AC47" s="31"/>
      <c r="AD47" s="31"/>
      <c r="AE47" s="31"/>
      <c r="AF47" s="20"/>
    </row>
    <row r="48" spans="1:44">
      <c r="B48" s="20"/>
      <c r="C48" s="20"/>
      <c r="R48" s="31"/>
      <c r="S48" s="31"/>
      <c r="AA48" s="31"/>
      <c r="AB48" s="31"/>
      <c r="AC48" s="31"/>
      <c r="AD48" s="31"/>
      <c r="AE48" s="31"/>
    </row>
    <row r="49" spans="2:31">
      <c r="B49" s="20"/>
      <c r="C49" s="20"/>
      <c r="R49" s="31"/>
      <c r="S49" s="31"/>
      <c r="AA49" s="31"/>
      <c r="AB49" s="31"/>
      <c r="AC49" s="31"/>
      <c r="AD49" s="31"/>
      <c r="AE49" s="31"/>
    </row>
    <row r="50" spans="2:31">
      <c r="B50" s="20"/>
      <c r="C50" s="20"/>
      <c r="R50" s="31"/>
      <c r="S50" s="31"/>
      <c r="AA50" s="31"/>
      <c r="AB50" s="31"/>
      <c r="AC50" s="31"/>
      <c r="AD50" s="31"/>
      <c r="AE50" s="31"/>
    </row>
    <row r="51" spans="2:31">
      <c r="B51" s="20"/>
      <c r="C51" s="20"/>
      <c r="R51" s="31"/>
      <c r="S51" s="31"/>
      <c r="AA51" s="31"/>
      <c r="AB51" s="31"/>
      <c r="AC51" s="31"/>
      <c r="AD51" s="31"/>
      <c r="AE51" s="31"/>
    </row>
    <row r="52" spans="2:31">
      <c r="B52" s="20"/>
      <c r="C52" s="20"/>
    </row>
    <row r="53" spans="2:31">
      <c r="B53" s="20"/>
      <c r="C53" s="20"/>
    </row>
    <row r="54" spans="2:31">
      <c r="B54" s="20"/>
      <c r="C54" s="20"/>
    </row>
    <row r="55" spans="2:31">
      <c r="B55" s="20"/>
      <c r="C55" s="20"/>
    </row>
    <row r="56" spans="2:31">
      <c r="B56" s="20"/>
      <c r="C56" s="20"/>
    </row>
    <row r="57" spans="2:31">
      <c r="B57" s="20"/>
      <c r="C57" s="20"/>
    </row>
    <row r="58" spans="2:31">
      <c r="B58" s="20"/>
      <c r="C58" s="20"/>
    </row>
  </sheetData>
  <mergeCells count="5">
    <mergeCell ref="R45:R51"/>
    <mergeCell ref="S45:S51"/>
    <mergeCell ref="AA45:AA51"/>
    <mergeCell ref="AB45:AB51"/>
    <mergeCell ref="AC45:AC51"/>
  </mergeCells>
  <pageMargins left="0.75" right="0.75" top="1" bottom="1" header="0.5" footer="0.5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8"/>
  <dimension ref="A1:T10"/>
  <sheetViews>
    <sheetView workbookViewId="0">
      <selection activeCell="B3" sqref="B3"/>
    </sheetView>
  </sheetViews>
  <sheetFormatPr defaultColWidth="9" defaultRowHeight="14.25"/>
  <cols>
    <col min="1" max="2" width="9" style="1"/>
    <col min="3" max="3" width="12.625" style="1" customWidth="1"/>
    <col min="4" max="16384" width="9" style="1"/>
  </cols>
  <sheetData>
    <row r="1" spans="1:20">
      <c r="A1" s="1" t="s">
        <v>1140</v>
      </c>
      <c r="B1" s="1" t="s">
        <v>1141</v>
      </c>
      <c r="D1" s="1" t="s">
        <v>1141</v>
      </c>
      <c r="E1" s="1" t="s">
        <v>1142</v>
      </c>
      <c r="G1" s="1" t="s">
        <v>164</v>
      </c>
      <c r="J1" s="1" t="s">
        <v>1143</v>
      </c>
      <c r="K1" s="1" t="s">
        <v>1144</v>
      </c>
      <c r="M1" s="3" t="s">
        <v>1145</v>
      </c>
      <c r="N1" s="8"/>
      <c r="P1" s="1">
        <v>1</v>
      </c>
      <c r="S1" s="9" t="s">
        <v>114</v>
      </c>
      <c r="T1" s="10" t="s">
        <v>1146</v>
      </c>
    </row>
    <row r="2" spans="1:20">
      <c r="A2" s="8" t="str">
        <f>"版本："&amp;TEXT(VALUE(IF(D2,WPS版本控制!C1,Excel版本控制!C2)),"0.0")</f>
        <v>版本：1.4</v>
      </c>
      <c r="B2" s="8" t="b">
        <f>VALUE(IF(D2,WPS版本控制!C2,Excel版本控制!C3))=1</f>
        <v>1</v>
      </c>
      <c r="D2" s="1" t="b">
        <f>B1=D1</f>
        <v>1</v>
      </c>
      <c r="E2" s="1" t="b">
        <f>E1=B1</f>
        <v>0</v>
      </c>
      <c r="G2" s="1" t="s">
        <v>10</v>
      </c>
      <c r="H2" s="1" t="b">
        <f>G2=计算主页!G6</f>
        <v>1</v>
      </c>
      <c r="J2" s="1" t="s">
        <v>0</v>
      </c>
      <c r="K2" s="1" t="s">
        <v>0</v>
      </c>
      <c r="S2" s="9" t="s">
        <v>116</v>
      </c>
      <c r="T2" s="11" t="s">
        <v>1146</v>
      </c>
    </row>
    <row r="3" spans="1:20">
      <c r="G3" s="1" t="s">
        <v>1147</v>
      </c>
      <c r="H3" s="1" t="b">
        <f>G3=计算主页!G6</f>
        <v>0</v>
      </c>
      <c r="J3" s="1" t="s">
        <v>361</v>
      </c>
      <c r="K3" s="1" t="s">
        <v>1148</v>
      </c>
      <c r="N3" s="12"/>
      <c r="S3" s="9" t="s">
        <v>117</v>
      </c>
      <c r="T3" s="13" t="s">
        <v>1146</v>
      </c>
    </row>
    <row r="4" spans="1:20">
      <c r="A4" s="1" t="s">
        <v>124</v>
      </c>
      <c r="B4" s="1">
        <f>IF($D$2,WPS版本控制!B3,Excel版本控制!B4)</f>
        <v>1</v>
      </c>
      <c r="J4" s="1" t="s">
        <v>363</v>
      </c>
      <c r="S4" s="9" t="s">
        <v>118</v>
      </c>
      <c r="T4" s="14" t="s">
        <v>1146</v>
      </c>
    </row>
    <row r="5" spans="1:20">
      <c r="A5" s="1" t="s">
        <v>936</v>
      </c>
      <c r="B5" s="1">
        <f>IF($D$2,WPS版本控制!B4,Excel版本控制!B5)</f>
        <v>1</v>
      </c>
      <c r="J5" s="1" t="s">
        <v>1149</v>
      </c>
      <c r="S5" s="9" t="s">
        <v>119</v>
      </c>
      <c r="T5" s="15" t="s">
        <v>1146</v>
      </c>
    </row>
    <row r="6" spans="1:20">
      <c r="A6" s="1" t="s">
        <v>1150</v>
      </c>
      <c r="B6" s="1">
        <f>IF($D$2,WPS版本控制!B5,Excel版本控制!B6)</f>
        <v>1</v>
      </c>
      <c r="S6" s="9" t="s">
        <v>120</v>
      </c>
      <c r="T6" s="16" t="s">
        <v>1151</v>
      </c>
    </row>
    <row r="7" spans="1:20">
      <c r="A7" s="1" t="s">
        <v>127</v>
      </c>
      <c r="B7" s="1">
        <f>IF($D$2,WPS版本控制!B6,Excel版本控制!B7)</f>
        <v>1</v>
      </c>
      <c r="S7" s="9"/>
      <c r="T7" s="17" t="s">
        <v>1152</v>
      </c>
    </row>
    <row r="8" spans="1:20">
      <c r="A8" s="1" t="s">
        <v>1153</v>
      </c>
      <c r="B8" s="1" t="str">
        <f>IF($D$2,WPS版本控制!B7,Excel版本控制!B8)</f>
        <v>感谢：冰气、明月杳杳、南真帆</v>
      </c>
    </row>
    <row r="9" spans="1:20">
      <c r="A9" s="1" t="s">
        <v>1154</v>
      </c>
      <c r="B9" s="1" t="str">
        <f>IF($D$2,WPS版本控制!B8,Excel版本控制!B9)</f>
        <v>最新版本无法在线更新，请前往魔盒下载！</v>
      </c>
    </row>
    <row r="10" spans="1:20">
      <c r="A10" s="1" t="s">
        <v>1155</v>
      </c>
      <c r="B10" s="1" t="str">
        <f>IF($D$2,WPS版本控制!B10&amp;CHAR(10)&amp;WPS版本控制!B11&amp;CHAR(10)&amp;WPS版本控制!B12&amp;CHAR(10)&amp;WPS版本控制!B13&amp;CHAR(10)&amp;WPS版本控制!B14&amp;CHAR(10)&amp;WPS版本控制!B15&amp;CHAR(10)&amp;WPS版本控制!B16&amp;CHAR(10)&amp;WPS版本控制!B17&amp;CHAR(10)&amp;WPS版本控制!B18&amp;CHAR(10)&amp;WPS版本控制!B19&amp;CHAR(10)&amp;WPS版本控制!B20&amp;CHAR(10)&amp;WPS版本控制!B21&amp;CHAR(10)&amp;WPS版本控制!B22&amp;CHAR(10)&amp;WPS版本控制!B23&amp;CHAR(10)&amp;WPS版本控制!B24&amp;CHAR(10)&amp;WPS版本控制!B25,Excel版本控制!B11&amp;CHAR(10)&amp;Excel版本控制!B12&amp;CHAR(10)&amp;Excel版本控制!B13&amp;CHAR(10)&amp;Excel版本控制!B14&amp;CHAR(10)&amp;Excel版本控制!B15&amp;CHAR(10)&amp;Excel版本控制!B16&amp;CHAR(10)&amp;Excel版本控制!B17&amp;CHAR(10)&amp;Excel版本控制!B18&amp;CHAR(10)&amp;Excel版本控制!B19&amp;CHAR(10)&amp;Excel版本控制!B20&amp;CHAR(10)&amp;Excel版本控制!B21&amp;CHAR(10)&amp;Excel版本控制!B22&amp;CHAR(10)&amp;Excel版本控制!B23&amp;CHAR(10)&amp;Excel版本控制!B24&amp;CHAR(10)&amp;Excel版本控制!B25&amp;CHAR(10))</f>
        <v>更新成功！
v1.4  2026.07.13
伤害：
○同步7.13号技改内容（悟非侠提高）
</v>
      </c>
    </row>
  </sheetData>
  <dataValidations count="1">
    <dataValidation type="list" allowBlank="1" showInputMessage="1" showErrorMessage="1" sqref="B1">
      <formula1>"WPS,Excel"</formula1>
    </dataValidation>
  </dataValidations>
  <hyperlinks>
    <hyperlink ref="M1" r:id="rId1" display="魔盒链接"/>
  </hyperlinks>
  <pageMargins left="0.75" right="0.75" top="1" bottom="1" header="0.5" footer="0.5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C324"/>
  <sheetViews>
    <sheetView workbookViewId="0">
      <selection activeCell="L26" sqref="L26"/>
    </sheetView>
  </sheetViews>
  <sheetFormatPr defaultColWidth="9" defaultRowHeight="13.5"/>
  <cols>
    <col min="1" max="2" width="11.75" customWidth="1"/>
    <col min="3" max="3" width="7.75" customWidth="1"/>
    <col min="4" max="4" width="13" customWidth="1"/>
    <col min="5" max="5" width="12.25" customWidth="1"/>
    <col min="6" max="6" width="7.75" customWidth="1"/>
    <col min="7" max="10" width="8.875" customWidth="1"/>
    <col min="11" max="11" width="17.25" customWidth="1"/>
    <col min="12" max="12" width="16.125" customWidth="1"/>
    <col min="13" max="13" width="43" customWidth="1"/>
    <col min="14" max="23" width="7.75" customWidth="1"/>
    <col min="24" max="26" width="6.875" customWidth="1"/>
    <col min="27" max="27" width="11.75" customWidth="1"/>
    <col min="28" max="28" width="11.625" customWidth="1"/>
    <col min="29" max="29" width="6" customWidth="1"/>
  </cols>
  <sheetData>
    <row r="1" spans="1:29">
      <c r="A1" t="s">
        <v>1156</v>
      </c>
      <c r="B1" t="s">
        <v>1157</v>
      </c>
      <c r="C1" t="s">
        <v>581</v>
      </c>
      <c r="D1" t="s">
        <v>1158</v>
      </c>
      <c r="E1" t="s">
        <v>588</v>
      </c>
      <c r="F1" t="s">
        <v>587</v>
      </c>
      <c r="G1" t="s">
        <v>1159</v>
      </c>
      <c r="H1" t="s">
        <v>1160</v>
      </c>
      <c r="I1" t="s">
        <v>1161</v>
      </c>
      <c r="J1" t="s">
        <v>1162</v>
      </c>
      <c r="K1" t="s">
        <v>1163</v>
      </c>
      <c r="L1" t="s">
        <v>1164</v>
      </c>
      <c r="M1" t="s">
        <v>1165</v>
      </c>
      <c r="N1" t="s">
        <v>145</v>
      </c>
      <c r="O1" t="s">
        <v>91</v>
      </c>
      <c r="P1" t="s">
        <v>47</v>
      </c>
      <c r="Q1" t="s">
        <v>98</v>
      </c>
      <c r="R1" t="s">
        <v>42</v>
      </c>
      <c r="S1" t="s">
        <v>32</v>
      </c>
      <c r="T1" t="s">
        <v>24</v>
      </c>
      <c r="U1" t="s">
        <v>110</v>
      </c>
      <c r="V1" t="s">
        <v>37</v>
      </c>
      <c r="W1" t="s">
        <v>582</v>
      </c>
      <c r="X1" t="s">
        <v>583</v>
      </c>
      <c r="Y1" t="s">
        <v>584</v>
      </c>
      <c r="Z1" t="s">
        <v>585</v>
      </c>
      <c r="AA1" t="s">
        <v>586</v>
      </c>
      <c r="AB1" t="s">
        <v>1166</v>
      </c>
      <c r="AC1" t="s">
        <v>1167</v>
      </c>
    </row>
    <row r="2" spans="1:29">
      <c r="A2" t="s">
        <v>1168</v>
      </c>
      <c r="B2" t="s">
        <v>1169</v>
      </c>
      <c r="C2" t="s">
        <v>61</v>
      </c>
      <c r="D2" t="s">
        <v>1170</v>
      </c>
      <c r="E2" t="s">
        <v>691</v>
      </c>
      <c r="F2">
        <v>41400</v>
      </c>
      <c r="G2" t="s">
        <v>32</v>
      </c>
      <c r="H2" t="s">
        <v>37</v>
      </c>
      <c r="I2" t="s">
        <v>1171</v>
      </c>
      <c r="J2" t="s">
        <v>1171</v>
      </c>
      <c r="K2" t="s">
        <v>1172</v>
      </c>
      <c r="L2" t="s">
        <v>1173</v>
      </c>
      <c r="M2" t="s">
        <v>1174</v>
      </c>
      <c r="N2">
        <v>13637</v>
      </c>
      <c r="O2">
        <v>0</v>
      </c>
      <c r="P2">
        <v>1873</v>
      </c>
      <c r="Q2">
        <v>0</v>
      </c>
      <c r="R2">
        <v>0</v>
      </c>
      <c r="S2">
        <v>24174</v>
      </c>
      <c r="T2">
        <v>0</v>
      </c>
      <c r="U2">
        <v>0</v>
      </c>
      <c r="V2">
        <v>7439</v>
      </c>
      <c r="W2">
        <v>0</v>
      </c>
      <c r="X2" t="s">
        <v>32</v>
      </c>
      <c r="Y2" t="s">
        <v>1175</v>
      </c>
      <c r="Z2" t="s">
        <v>1175</v>
      </c>
      <c r="AA2">
        <v>6</v>
      </c>
      <c r="AB2" t="s">
        <v>1171</v>
      </c>
      <c r="AC2">
        <v>322</v>
      </c>
    </row>
    <row r="3" spans="1:29">
      <c r="A3" t="s">
        <v>1168</v>
      </c>
      <c r="B3" t="s">
        <v>1176</v>
      </c>
      <c r="C3" t="s">
        <v>61</v>
      </c>
      <c r="D3" t="s">
        <v>1170</v>
      </c>
      <c r="E3" t="s">
        <v>691</v>
      </c>
      <c r="F3">
        <v>41400</v>
      </c>
      <c r="G3" t="s">
        <v>98</v>
      </c>
      <c r="H3" t="s">
        <v>42</v>
      </c>
      <c r="I3" t="s">
        <v>37</v>
      </c>
      <c r="J3" t="s">
        <v>1171</v>
      </c>
      <c r="K3" t="s">
        <v>1177</v>
      </c>
      <c r="L3" t="s">
        <v>1173</v>
      </c>
      <c r="M3" t="s">
        <v>1178</v>
      </c>
      <c r="N3">
        <v>13637</v>
      </c>
      <c r="O3">
        <v>0</v>
      </c>
      <c r="P3">
        <v>5432</v>
      </c>
      <c r="Q3">
        <v>11158</v>
      </c>
      <c r="R3">
        <v>4649</v>
      </c>
      <c r="S3">
        <v>0</v>
      </c>
      <c r="T3">
        <v>0</v>
      </c>
      <c r="U3">
        <v>0</v>
      </c>
      <c r="V3">
        <v>4649</v>
      </c>
      <c r="W3">
        <v>0</v>
      </c>
      <c r="X3" t="s">
        <v>32</v>
      </c>
      <c r="Y3" t="s">
        <v>1175</v>
      </c>
      <c r="Z3" t="s">
        <v>1175</v>
      </c>
      <c r="AA3">
        <v>6</v>
      </c>
      <c r="AB3" t="s">
        <v>1171</v>
      </c>
    </row>
    <row r="4" spans="1:29">
      <c r="A4" t="s">
        <v>1168</v>
      </c>
      <c r="B4" t="s">
        <v>1176</v>
      </c>
      <c r="C4" t="s">
        <v>61</v>
      </c>
      <c r="D4" t="s">
        <v>1170</v>
      </c>
      <c r="E4" t="s">
        <v>691</v>
      </c>
      <c r="F4">
        <v>41400</v>
      </c>
      <c r="G4" t="s">
        <v>98</v>
      </c>
      <c r="H4" t="s">
        <v>42</v>
      </c>
      <c r="I4" t="s">
        <v>110</v>
      </c>
      <c r="J4" t="s">
        <v>1171</v>
      </c>
      <c r="K4" t="s">
        <v>1179</v>
      </c>
      <c r="L4" t="s">
        <v>1173</v>
      </c>
      <c r="M4" t="s">
        <v>1180</v>
      </c>
      <c r="N4">
        <v>13637</v>
      </c>
      <c r="O4">
        <v>0</v>
      </c>
      <c r="P4">
        <v>5432</v>
      </c>
      <c r="Q4">
        <v>11158</v>
      </c>
      <c r="R4">
        <v>4649</v>
      </c>
      <c r="S4">
        <v>0</v>
      </c>
      <c r="T4">
        <v>0</v>
      </c>
      <c r="U4">
        <v>4649</v>
      </c>
      <c r="V4">
        <v>0</v>
      </c>
      <c r="W4">
        <v>0</v>
      </c>
      <c r="X4" t="s">
        <v>32</v>
      </c>
      <c r="Y4" t="s">
        <v>1175</v>
      </c>
      <c r="Z4" t="s">
        <v>1175</v>
      </c>
      <c r="AA4">
        <v>6</v>
      </c>
      <c r="AB4" t="s">
        <v>1171</v>
      </c>
    </row>
    <row r="5" spans="1:29">
      <c r="A5" t="s">
        <v>1181</v>
      </c>
      <c r="B5" t="s">
        <v>1182</v>
      </c>
      <c r="C5" t="s">
        <v>61</v>
      </c>
      <c r="D5" t="s">
        <v>1183</v>
      </c>
      <c r="E5" t="s">
        <v>93</v>
      </c>
      <c r="F5">
        <v>41400</v>
      </c>
      <c r="G5" t="s">
        <v>98</v>
      </c>
      <c r="H5" t="s">
        <v>37</v>
      </c>
      <c r="I5" t="s">
        <v>1171</v>
      </c>
      <c r="J5" t="s">
        <v>1171</v>
      </c>
      <c r="K5" t="s">
        <v>1184</v>
      </c>
      <c r="L5" t="s">
        <v>1171</v>
      </c>
      <c r="M5" t="s">
        <v>1185</v>
      </c>
      <c r="N5">
        <v>13637</v>
      </c>
      <c r="O5">
        <v>1112</v>
      </c>
      <c r="P5">
        <v>2810</v>
      </c>
      <c r="Q5">
        <v>9298</v>
      </c>
      <c r="R5">
        <v>0</v>
      </c>
      <c r="S5">
        <v>0</v>
      </c>
      <c r="T5">
        <v>0</v>
      </c>
      <c r="U5">
        <v>0</v>
      </c>
      <c r="V5">
        <v>7438</v>
      </c>
      <c r="W5">
        <v>0</v>
      </c>
      <c r="X5" t="s">
        <v>98</v>
      </c>
      <c r="Y5" t="s">
        <v>1175</v>
      </c>
      <c r="Z5" t="s">
        <v>1175</v>
      </c>
      <c r="AA5">
        <v>6</v>
      </c>
      <c r="AB5" t="s">
        <v>1171</v>
      </c>
    </row>
    <row r="6" spans="1:29">
      <c r="A6" t="s">
        <v>1181</v>
      </c>
      <c r="B6" t="s">
        <v>1182</v>
      </c>
      <c r="C6" t="s">
        <v>61</v>
      </c>
      <c r="D6" t="s">
        <v>1186</v>
      </c>
      <c r="E6" t="s">
        <v>93</v>
      </c>
      <c r="F6">
        <v>41400</v>
      </c>
      <c r="G6" t="s">
        <v>110</v>
      </c>
      <c r="H6" t="s">
        <v>37</v>
      </c>
      <c r="I6" t="s">
        <v>1171</v>
      </c>
      <c r="J6" t="s">
        <v>1171</v>
      </c>
      <c r="K6" t="s">
        <v>1187</v>
      </c>
      <c r="L6" t="s">
        <v>1171</v>
      </c>
      <c r="M6" t="s">
        <v>1188</v>
      </c>
      <c r="N6">
        <v>13637</v>
      </c>
      <c r="O6">
        <v>1112</v>
      </c>
      <c r="P6">
        <v>2810</v>
      </c>
      <c r="Q6">
        <v>0</v>
      </c>
      <c r="R6">
        <v>0</v>
      </c>
      <c r="S6">
        <v>0</v>
      </c>
      <c r="T6">
        <v>0</v>
      </c>
      <c r="U6">
        <v>9298</v>
      </c>
      <c r="V6">
        <v>7438</v>
      </c>
      <c r="W6">
        <v>0</v>
      </c>
      <c r="X6" t="s">
        <v>37</v>
      </c>
      <c r="Y6" t="s">
        <v>1175</v>
      </c>
      <c r="Z6" t="s">
        <v>1175</v>
      </c>
      <c r="AA6">
        <v>6</v>
      </c>
      <c r="AB6" t="s">
        <v>1171</v>
      </c>
    </row>
    <row r="7" spans="1:29">
      <c r="A7" t="s">
        <v>1181</v>
      </c>
      <c r="B7" t="s">
        <v>1182</v>
      </c>
      <c r="C7" t="s">
        <v>61</v>
      </c>
      <c r="D7" t="s">
        <v>1189</v>
      </c>
      <c r="E7" t="s">
        <v>93</v>
      </c>
      <c r="F7">
        <v>41400</v>
      </c>
      <c r="G7" t="s">
        <v>98</v>
      </c>
      <c r="H7" t="s">
        <v>37</v>
      </c>
      <c r="I7" t="s">
        <v>1171</v>
      </c>
      <c r="J7" t="s">
        <v>1171</v>
      </c>
      <c r="K7" t="s">
        <v>1184</v>
      </c>
      <c r="L7" t="s">
        <v>1171</v>
      </c>
      <c r="M7" t="s">
        <v>62</v>
      </c>
      <c r="N7">
        <v>13637</v>
      </c>
      <c r="O7">
        <v>1112</v>
      </c>
      <c r="P7">
        <v>2810</v>
      </c>
      <c r="Q7">
        <v>9298</v>
      </c>
      <c r="R7">
        <v>0</v>
      </c>
      <c r="S7">
        <v>0</v>
      </c>
      <c r="T7">
        <v>0</v>
      </c>
      <c r="U7">
        <v>0</v>
      </c>
      <c r="V7">
        <v>7438</v>
      </c>
      <c r="W7">
        <v>0</v>
      </c>
      <c r="X7" t="s">
        <v>98</v>
      </c>
      <c r="Y7" t="s">
        <v>1175</v>
      </c>
      <c r="Z7" t="s">
        <v>1175</v>
      </c>
      <c r="AA7">
        <v>6</v>
      </c>
      <c r="AB7" t="s">
        <v>1171</v>
      </c>
    </row>
    <row r="8" spans="1:29">
      <c r="A8" t="s">
        <v>1181</v>
      </c>
      <c r="B8" t="s">
        <v>1182</v>
      </c>
      <c r="C8" t="s">
        <v>61</v>
      </c>
      <c r="D8" t="s">
        <v>1190</v>
      </c>
      <c r="E8" t="s">
        <v>93</v>
      </c>
      <c r="F8">
        <v>41400</v>
      </c>
      <c r="G8" t="s">
        <v>24</v>
      </c>
      <c r="H8" t="s">
        <v>37</v>
      </c>
      <c r="I8" t="s">
        <v>1171</v>
      </c>
      <c r="J8" t="s">
        <v>1171</v>
      </c>
      <c r="K8" t="s">
        <v>1191</v>
      </c>
      <c r="L8" t="s">
        <v>1171</v>
      </c>
      <c r="M8" t="s">
        <v>1192</v>
      </c>
      <c r="N8">
        <v>13637</v>
      </c>
      <c r="O8">
        <v>1112</v>
      </c>
      <c r="P8">
        <v>2810</v>
      </c>
      <c r="Q8">
        <v>0</v>
      </c>
      <c r="R8">
        <v>0</v>
      </c>
      <c r="S8">
        <v>0</v>
      </c>
      <c r="T8">
        <v>9298</v>
      </c>
      <c r="U8">
        <v>0</v>
      </c>
      <c r="V8">
        <v>7438</v>
      </c>
      <c r="W8">
        <v>0</v>
      </c>
      <c r="X8" t="s">
        <v>91</v>
      </c>
      <c r="Y8" t="s">
        <v>1175</v>
      </c>
      <c r="Z8" t="s">
        <v>1175</v>
      </c>
      <c r="AA8">
        <v>6</v>
      </c>
      <c r="AB8" t="s">
        <v>1171</v>
      </c>
    </row>
    <row r="9" spans="1:29">
      <c r="A9" t="s">
        <v>1168</v>
      </c>
      <c r="B9" t="s">
        <v>1193</v>
      </c>
      <c r="C9" t="s">
        <v>61</v>
      </c>
      <c r="D9" t="s">
        <v>1170</v>
      </c>
      <c r="E9" t="s">
        <v>692</v>
      </c>
      <c r="F9">
        <v>38100</v>
      </c>
      <c r="G9" t="s">
        <v>110</v>
      </c>
      <c r="H9" t="s">
        <v>37</v>
      </c>
      <c r="I9" t="s">
        <v>1171</v>
      </c>
      <c r="J9" t="s">
        <v>1171</v>
      </c>
      <c r="K9" t="s">
        <v>1187</v>
      </c>
      <c r="L9" t="s">
        <v>1173</v>
      </c>
      <c r="M9" t="s">
        <v>1194</v>
      </c>
      <c r="N9">
        <v>12550</v>
      </c>
      <c r="O9">
        <v>0</v>
      </c>
      <c r="P9">
        <v>1724</v>
      </c>
      <c r="Q9">
        <v>0</v>
      </c>
      <c r="R9">
        <v>0</v>
      </c>
      <c r="S9">
        <v>0</v>
      </c>
      <c r="T9">
        <v>0</v>
      </c>
      <c r="U9">
        <v>22818</v>
      </c>
      <c r="V9">
        <v>6846</v>
      </c>
      <c r="W9">
        <v>0</v>
      </c>
      <c r="X9" t="s">
        <v>110</v>
      </c>
      <c r="Y9" t="s">
        <v>1175</v>
      </c>
      <c r="Z9" t="s">
        <v>1175</v>
      </c>
      <c r="AA9">
        <v>6</v>
      </c>
      <c r="AB9" t="s">
        <v>1171</v>
      </c>
    </row>
    <row r="10" spans="1:29">
      <c r="A10" t="s">
        <v>1168</v>
      </c>
      <c r="B10" t="s">
        <v>1169</v>
      </c>
      <c r="C10" t="s">
        <v>61</v>
      </c>
      <c r="D10" t="s">
        <v>1170</v>
      </c>
      <c r="E10" t="s">
        <v>692</v>
      </c>
      <c r="F10">
        <v>38100</v>
      </c>
      <c r="G10" t="s">
        <v>32</v>
      </c>
      <c r="H10" t="s">
        <v>37</v>
      </c>
      <c r="I10" t="s">
        <v>1171</v>
      </c>
      <c r="J10" t="s">
        <v>1171</v>
      </c>
      <c r="K10" t="s">
        <v>1172</v>
      </c>
      <c r="L10" t="s">
        <v>1173</v>
      </c>
      <c r="M10" t="s">
        <v>1195</v>
      </c>
      <c r="N10">
        <v>12550</v>
      </c>
      <c r="O10">
        <v>0</v>
      </c>
      <c r="P10">
        <v>1724</v>
      </c>
      <c r="Q10">
        <v>0</v>
      </c>
      <c r="R10">
        <v>0</v>
      </c>
      <c r="S10">
        <v>22247</v>
      </c>
      <c r="T10">
        <v>0</v>
      </c>
      <c r="U10">
        <v>0</v>
      </c>
      <c r="V10">
        <v>6846</v>
      </c>
      <c r="W10">
        <v>0</v>
      </c>
      <c r="X10" t="s">
        <v>32</v>
      </c>
      <c r="Y10" t="s">
        <v>1175</v>
      </c>
      <c r="Z10" t="s">
        <v>1175</v>
      </c>
      <c r="AA10">
        <v>6</v>
      </c>
      <c r="AB10" t="s">
        <v>1171</v>
      </c>
    </row>
    <row r="11" spans="1:29">
      <c r="A11" t="s">
        <v>1168</v>
      </c>
      <c r="B11" t="s">
        <v>1169</v>
      </c>
      <c r="C11" t="s">
        <v>61</v>
      </c>
      <c r="D11" t="s">
        <v>1170</v>
      </c>
      <c r="E11" t="s">
        <v>692</v>
      </c>
      <c r="F11">
        <v>38100</v>
      </c>
      <c r="G11" t="s">
        <v>98</v>
      </c>
      <c r="H11" t="s">
        <v>37</v>
      </c>
      <c r="I11" t="s">
        <v>1171</v>
      </c>
      <c r="J11" t="s">
        <v>1171</v>
      </c>
      <c r="K11" t="s">
        <v>1184</v>
      </c>
      <c r="L11" t="s">
        <v>1173</v>
      </c>
      <c r="M11" t="s">
        <v>1196</v>
      </c>
      <c r="N11">
        <v>12550</v>
      </c>
      <c r="O11">
        <v>0</v>
      </c>
      <c r="P11">
        <v>1724</v>
      </c>
      <c r="Q11">
        <v>22247</v>
      </c>
      <c r="R11">
        <v>0</v>
      </c>
      <c r="S11">
        <v>0</v>
      </c>
      <c r="T11">
        <v>0</v>
      </c>
      <c r="U11">
        <v>0</v>
      </c>
      <c r="V11">
        <v>6846</v>
      </c>
      <c r="W11">
        <v>0</v>
      </c>
      <c r="X11" t="s">
        <v>47</v>
      </c>
      <c r="Y11" t="s">
        <v>1175</v>
      </c>
      <c r="Z11" t="s">
        <v>1175</v>
      </c>
      <c r="AA11">
        <v>6</v>
      </c>
      <c r="AB11" t="s">
        <v>1171</v>
      </c>
    </row>
    <row r="12" spans="1:29">
      <c r="A12" t="s">
        <v>1181</v>
      </c>
      <c r="B12" t="s">
        <v>1182</v>
      </c>
      <c r="C12" t="s">
        <v>61</v>
      </c>
      <c r="D12" t="s">
        <v>1197</v>
      </c>
      <c r="E12" t="s">
        <v>93</v>
      </c>
      <c r="F12">
        <v>38100</v>
      </c>
      <c r="G12" t="s">
        <v>110</v>
      </c>
      <c r="H12" t="s">
        <v>37</v>
      </c>
      <c r="I12" t="s">
        <v>1171</v>
      </c>
      <c r="J12" t="s">
        <v>1171</v>
      </c>
      <c r="K12" t="s">
        <v>1187</v>
      </c>
      <c r="L12" t="s">
        <v>1171</v>
      </c>
      <c r="M12" t="s">
        <v>1198</v>
      </c>
      <c r="N12">
        <v>12550</v>
      </c>
      <c r="O12">
        <v>1024</v>
      </c>
      <c r="P12">
        <v>2586</v>
      </c>
      <c r="Q12">
        <v>0</v>
      </c>
      <c r="R12">
        <v>0</v>
      </c>
      <c r="S12">
        <v>0</v>
      </c>
      <c r="T12">
        <v>0</v>
      </c>
      <c r="U12">
        <v>8557</v>
      </c>
      <c r="V12">
        <v>6845</v>
      </c>
      <c r="W12">
        <v>0</v>
      </c>
      <c r="X12" t="s">
        <v>37</v>
      </c>
      <c r="Y12" t="s">
        <v>1175</v>
      </c>
      <c r="Z12" t="s">
        <v>1175</v>
      </c>
      <c r="AA12">
        <v>6</v>
      </c>
      <c r="AB12" t="s">
        <v>1171</v>
      </c>
    </row>
    <row r="13" spans="1:29">
      <c r="A13" t="s">
        <v>1181</v>
      </c>
      <c r="B13" t="s">
        <v>1182</v>
      </c>
      <c r="C13" t="s">
        <v>61</v>
      </c>
      <c r="D13" t="s">
        <v>1199</v>
      </c>
      <c r="E13" t="s">
        <v>93</v>
      </c>
      <c r="F13">
        <v>35300</v>
      </c>
      <c r="G13" t="s">
        <v>98</v>
      </c>
      <c r="H13" t="s">
        <v>37</v>
      </c>
      <c r="I13" t="s">
        <v>1171</v>
      </c>
      <c r="J13" t="s">
        <v>1171</v>
      </c>
      <c r="K13" t="s">
        <v>1184</v>
      </c>
      <c r="L13" t="s">
        <v>1171</v>
      </c>
      <c r="M13" t="s">
        <v>1200</v>
      </c>
      <c r="N13">
        <v>11627</v>
      </c>
      <c r="O13">
        <v>949</v>
      </c>
      <c r="P13">
        <v>2396</v>
      </c>
      <c r="Q13">
        <v>7928</v>
      </c>
      <c r="R13">
        <v>0</v>
      </c>
      <c r="S13">
        <v>0</v>
      </c>
      <c r="T13">
        <v>0</v>
      </c>
      <c r="U13">
        <v>0</v>
      </c>
      <c r="V13">
        <v>6342</v>
      </c>
      <c r="W13">
        <v>0</v>
      </c>
      <c r="X13" t="s">
        <v>98</v>
      </c>
      <c r="Y13" t="s">
        <v>1175</v>
      </c>
      <c r="Z13" t="s">
        <v>1175</v>
      </c>
      <c r="AA13">
        <v>6</v>
      </c>
      <c r="AB13" t="s">
        <v>1171</v>
      </c>
    </row>
    <row r="14" spans="1:29">
      <c r="A14" t="s">
        <v>1181</v>
      </c>
      <c r="B14" t="s">
        <v>1182</v>
      </c>
      <c r="C14" t="s">
        <v>61</v>
      </c>
      <c r="D14" t="s">
        <v>1186</v>
      </c>
      <c r="E14" t="s">
        <v>93</v>
      </c>
      <c r="F14">
        <v>35300</v>
      </c>
      <c r="G14" t="s">
        <v>110</v>
      </c>
      <c r="H14" t="s">
        <v>37</v>
      </c>
      <c r="I14" t="s">
        <v>1171</v>
      </c>
      <c r="J14" t="s">
        <v>1171</v>
      </c>
      <c r="K14" t="s">
        <v>1187</v>
      </c>
      <c r="L14" t="s">
        <v>1171</v>
      </c>
      <c r="M14" t="s">
        <v>1201</v>
      </c>
      <c r="N14">
        <v>11627</v>
      </c>
      <c r="O14">
        <v>949</v>
      </c>
      <c r="P14">
        <v>2396</v>
      </c>
      <c r="Q14">
        <v>0</v>
      </c>
      <c r="R14">
        <v>0</v>
      </c>
      <c r="S14">
        <v>0</v>
      </c>
      <c r="T14">
        <v>0</v>
      </c>
      <c r="U14">
        <v>7928</v>
      </c>
      <c r="V14">
        <v>6342</v>
      </c>
      <c r="W14">
        <v>0</v>
      </c>
      <c r="X14" t="s">
        <v>37</v>
      </c>
      <c r="Y14" t="s">
        <v>1175</v>
      </c>
      <c r="Z14" t="s">
        <v>1175</v>
      </c>
      <c r="AA14">
        <v>6</v>
      </c>
      <c r="AB14" t="s">
        <v>1171</v>
      </c>
    </row>
    <row r="15" spans="1:29">
      <c r="A15" t="s">
        <v>1181</v>
      </c>
      <c r="B15" t="s">
        <v>1182</v>
      </c>
      <c r="C15" t="s">
        <v>61</v>
      </c>
      <c r="D15" t="s">
        <v>1183</v>
      </c>
      <c r="E15" t="s">
        <v>93</v>
      </c>
      <c r="F15">
        <v>35300</v>
      </c>
      <c r="G15" t="s">
        <v>98</v>
      </c>
      <c r="H15" t="s">
        <v>37</v>
      </c>
      <c r="I15" t="s">
        <v>1171</v>
      </c>
      <c r="J15" t="s">
        <v>1171</v>
      </c>
      <c r="K15" t="s">
        <v>1184</v>
      </c>
      <c r="L15" t="s">
        <v>1171</v>
      </c>
      <c r="M15" t="s">
        <v>1202</v>
      </c>
      <c r="N15">
        <v>11627</v>
      </c>
      <c r="O15">
        <v>949</v>
      </c>
      <c r="P15">
        <v>2396</v>
      </c>
      <c r="Q15">
        <v>7928</v>
      </c>
      <c r="R15">
        <v>0</v>
      </c>
      <c r="S15">
        <v>0</v>
      </c>
      <c r="T15">
        <v>0</v>
      </c>
      <c r="U15">
        <v>0</v>
      </c>
      <c r="V15">
        <v>6342</v>
      </c>
      <c r="W15">
        <v>0</v>
      </c>
      <c r="X15" t="s">
        <v>98</v>
      </c>
      <c r="Y15" t="s">
        <v>1175</v>
      </c>
      <c r="Z15" t="s">
        <v>1175</v>
      </c>
      <c r="AA15">
        <v>6</v>
      </c>
      <c r="AB15" t="s">
        <v>1171</v>
      </c>
    </row>
    <row r="16" spans="1:29">
      <c r="A16" t="s">
        <v>1181</v>
      </c>
      <c r="B16" t="s">
        <v>1182</v>
      </c>
      <c r="C16" t="s">
        <v>61</v>
      </c>
      <c r="D16" t="s">
        <v>1203</v>
      </c>
      <c r="E16" t="s">
        <v>93</v>
      </c>
      <c r="F16">
        <v>35300</v>
      </c>
      <c r="G16" t="s">
        <v>24</v>
      </c>
      <c r="H16" t="s">
        <v>37</v>
      </c>
      <c r="I16" t="s">
        <v>1171</v>
      </c>
      <c r="J16" t="s">
        <v>1171</v>
      </c>
      <c r="K16" t="s">
        <v>1191</v>
      </c>
      <c r="L16" t="s">
        <v>1171</v>
      </c>
      <c r="M16" t="s">
        <v>1204</v>
      </c>
      <c r="N16">
        <v>11627</v>
      </c>
      <c r="O16">
        <v>949</v>
      </c>
      <c r="P16">
        <v>2396</v>
      </c>
      <c r="Q16">
        <v>0</v>
      </c>
      <c r="R16">
        <v>0</v>
      </c>
      <c r="S16">
        <v>0</v>
      </c>
      <c r="T16">
        <v>7928</v>
      </c>
      <c r="U16">
        <v>0</v>
      </c>
      <c r="V16">
        <v>6342</v>
      </c>
      <c r="W16">
        <v>0</v>
      </c>
      <c r="X16" t="s">
        <v>91</v>
      </c>
      <c r="Y16" t="s">
        <v>1175</v>
      </c>
      <c r="Z16" t="s">
        <v>1175</v>
      </c>
      <c r="AA16">
        <v>6</v>
      </c>
      <c r="AB16" t="s">
        <v>1171</v>
      </c>
    </row>
    <row r="17" spans="1:28">
      <c r="A17" t="s">
        <v>1168</v>
      </c>
      <c r="B17" t="s">
        <v>1205</v>
      </c>
      <c r="C17" t="s">
        <v>61</v>
      </c>
      <c r="D17" t="s">
        <v>1170</v>
      </c>
      <c r="E17" t="s">
        <v>690</v>
      </c>
      <c r="F17">
        <v>35300</v>
      </c>
      <c r="G17" t="s">
        <v>98</v>
      </c>
      <c r="H17" t="s">
        <v>32</v>
      </c>
      <c r="I17" t="s">
        <v>37</v>
      </c>
      <c r="J17" t="s">
        <v>1171</v>
      </c>
      <c r="K17" t="s">
        <v>1206</v>
      </c>
      <c r="L17" t="s">
        <v>1173</v>
      </c>
      <c r="M17" t="s">
        <v>263</v>
      </c>
      <c r="N17">
        <v>11627</v>
      </c>
      <c r="O17">
        <v>0</v>
      </c>
      <c r="P17">
        <v>4631</v>
      </c>
      <c r="Q17">
        <v>5285</v>
      </c>
      <c r="R17">
        <v>0</v>
      </c>
      <c r="S17">
        <v>5285</v>
      </c>
      <c r="T17">
        <v>0</v>
      </c>
      <c r="U17">
        <v>0</v>
      </c>
      <c r="V17">
        <v>5285</v>
      </c>
      <c r="W17">
        <v>0</v>
      </c>
      <c r="X17" t="s">
        <v>42</v>
      </c>
      <c r="Y17" t="s">
        <v>1175</v>
      </c>
      <c r="Z17" t="s">
        <v>1175</v>
      </c>
      <c r="AA17">
        <v>6</v>
      </c>
      <c r="AB17" t="s">
        <v>1171</v>
      </c>
    </row>
    <row r="18" spans="1:28">
      <c r="A18" t="s">
        <v>1168</v>
      </c>
      <c r="B18" t="s">
        <v>1205</v>
      </c>
      <c r="C18" t="s">
        <v>61</v>
      </c>
      <c r="D18" t="s">
        <v>1170</v>
      </c>
      <c r="E18" t="s">
        <v>690</v>
      </c>
      <c r="F18">
        <v>35300</v>
      </c>
      <c r="G18" t="s">
        <v>32</v>
      </c>
      <c r="H18" t="s">
        <v>110</v>
      </c>
      <c r="I18" t="s">
        <v>37</v>
      </c>
      <c r="J18" t="s">
        <v>1171</v>
      </c>
      <c r="K18" t="s">
        <v>1207</v>
      </c>
      <c r="L18" t="s">
        <v>1173</v>
      </c>
      <c r="M18" t="s">
        <v>1208</v>
      </c>
      <c r="N18">
        <v>11627</v>
      </c>
      <c r="O18">
        <v>0</v>
      </c>
      <c r="P18">
        <v>4632</v>
      </c>
      <c r="Q18">
        <v>0</v>
      </c>
      <c r="R18">
        <v>0</v>
      </c>
      <c r="S18">
        <v>5285</v>
      </c>
      <c r="T18">
        <v>0</v>
      </c>
      <c r="U18">
        <v>5285</v>
      </c>
      <c r="V18">
        <v>5285</v>
      </c>
      <c r="W18">
        <v>0</v>
      </c>
      <c r="X18" t="s">
        <v>98</v>
      </c>
      <c r="Y18" t="s">
        <v>1175</v>
      </c>
      <c r="Z18" t="s">
        <v>1175</v>
      </c>
      <c r="AA18">
        <v>6</v>
      </c>
      <c r="AB18" t="s">
        <v>1171</v>
      </c>
    </row>
    <row r="19" spans="1:28">
      <c r="A19" t="s">
        <v>1168</v>
      </c>
      <c r="B19" t="s">
        <v>1176</v>
      </c>
      <c r="C19" t="s">
        <v>61</v>
      </c>
      <c r="D19" t="s">
        <v>1170</v>
      </c>
      <c r="E19" t="s">
        <v>690</v>
      </c>
      <c r="F19">
        <v>35300</v>
      </c>
      <c r="G19" t="s">
        <v>98</v>
      </c>
      <c r="H19" t="s">
        <v>37</v>
      </c>
      <c r="I19" t="s">
        <v>1171</v>
      </c>
      <c r="J19" t="s">
        <v>1171</v>
      </c>
      <c r="K19" t="s">
        <v>1184</v>
      </c>
      <c r="L19" t="s">
        <v>1173</v>
      </c>
      <c r="M19" t="s">
        <v>285</v>
      </c>
      <c r="N19">
        <v>11627</v>
      </c>
      <c r="O19">
        <v>0</v>
      </c>
      <c r="P19">
        <v>3833</v>
      </c>
      <c r="Q19">
        <v>12156</v>
      </c>
      <c r="R19">
        <v>0</v>
      </c>
      <c r="S19">
        <v>0</v>
      </c>
      <c r="T19">
        <v>0</v>
      </c>
      <c r="U19">
        <v>0</v>
      </c>
      <c r="V19">
        <v>6342</v>
      </c>
      <c r="W19">
        <v>0</v>
      </c>
      <c r="X19" t="s">
        <v>42</v>
      </c>
      <c r="Y19" t="s">
        <v>1175</v>
      </c>
      <c r="Z19" t="s">
        <v>1175</v>
      </c>
      <c r="AA19">
        <v>6</v>
      </c>
      <c r="AB19" t="s">
        <v>1171</v>
      </c>
    </row>
    <row r="20" spans="1:28">
      <c r="A20" t="s">
        <v>1181</v>
      </c>
      <c r="B20" t="s">
        <v>1182</v>
      </c>
      <c r="C20" t="s">
        <v>61</v>
      </c>
      <c r="D20" t="s">
        <v>1209</v>
      </c>
      <c r="E20" t="s">
        <v>93</v>
      </c>
      <c r="F20">
        <v>35300</v>
      </c>
      <c r="G20" t="s">
        <v>98</v>
      </c>
      <c r="H20" t="s">
        <v>37</v>
      </c>
      <c r="I20" t="s">
        <v>1171</v>
      </c>
      <c r="J20" t="s">
        <v>1171</v>
      </c>
      <c r="K20" t="s">
        <v>1184</v>
      </c>
      <c r="L20" t="s">
        <v>1171</v>
      </c>
      <c r="M20" t="s">
        <v>1210</v>
      </c>
      <c r="N20">
        <v>11627</v>
      </c>
      <c r="O20">
        <v>949</v>
      </c>
      <c r="P20">
        <v>2396</v>
      </c>
      <c r="Q20">
        <v>7928</v>
      </c>
      <c r="R20">
        <v>0</v>
      </c>
      <c r="S20">
        <v>0</v>
      </c>
      <c r="T20">
        <v>0</v>
      </c>
      <c r="U20">
        <v>0</v>
      </c>
      <c r="V20">
        <v>6342</v>
      </c>
      <c r="W20">
        <v>0</v>
      </c>
      <c r="X20" t="s">
        <v>98</v>
      </c>
      <c r="Y20" t="s">
        <v>1175</v>
      </c>
      <c r="Z20" t="s">
        <v>1175</v>
      </c>
      <c r="AA20">
        <v>6</v>
      </c>
      <c r="AB20" t="s">
        <v>1171</v>
      </c>
    </row>
    <row r="21" spans="1:28">
      <c r="A21" t="s">
        <v>1181</v>
      </c>
      <c r="B21" t="s">
        <v>1182</v>
      </c>
      <c r="C21" t="s">
        <v>61</v>
      </c>
      <c r="D21" t="s">
        <v>1211</v>
      </c>
      <c r="E21" t="s">
        <v>93</v>
      </c>
      <c r="F21">
        <v>34100</v>
      </c>
      <c r="G21" t="s">
        <v>32</v>
      </c>
      <c r="H21" t="s">
        <v>37</v>
      </c>
      <c r="I21" t="s">
        <v>1171</v>
      </c>
      <c r="J21" t="s">
        <v>1171</v>
      </c>
      <c r="K21" t="s">
        <v>1172</v>
      </c>
      <c r="L21" t="s">
        <v>1171</v>
      </c>
      <c r="M21" t="s">
        <v>1212</v>
      </c>
      <c r="N21">
        <v>11232</v>
      </c>
      <c r="O21">
        <v>916</v>
      </c>
      <c r="P21">
        <v>2315</v>
      </c>
      <c r="Q21">
        <v>0</v>
      </c>
      <c r="R21">
        <v>0</v>
      </c>
      <c r="S21">
        <v>7658</v>
      </c>
      <c r="T21">
        <v>0</v>
      </c>
      <c r="U21">
        <v>0</v>
      </c>
      <c r="V21">
        <v>6127</v>
      </c>
      <c r="W21">
        <v>0</v>
      </c>
      <c r="X21" t="s">
        <v>47</v>
      </c>
      <c r="Y21" t="s">
        <v>1175</v>
      </c>
      <c r="Z21" t="s">
        <v>1175</v>
      </c>
      <c r="AA21">
        <v>6</v>
      </c>
      <c r="AB21" t="s">
        <v>1171</v>
      </c>
    </row>
    <row r="22" spans="1:28">
      <c r="A22" t="s">
        <v>1181</v>
      </c>
      <c r="B22" t="s">
        <v>1182</v>
      </c>
      <c r="C22" t="s">
        <v>38</v>
      </c>
      <c r="D22" t="s">
        <v>1213</v>
      </c>
      <c r="E22" t="s">
        <v>598</v>
      </c>
      <c r="F22">
        <v>42100</v>
      </c>
      <c r="G22" t="s">
        <v>32</v>
      </c>
      <c r="H22" t="s">
        <v>37</v>
      </c>
      <c r="I22" t="s">
        <v>1171</v>
      </c>
      <c r="J22" t="s">
        <v>1171</v>
      </c>
      <c r="K22" t="s">
        <v>1172</v>
      </c>
      <c r="L22" t="s">
        <v>1171</v>
      </c>
      <c r="M22" t="s">
        <v>1214</v>
      </c>
      <c r="N22">
        <v>16179</v>
      </c>
      <c r="O22">
        <v>1320</v>
      </c>
      <c r="P22">
        <v>3334</v>
      </c>
      <c r="Q22">
        <v>0</v>
      </c>
      <c r="R22">
        <v>0</v>
      </c>
      <c r="S22">
        <v>11031</v>
      </c>
      <c r="T22">
        <v>0</v>
      </c>
      <c r="U22">
        <v>0</v>
      </c>
      <c r="V22">
        <v>8825</v>
      </c>
      <c r="W22">
        <v>0</v>
      </c>
      <c r="X22" t="s">
        <v>37</v>
      </c>
      <c r="Y22" t="s">
        <v>91</v>
      </c>
      <c r="Z22" t="s">
        <v>1175</v>
      </c>
      <c r="AA22">
        <v>6</v>
      </c>
      <c r="AB22" t="s">
        <v>1171</v>
      </c>
    </row>
    <row r="23" spans="1:28">
      <c r="A23" t="s">
        <v>1181</v>
      </c>
      <c r="B23" t="s">
        <v>1182</v>
      </c>
      <c r="C23" t="s">
        <v>38</v>
      </c>
      <c r="D23" t="s">
        <v>1215</v>
      </c>
      <c r="E23" t="s">
        <v>93</v>
      </c>
      <c r="F23">
        <v>41400</v>
      </c>
      <c r="G23" t="s">
        <v>98</v>
      </c>
      <c r="H23" t="s">
        <v>37</v>
      </c>
      <c r="I23" t="s">
        <v>1171</v>
      </c>
      <c r="J23" t="s">
        <v>1171</v>
      </c>
      <c r="K23" t="s">
        <v>1184</v>
      </c>
      <c r="L23" t="s">
        <v>1171</v>
      </c>
      <c r="M23" t="s">
        <v>1216</v>
      </c>
      <c r="N23">
        <v>15910</v>
      </c>
      <c r="O23">
        <v>1298</v>
      </c>
      <c r="P23">
        <v>3278</v>
      </c>
      <c r="Q23">
        <v>10848</v>
      </c>
      <c r="R23">
        <v>0</v>
      </c>
      <c r="S23">
        <v>0</v>
      </c>
      <c r="T23">
        <v>0</v>
      </c>
      <c r="U23">
        <v>0</v>
      </c>
      <c r="V23">
        <v>8678</v>
      </c>
      <c r="W23">
        <v>0</v>
      </c>
      <c r="X23" t="s">
        <v>98</v>
      </c>
      <c r="Y23" t="s">
        <v>47</v>
      </c>
      <c r="Z23" t="s">
        <v>1175</v>
      </c>
      <c r="AA23">
        <v>6</v>
      </c>
      <c r="AB23" t="s">
        <v>1171</v>
      </c>
    </row>
    <row r="24" spans="1:28">
      <c r="A24" t="s">
        <v>1181</v>
      </c>
      <c r="B24" t="s">
        <v>1182</v>
      </c>
      <c r="C24" t="s">
        <v>38</v>
      </c>
      <c r="D24" t="s">
        <v>1217</v>
      </c>
      <c r="E24" t="s">
        <v>93</v>
      </c>
      <c r="F24">
        <v>41400</v>
      </c>
      <c r="G24" t="s">
        <v>24</v>
      </c>
      <c r="H24" t="s">
        <v>37</v>
      </c>
      <c r="I24" t="s">
        <v>1171</v>
      </c>
      <c r="J24" t="s">
        <v>1171</v>
      </c>
      <c r="K24" t="s">
        <v>1191</v>
      </c>
      <c r="M24" t="s">
        <v>1218</v>
      </c>
      <c r="N24">
        <v>15910</v>
      </c>
      <c r="O24">
        <v>1298</v>
      </c>
      <c r="P24">
        <v>3278</v>
      </c>
      <c r="Q24">
        <v>0</v>
      </c>
      <c r="R24">
        <v>0</v>
      </c>
      <c r="S24">
        <v>0</v>
      </c>
      <c r="T24">
        <v>10848</v>
      </c>
      <c r="U24">
        <v>0</v>
      </c>
      <c r="V24">
        <v>8678</v>
      </c>
      <c r="W24">
        <v>0</v>
      </c>
      <c r="X24" t="s">
        <v>32</v>
      </c>
      <c r="Y24" t="s">
        <v>91</v>
      </c>
      <c r="Z24" t="s">
        <v>1175</v>
      </c>
      <c r="AA24">
        <v>6</v>
      </c>
      <c r="AB24" t="s">
        <v>1171</v>
      </c>
    </row>
    <row r="25" spans="1:28">
      <c r="A25" t="s">
        <v>1181</v>
      </c>
      <c r="B25" t="s">
        <v>1182</v>
      </c>
      <c r="C25" t="s">
        <v>38</v>
      </c>
      <c r="D25" t="s">
        <v>1219</v>
      </c>
      <c r="E25" t="s">
        <v>93</v>
      </c>
      <c r="F25">
        <v>41400</v>
      </c>
      <c r="G25" t="s">
        <v>98</v>
      </c>
      <c r="H25" t="s">
        <v>37</v>
      </c>
      <c r="I25" t="s">
        <v>1171</v>
      </c>
      <c r="J25" t="s">
        <v>1171</v>
      </c>
      <c r="K25" t="s">
        <v>1184</v>
      </c>
      <c r="L25" t="s">
        <v>1171</v>
      </c>
      <c r="M25" t="s">
        <v>1220</v>
      </c>
      <c r="N25">
        <v>15910</v>
      </c>
      <c r="O25">
        <v>1298</v>
      </c>
      <c r="P25">
        <v>3278</v>
      </c>
      <c r="Q25">
        <v>10848</v>
      </c>
      <c r="R25">
        <v>0</v>
      </c>
      <c r="S25">
        <v>0</v>
      </c>
      <c r="T25">
        <v>0</v>
      </c>
      <c r="U25">
        <v>0</v>
      </c>
      <c r="V25">
        <v>8678</v>
      </c>
      <c r="W25">
        <v>0</v>
      </c>
      <c r="X25" t="s">
        <v>98</v>
      </c>
      <c r="Y25" t="s">
        <v>47</v>
      </c>
      <c r="Z25" t="s">
        <v>1175</v>
      </c>
      <c r="AA25">
        <v>6</v>
      </c>
      <c r="AB25" t="s">
        <v>1171</v>
      </c>
    </row>
    <row r="26" spans="1:28">
      <c r="A26" t="s">
        <v>1181</v>
      </c>
      <c r="B26" t="s">
        <v>1182</v>
      </c>
      <c r="C26" t="s">
        <v>38</v>
      </c>
      <c r="D26" t="s">
        <v>1221</v>
      </c>
      <c r="E26" t="s">
        <v>93</v>
      </c>
      <c r="F26">
        <v>41400</v>
      </c>
      <c r="G26" t="s">
        <v>32</v>
      </c>
      <c r="H26" t="s">
        <v>37</v>
      </c>
      <c r="I26" t="s">
        <v>1171</v>
      </c>
      <c r="J26" t="s">
        <v>1171</v>
      </c>
      <c r="K26" t="s">
        <v>1172</v>
      </c>
      <c r="L26" t="s">
        <v>1171</v>
      </c>
      <c r="M26" t="s">
        <v>1222</v>
      </c>
      <c r="N26">
        <v>15910</v>
      </c>
      <c r="O26">
        <v>1298</v>
      </c>
      <c r="P26">
        <v>3278</v>
      </c>
      <c r="Q26">
        <v>0</v>
      </c>
      <c r="R26">
        <v>0</v>
      </c>
      <c r="S26">
        <v>10848</v>
      </c>
      <c r="T26">
        <v>0</v>
      </c>
      <c r="U26">
        <v>0</v>
      </c>
      <c r="V26">
        <v>8678</v>
      </c>
      <c r="W26">
        <v>0</v>
      </c>
      <c r="X26" t="s">
        <v>37</v>
      </c>
      <c r="Y26" t="s">
        <v>91</v>
      </c>
      <c r="Z26" t="s">
        <v>1175</v>
      </c>
      <c r="AA26">
        <v>6</v>
      </c>
      <c r="AB26" t="s">
        <v>1171</v>
      </c>
    </row>
    <row r="27" spans="1:28">
      <c r="A27" t="s">
        <v>1181</v>
      </c>
      <c r="B27" t="s">
        <v>1182</v>
      </c>
      <c r="C27" t="s">
        <v>38</v>
      </c>
      <c r="D27" t="s">
        <v>1223</v>
      </c>
      <c r="E27" t="s">
        <v>787</v>
      </c>
      <c r="F27">
        <v>41400</v>
      </c>
      <c r="G27" t="s">
        <v>110</v>
      </c>
      <c r="H27" t="s">
        <v>37</v>
      </c>
      <c r="I27" t="s">
        <v>1171</v>
      </c>
      <c r="J27" t="s">
        <v>1171</v>
      </c>
      <c r="K27" t="s">
        <v>1187</v>
      </c>
      <c r="L27" t="s">
        <v>1171</v>
      </c>
      <c r="M27" t="s">
        <v>1224</v>
      </c>
      <c r="N27">
        <v>15910</v>
      </c>
      <c r="O27">
        <v>1298</v>
      </c>
      <c r="P27">
        <v>3278</v>
      </c>
      <c r="Q27">
        <v>0</v>
      </c>
      <c r="R27">
        <v>0</v>
      </c>
      <c r="S27">
        <v>0</v>
      </c>
      <c r="T27">
        <v>0</v>
      </c>
      <c r="U27">
        <v>10848</v>
      </c>
      <c r="V27">
        <v>8678</v>
      </c>
      <c r="W27">
        <v>0</v>
      </c>
      <c r="X27" t="s">
        <v>32</v>
      </c>
      <c r="Y27" t="s">
        <v>110</v>
      </c>
      <c r="Z27" t="s">
        <v>1175</v>
      </c>
      <c r="AA27">
        <v>6</v>
      </c>
      <c r="AB27" t="s">
        <v>1171</v>
      </c>
    </row>
    <row r="28" spans="1:28">
      <c r="A28" t="s">
        <v>1168</v>
      </c>
      <c r="B28" t="s">
        <v>1176</v>
      </c>
      <c r="C28" t="s">
        <v>38</v>
      </c>
      <c r="D28" t="s">
        <v>1225</v>
      </c>
      <c r="E28" t="s">
        <v>93</v>
      </c>
      <c r="F28">
        <v>41400</v>
      </c>
      <c r="G28" t="s">
        <v>37</v>
      </c>
      <c r="H28" t="s">
        <v>1171</v>
      </c>
      <c r="I28" t="s">
        <v>1171</v>
      </c>
      <c r="J28" t="s">
        <v>1171</v>
      </c>
      <c r="K28" t="s">
        <v>37</v>
      </c>
      <c r="L28" t="s">
        <v>1226</v>
      </c>
      <c r="M28" t="s">
        <v>1227</v>
      </c>
      <c r="N28">
        <v>15910</v>
      </c>
      <c r="O28">
        <v>0</v>
      </c>
      <c r="P28">
        <v>7430</v>
      </c>
      <c r="Q28">
        <v>0</v>
      </c>
      <c r="R28">
        <v>0</v>
      </c>
      <c r="S28">
        <v>0</v>
      </c>
      <c r="T28">
        <v>0</v>
      </c>
      <c r="U28">
        <v>0</v>
      </c>
      <c r="V28">
        <v>18803</v>
      </c>
      <c r="W28">
        <v>0</v>
      </c>
      <c r="X28" t="s">
        <v>98</v>
      </c>
      <c r="Y28" t="s">
        <v>37</v>
      </c>
      <c r="Z28" t="s">
        <v>1175</v>
      </c>
      <c r="AA28">
        <v>6</v>
      </c>
      <c r="AB28" t="s">
        <v>1171</v>
      </c>
    </row>
    <row r="29" spans="1:28">
      <c r="A29" t="s">
        <v>1168</v>
      </c>
      <c r="B29" t="s">
        <v>1228</v>
      </c>
      <c r="C29" t="s">
        <v>38</v>
      </c>
      <c r="D29" t="s">
        <v>1229</v>
      </c>
      <c r="E29" t="s">
        <v>93</v>
      </c>
      <c r="F29">
        <v>41400</v>
      </c>
      <c r="G29" t="s">
        <v>98</v>
      </c>
      <c r="H29" t="s">
        <v>37</v>
      </c>
      <c r="I29" t="s">
        <v>1171</v>
      </c>
      <c r="J29" t="s">
        <v>1171</v>
      </c>
      <c r="K29" t="s">
        <v>1184</v>
      </c>
      <c r="L29" t="s">
        <v>1226</v>
      </c>
      <c r="M29" t="s">
        <v>1230</v>
      </c>
      <c r="N29">
        <v>15910</v>
      </c>
      <c r="O29">
        <v>0</v>
      </c>
      <c r="P29">
        <v>5245</v>
      </c>
      <c r="Q29">
        <v>17356</v>
      </c>
      <c r="R29">
        <v>0</v>
      </c>
      <c r="S29">
        <v>0</v>
      </c>
      <c r="T29">
        <v>0</v>
      </c>
      <c r="U29">
        <v>0</v>
      </c>
      <c r="V29">
        <v>10125</v>
      </c>
      <c r="W29">
        <v>0</v>
      </c>
      <c r="X29" t="s">
        <v>47</v>
      </c>
      <c r="Y29" t="s">
        <v>37</v>
      </c>
      <c r="Z29" t="s">
        <v>1175</v>
      </c>
      <c r="AA29">
        <v>6</v>
      </c>
      <c r="AB29" t="s">
        <v>1171</v>
      </c>
    </row>
    <row r="30" spans="1:28">
      <c r="A30" t="s">
        <v>1168</v>
      </c>
      <c r="B30" t="s">
        <v>1228</v>
      </c>
      <c r="C30" t="s">
        <v>38</v>
      </c>
      <c r="D30" t="s">
        <v>1231</v>
      </c>
      <c r="E30" t="s">
        <v>93</v>
      </c>
      <c r="F30">
        <v>41400</v>
      </c>
      <c r="G30" t="s">
        <v>32</v>
      </c>
      <c r="H30" t="s">
        <v>37</v>
      </c>
      <c r="I30" t="s">
        <v>1171</v>
      </c>
      <c r="J30" t="s">
        <v>1171</v>
      </c>
      <c r="K30" t="s">
        <v>1172</v>
      </c>
      <c r="L30" t="s">
        <v>1226</v>
      </c>
      <c r="M30" t="s">
        <v>1232</v>
      </c>
      <c r="N30">
        <v>15910</v>
      </c>
      <c r="O30">
        <v>0</v>
      </c>
      <c r="P30">
        <v>6119</v>
      </c>
      <c r="Q30">
        <v>0</v>
      </c>
      <c r="R30">
        <v>0</v>
      </c>
      <c r="S30">
        <v>17718</v>
      </c>
      <c r="T30">
        <v>0</v>
      </c>
      <c r="U30">
        <v>0</v>
      </c>
      <c r="V30">
        <v>7232</v>
      </c>
      <c r="W30">
        <v>0</v>
      </c>
      <c r="X30" t="s">
        <v>32</v>
      </c>
      <c r="Y30" t="s">
        <v>47</v>
      </c>
      <c r="Z30" t="s">
        <v>1175</v>
      </c>
      <c r="AA30">
        <v>6</v>
      </c>
      <c r="AB30" t="s">
        <v>1171</v>
      </c>
    </row>
    <row r="31" spans="1:28">
      <c r="A31" t="s">
        <v>1168</v>
      </c>
      <c r="B31" t="s">
        <v>1233</v>
      </c>
      <c r="C31" t="s">
        <v>38</v>
      </c>
      <c r="D31" t="s">
        <v>1234</v>
      </c>
      <c r="E31" t="s">
        <v>93</v>
      </c>
      <c r="F31">
        <v>41400</v>
      </c>
      <c r="G31" t="s">
        <v>110</v>
      </c>
      <c r="H31" t="s">
        <v>37</v>
      </c>
      <c r="I31" t="s">
        <v>1171</v>
      </c>
      <c r="J31" t="s">
        <v>1171</v>
      </c>
      <c r="K31" t="s">
        <v>1187</v>
      </c>
      <c r="L31" t="s">
        <v>1226</v>
      </c>
      <c r="M31" t="s">
        <v>1235</v>
      </c>
      <c r="N31">
        <v>15910</v>
      </c>
      <c r="O31">
        <v>0</v>
      </c>
      <c r="P31">
        <v>4371</v>
      </c>
      <c r="Q31">
        <v>0</v>
      </c>
      <c r="R31">
        <v>0</v>
      </c>
      <c r="S31">
        <v>0</v>
      </c>
      <c r="T31">
        <v>0</v>
      </c>
      <c r="U31">
        <v>20611</v>
      </c>
      <c r="V31">
        <v>10848</v>
      </c>
      <c r="W31">
        <v>0</v>
      </c>
      <c r="X31" t="s">
        <v>110</v>
      </c>
      <c r="Y31" t="s">
        <v>37</v>
      </c>
      <c r="Z31" t="s">
        <v>1175</v>
      </c>
      <c r="AA31">
        <v>6</v>
      </c>
      <c r="AB31" t="s">
        <v>1171</v>
      </c>
    </row>
    <row r="32" spans="1:28">
      <c r="A32" t="s">
        <v>1168</v>
      </c>
      <c r="B32" t="s">
        <v>1176</v>
      </c>
      <c r="C32" t="s">
        <v>38</v>
      </c>
      <c r="D32" t="s">
        <v>1236</v>
      </c>
      <c r="E32" t="s">
        <v>93</v>
      </c>
      <c r="F32">
        <v>41400</v>
      </c>
      <c r="G32" t="s">
        <v>98</v>
      </c>
      <c r="H32" t="s">
        <v>32</v>
      </c>
      <c r="I32" t="s">
        <v>37</v>
      </c>
      <c r="J32" t="s">
        <v>1171</v>
      </c>
      <c r="K32" t="s">
        <v>1206</v>
      </c>
      <c r="L32" t="s">
        <v>1226</v>
      </c>
      <c r="M32" t="s">
        <v>1237</v>
      </c>
      <c r="N32">
        <v>15910</v>
      </c>
      <c r="O32">
        <v>0</v>
      </c>
      <c r="P32">
        <v>6337</v>
      </c>
      <c r="Q32">
        <v>7955</v>
      </c>
      <c r="R32">
        <v>0</v>
      </c>
      <c r="S32">
        <v>7955</v>
      </c>
      <c r="T32">
        <v>0</v>
      </c>
      <c r="U32">
        <v>0</v>
      </c>
      <c r="V32">
        <v>7955</v>
      </c>
      <c r="W32">
        <v>0</v>
      </c>
      <c r="X32" t="s">
        <v>42</v>
      </c>
      <c r="Y32" t="s">
        <v>47</v>
      </c>
      <c r="Z32" t="s">
        <v>1175</v>
      </c>
      <c r="AA32">
        <v>6</v>
      </c>
      <c r="AB32" t="s">
        <v>1171</v>
      </c>
    </row>
    <row r="33" spans="1:28">
      <c r="A33" t="s">
        <v>1168</v>
      </c>
      <c r="B33" t="s">
        <v>1176</v>
      </c>
      <c r="C33" t="s">
        <v>38</v>
      </c>
      <c r="D33" t="s">
        <v>1238</v>
      </c>
      <c r="E33" t="s">
        <v>93</v>
      </c>
      <c r="F33">
        <v>41400</v>
      </c>
      <c r="G33" t="s">
        <v>98</v>
      </c>
      <c r="H33" t="s">
        <v>110</v>
      </c>
      <c r="I33" t="s">
        <v>37</v>
      </c>
      <c r="J33" t="s">
        <v>1171</v>
      </c>
      <c r="K33" t="s">
        <v>1239</v>
      </c>
      <c r="L33" t="s">
        <v>1226</v>
      </c>
      <c r="M33" t="s">
        <v>1240</v>
      </c>
      <c r="N33">
        <v>15910</v>
      </c>
      <c r="O33">
        <v>0</v>
      </c>
      <c r="P33">
        <v>6337</v>
      </c>
      <c r="Q33">
        <v>7955</v>
      </c>
      <c r="R33">
        <v>0</v>
      </c>
      <c r="S33">
        <v>0</v>
      </c>
      <c r="T33">
        <v>0</v>
      </c>
      <c r="U33">
        <v>7955</v>
      </c>
      <c r="V33">
        <v>7955</v>
      </c>
      <c r="W33">
        <v>0</v>
      </c>
      <c r="X33" t="s">
        <v>98</v>
      </c>
      <c r="Y33" t="s">
        <v>37</v>
      </c>
      <c r="Z33" t="s">
        <v>1175</v>
      </c>
      <c r="AA33">
        <v>6</v>
      </c>
      <c r="AB33" t="s">
        <v>1171</v>
      </c>
    </row>
    <row r="34" spans="1:28">
      <c r="A34" t="s">
        <v>1168</v>
      </c>
      <c r="B34" t="s">
        <v>1176</v>
      </c>
      <c r="C34" t="s">
        <v>38</v>
      </c>
      <c r="D34" t="s">
        <v>1241</v>
      </c>
      <c r="E34" t="s">
        <v>93</v>
      </c>
      <c r="F34">
        <v>41400</v>
      </c>
      <c r="G34" t="s">
        <v>32</v>
      </c>
      <c r="H34" t="s">
        <v>110</v>
      </c>
      <c r="I34" t="s">
        <v>37</v>
      </c>
      <c r="J34" t="s">
        <v>1171</v>
      </c>
      <c r="K34" t="s">
        <v>1207</v>
      </c>
      <c r="L34" t="s">
        <v>1226</v>
      </c>
      <c r="M34" t="s">
        <v>1242</v>
      </c>
      <c r="N34">
        <v>15910</v>
      </c>
      <c r="O34">
        <v>0</v>
      </c>
      <c r="P34">
        <v>6337</v>
      </c>
      <c r="Q34">
        <v>0</v>
      </c>
      <c r="R34">
        <v>0</v>
      </c>
      <c r="S34">
        <v>7955</v>
      </c>
      <c r="T34">
        <v>0</v>
      </c>
      <c r="U34">
        <v>7955</v>
      </c>
      <c r="V34">
        <v>7955</v>
      </c>
      <c r="W34">
        <v>0</v>
      </c>
      <c r="X34" t="s">
        <v>32</v>
      </c>
      <c r="Y34" t="s">
        <v>37</v>
      </c>
      <c r="Z34" t="s">
        <v>1175</v>
      </c>
      <c r="AA34">
        <v>6</v>
      </c>
      <c r="AB34" t="s">
        <v>1171</v>
      </c>
    </row>
    <row r="35" spans="1:28">
      <c r="A35" t="s">
        <v>1168</v>
      </c>
      <c r="B35" t="s">
        <v>1228</v>
      </c>
      <c r="C35" t="s">
        <v>38</v>
      </c>
      <c r="D35" t="s">
        <v>1243</v>
      </c>
      <c r="E35" t="s">
        <v>93</v>
      </c>
      <c r="F35">
        <v>41400</v>
      </c>
      <c r="G35" t="s">
        <v>24</v>
      </c>
      <c r="H35" t="s">
        <v>37</v>
      </c>
      <c r="I35" t="s">
        <v>1171</v>
      </c>
      <c r="J35" t="s">
        <v>1171</v>
      </c>
      <c r="K35" t="s">
        <v>1191</v>
      </c>
      <c r="L35" t="s">
        <v>1226</v>
      </c>
      <c r="M35" t="s">
        <v>1244</v>
      </c>
      <c r="N35">
        <v>15910</v>
      </c>
      <c r="O35">
        <v>0</v>
      </c>
      <c r="P35">
        <v>7452</v>
      </c>
      <c r="Q35">
        <v>0</v>
      </c>
      <c r="R35">
        <v>0</v>
      </c>
      <c r="S35">
        <v>0</v>
      </c>
      <c r="T35">
        <v>8967</v>
      </c>
      <c r="U35">
        <v>0</v>
      </c>
      <c r="V35">
        <v>11209</v>
      </c>
      <c r="W35">
        <v>0</v>
      </c>
      <c r="X35" t="s">
        <v>98</v>
      </c>
      <c r="Y35" t="s">
        <v>110</v>
      </c>
      <c r="Z35" t="s">
        <v>1175</v>
      </c>
      <c r="AA35">
        <v>6</v>
      </c>
      <c r="AB35" t="s">
        <v>1171</v>
      </c>
    </row>
    <row r="36" spans="1:28">
      <c r="A36" t="s">
        <v>1168</v>
      </c>
      <c r="B36" t="s">
        <v>1176</v>
      </c>
      <c r="C36" t="s">
        <v>38</v>
      </c>
      <c r="D36" t="s">
        <v>1245</v>
      </c>
      <c r="E36" t="s">
        <v>654</v>
      </c>
      <c r="F36">
        <v>41400</v>
      </c>
      <c r="G36" t="s">
        <v>98</v>
      </c>
      <c r="H36" t="s">
        <v>42</v>
      </c>
      <c r="I36" t="s">
        <v>110</v>
      </c>
      <c r="J36" t="s">
        <v>1171</v>
      </c>
      <c r="K36" t="s">
        <v>1179</v>
      </c>
      <c r="L36" t="s">
        <v>1173</v>
      </c>
      <c r="M36" t="s">
        <v>1246</v>
      </c>
      <c r="N36">
        <v>15910</v>
      </c>
      <c r="O36">
        <v>0</v>
      </c>
      <c r="P36">
        <v>6338</v>
      </c>
      <c r="Q36">
        <v>13018</v>
      </c>
      <c r="R36">
        <v>5424</v>
      </c>
      <c r="S36">
        <v>0</v>
      </c>
      <c r="T36">
        <v>0</v>
      </c>
      <c r="U36">
        <v>5424</v>
      </c>
      <c r="V36">
        <v>0</v>
      </c>
      <c r="W36">
        <v>0</v>
      </c>
      <c r="X36" t="s">
        <v>32</v>
      </c>
      <c r="Y36" t="s">
        <v>47</v>
      </c>
      <c r="Z36" t="s">
        <v>1175</v>
      </c>
      <c r="AA36">
        <v>6</v>
      </c>
      <c r="AB36" t="s">
        <v>1171</v>
      </c>
    </row>
    <row r="37" spans="1:28">
      <c r="A37" t="s">
        <v>1168</v>
      </c>
      <c r="B37" t="s">
        <v>1176</v>
      </c>
      <c r="C37" t="s">
        <v>38</v>
      </c>
      <c r="D37" t="s">
        <v>1247</v>
      </c>
      <c r="E37" t="s">
        <v>654</v>
      </c>
      <c r="F37">
        <v>41400</v>
      </c>
      <c r="G37" t="s">
        <v>98</v>
      </c>
      <c r="H37" t="s">
        <v>42</v>
      </c>
      <c r="I37" t="s">
        <v>37</v>
      </c>
      <c r="J37" t="s">
        <v>1171</v>
      </c>
      <c r="K37" t="s">
        <v>1177</v>
      </c>
      <c r="L37" t="s">
        <v>1173</v>
      </c>
      <c r="M37" t="s">
        <v>39</v>
      </c>
      <c r="N37">
        <v>15910</v>
      </c>
      <c r="O37">
        <v>0</v>
      </c>
      <c r="P37">
        <v>6338</v>
      </c>
      <c r="Q37">
        <v>13018</v>
      </c>
      <c r="R37">
        <v>5424</v>
      </c>
      <c r="S37">
        <v>0</v>
      </c>
      <c r="T37">
        <v>0</v>
      </c>
      <c r="U37">
        <v>0</v>
      </c>
      <c r="V37">
        <v>5424</v>
      </c>
      <c r="W37">
        <v>0</v>
      </c>
      <c r="X37" t="s">
        <v>32</v>
      </c>
      <c r="Y37" t="s">
        <v>37</v>
      </c>
      <c r="Z37" t="s">
        <v>1175</v>
      </c>
      <c r="AA37">
        <v>6</v>
      </c>
      <c r="AB37" t="s">
        <v>1171</v>
      </c>
    </row>
    <row r="38" spans="1:28">
      <c r="A38" t="s">
        <v>1168</v>
      </c>
      <c r="B38" t="s">
        <v>1248</v>
      </c>
      <c r="C38" t="s">
        <v>38</v>
      </c>
      <c r="D38" t="s">
        <v>1249</v>
      </c>
      <c r="E38" t="s">
        <v>654</v>
      </c>
      <c r="F38">
        <v>41400</v>
      </c>
      <c r="G38" t="s">
        <v>98</v>
      </c>
      <c r="H38" t="s">
        <v>37</v>
      </c>
      <c r="I38" t="s">
        <v>1171</v>
      </c>
      <c r="J38" t="s">
        <v>1171</v>
      </c>
      <c r="K38" t="s">
        <v>1184</v>
      </c>
      <c r="L38" t="s">
        <v>1173</v>
      </c>
      <c r="M38" t="s">
        <v>1250</v>
      </c>
      <c r="N38">
        <v>15910</v>
      </c>
      <c r="O38">
        <v>0</v>
      </c>
      <c r="P38">
        <v>2185</v>
      </c>
      <c r="Q38">
        <v>28203</v>
      </c>
      <c r="R38">
        <v>0</v>
      </c>
      <c r="S38">
        <v>0</v>
      </c>
      <c r="T38">
        <v>0</v>
      </c>
      <c r="U38">
        <v>0</v>
      </c>
      <c r="V38">
        <v>8679</v>
      </c>
      <c r="W38">
        <v>0</v>
      </c>
      <c r="X38" t="s">
        <v>47</v>
      </c>
      <c r="Y38" t="s">
        <v>37</v>
      </c>
      <c r="Z38" t="s">
        <v>1175</v>
      </c>
      <c r="AA38">
        <v>6</v>
      </c>
      <c r="AB38" t="s">
        <v>1171</v>
      </c>
    </row>
    <row r="39" spans="1:28">
      <c r="A39" t="s">
        <v>1168</v>
      </c>
      <c r="B39" t="s">
        <v>1248</v>
      </c>
      <c r="C39" t="s">
        <v>38</v>
      </c>
      <c r="D39" t="s">
        <v>1251</v>
      </c>
      <c r="E39" t="s">
        <v>654</v>
      </c>
      <c r="F39">
        <v>41400</v>
      </c>
      <c r="G39" t="s">
        <v>32</v>
      </c>
      <c r="H39" t="s">
        <v>37</v>
      </c>
      <c r="I39" t="s">
        <v>1171</v>
      </c>
      <c r="J39" t="s">
        <v>1171</v>
      </c>
      <c r="K39" t="s">
        <v>1172</v>
      </c>
      <c r="L39" t="s">
        <v>1173</v>
      </c>
      <c r="M39" t="s">
        <v>1252</v>
      </c>
      <c r="N39">
        <v>15910</v>
      </c>
      <c r="O39">
        <v>0</v>
      </c>
      <c r="P39">
        <v>2185</v>
      </c>
      <c r="Q39">
        <v>0</v>
      </c>
      <c r="R39">
        <v>0</v>
      </c>
      <c r="S39">
        <v>28203</v>
      </c>
      <c r="T39">
        <v>0</v>
      </c>
      <c r="U39">
        <v>0</v>
      </c>
      <c r="V39">
        <v>8679</v>
      </c>
      <c r="W39">
        <v>0</v>
      </c>
      <c r="X39" t="s">
        <v>32</v>
      </c>
      <c r="Y39" t="s">
        <v>47</v>
      </c>
      <c r="Z39" t="s">
        <v>1175</v>
      </c>
      <c r="AA39">
        <v>6</v>
      </c>
      <c r="AB39" t="s">
        <v>1171</v>
      </c>
    </row>
    <row r="40" spans="1:28">
      <c r="A40" t="s">
        <v>1168</v>
      </c>
      <c r="B40" t="s">
        <v>1193</v>
      </c>
      <c r="C40" t="s">
        <v>38</v>
      </c>
      <c r="D40" t="s">
        <v>1253</v>
      </c>
      <c r="E40" t="s">
        <v>654</v>
      </c>
      <c r="F40">
        <v>41400</v>
      </c>
      <c r="G40" t="s">
        <v>110</v>
      </c>
      <c r="H40" t="s">
        <v>37</v>
      </c>
      <c r="I40" t="s">
        <v>1171</v>
      </c>
      <c r="J40" t="s">
        <v>1171</v>
      </c>
      <c r="K40" t="s">
        <v>1187</v>
      </c>
      <c r="L40" t="s">
        <v>1173</v>
      </c>
      <c r="M40" t="s">
        <v>1254</v>
      </c>
      <c r="N40">
        <v>15910</v>
      </c>
      <c r="O40">
        <v>0</v>
      </c>
      <c r="P40">
        <v>2185</v>
      </c>
      <c r="Q40">
        <v>0</v>
      </c>
      <c r="R40">
        <v>0</v>
      </c>
      <c r="S40">
        <v>0</v>
      </c>
      <c r="T40">
        <v>0</v>
      </c>
      <c r="U40">
        <v>28927</v>
      </c>
      <c r="V40">
        <v>8679</v>
      </c>
      <c r="W40">
        <v>0</v>
      </c>
      <c r="X40" t="s">
        <v>110</v>
      </c>
      <c r="Y40" t="s">
        <v>37</v>
      </c>
      <c r="Z40" t="s">
        <v>1175</v>
      </c>
      <c r="AA40">
        <v>6</v>
      </c>
      <c r="AB40" t="s">
        <v>1171</v>
      </c>
    </row>
    <row r="41" spans="1:28">
      <c r="A41" t="s">
        <v>1168</v>
      </c>
      <c r="B41" t="s">
        <v>1176</v>
      </c>
      <c r="C41" t="s">
        <v>38</v>
      </c>
      <c r="D41" t="s">
        <v>1255</v>
      </c>
      <c r="E41" t="s">
        <v>654</v>
      </c>
      <c r="F41">
        <v>41400</v>
      </c>
      <c r="G41" t="s">
        <v>110</v>
      </c>
      <c r="H41" t="s">
        <v>1171</v>
      </c>
      <c r="I41" t="s">
        <v>1171</v>
      </c>
      <c r="J41" t="s">
        <v>1171</v>
      </c>
      <c r="K41" t="s">
        <v>110</v>
      </c>
      <c r="L41" t="s">
        <v>1173</v>
      </c>
      <c r="M41" t="s">
        <v>1256</v>
      </c>
      <c r="N41">
        <v>15910</v>
      </c>
      <c r="O41">
        <v>0</v>
      </c>
      <c r="P41">
        <v>6118</v>
      </c>
      <c r="Q41">
        <v>0</v>
      </c>
      <c r="R41">
        <v>0</v>
      </c>
      <c r="S41">
        <v>0</v>
      </c>
      <c r="T41">
        <v>0</v>
      </c>
      <c r="U41">
        <v>22419</v>
      </c>
      <c r="V41">
        <v>0</v>
      </c>
      <c r="W41">
        <v>0</v>
      </c>
      <c r="X41" t="s">
        <v>98</v>
      </c>
      <c r="Y41" t="s">
        <v>110</v>
      </c>
      <c r="Z41" t="s">
        <v>1175</v>
      </c>
      <c r="AA41">
        <v>6</v>
      </c>
      <c r="AB41" t="s">
        <v>1171</v>
      </c>
    </row>
    <row r="42" spans="1:28">
      <c r="A42" t="s">
        <v>1168</v>
      </c>
      <c r="B42" t="s">
        <v>1228</v>
      </c>
      <c r="C42" t="s">
        <v>38</v>
      </c>
      <c r="D42" t="s">
        <v>1257</v>
      </c>
      <c r="E42" t="s">
        <v>667</v>
      </c>
      <c r="F42">
        <v>41400</v>
      </c>
      <c r="G42" t="s">
        <v>24</v>
      </c>
      <c r="H42" t="s">
        <v>37</v>
      </c>
      <c r="I42" t="s">
        <v>1171</v>
      </c>
      <c r="J42" t="s">
        <v>1171</v>
      </c>
      <c r="K42" t="s">
        <v>1191</v>
      </c>
      <c r="L42" t="s">
        <v>1173</v>
      </c>
      <c r="M42" t="s">
        <v>1258</v>
      </c>
      <c r="N42">
        <v>15910</v>
      </c>
      <c r="O42">
        <v>0</v>
      </c>
      <c r="P42">
        <v>7452</v>
      </c>
      <c r="Q42">
        <v>0</v>
      </c>
      <c r="R42">
        <v>0</v>
      </c>
      <c r="S42">
        <v>0</v>
      </c>
      <c r="T42">
        <v>8967</v>
      </c>
      <c r="U42">
        <v>0</v>
      </c>
      <c r="V42">
        <v>11209</v>
      </c>
      <c r="W42">
        <v>0</v>
      </c>
      <c r="X42" t="s">
        <v>98</v>
      </c>
      <c r="Y42" t="s">
        <v>110</v>
      </c>
      <c r="Z42" t="s">
        <v>1175</v>
      </c>
      <c r="AA42">
        <v>6</v>
      </c>
      <c r="AB42" t="s">
        <v>1171</v>
      </c>
    </row>
    <row r="43" spans="1:28">
      <c r="A43" t="s">
        <v>1181</v>
      </c>
      <c r="B43" t="s">
        <v>1182</v>
      </c>
      <c r="C43" t="s">
        <v>38</v>
      </c>
      <c r="D43" t="s">
        <v>1259</v>
      </c>
      <c r="E43" t="s">
        <v>601</v>
      </c>
      <c r="F43">
        <v>35900</v>
      </c>
      <c r="G43" t="s">
        <v>32</v>
      </c>
      <c r="H43" t="s">
        <v>37</v>
      </c>
      <c r="I43" t="s">
        <v>1171</v>
      </c>
      <c r="J43" t="s">
        <v>1171</v>
      </c>
      <c r="K43" t="s">
        <v>1172</v>
      </c>
      <c r="L43" t="s">
        <v>1171</v>
      </c>
      <c r="M43" t="s">
        <v>1260</v>
      </c>
      <c r="N43">
        <v>13796</v>
      </c>
      <c r="O43">
        <v>1126</v>
      </c>
      <c r="P43">
        <v>2843</v>
      </c>
      <c r="Q43">
        <v>0</v>
      </c>
      <c r="R43">
        <v>0</v>
      </c>
      <c r="S43">
        <v>9407</v>
      </c>
      <c r="T43">
        <v>0</v>
      </c>
      <c r="U43">
        <v>0</v>
      </c>
      <c r="V43">
        <v>7525</v>
      </c>
      <c r="W43">
        <v>0</v>
      </c>
      <c r="X43" t="s">
        <v>37</v>
      </c>
      <c r="Y43" t="s">
        <v>91</v>
      </c>
      <c r="Z43" t="s">
        <v>1175</v>
      </c>
      <c r="AA43">
        <v>6</v>
      </c>
      <c r="AB43" t="s">
        <v>1171</v>
      </c>
    </row>
    <row r="44" spans="1:28">
      <c r="A44" t="s">
        <v>1181</v>
      </c>
      <c r="B44" t="s">
        <v>1182</v>
      </c>
      <c r="C44" t="s">
        <v>38</v>
      </c>
      <c r="D44" t="s">
        <v>1219</v>
      </c>
      <c r="E44" t="s">
        <v>93</v>
      </c>
      <c r="F44">
        <v>35300</v>
      </c>
      <c r="G44" t="s">
        <v>98</v>
      </c>
      <c r="H44" t="s">
        <v>37</v>
      </c>
      <c r="I44" t="s">
        <v>1171</v>
      </c>
      <c r="J44" t="s">
        <v>1171</v>
      </c>
      <c r="K44" t="s">
        <v>1184</v>
      </c>
      <c r="L44" t="s">
        <v>1171</v>
      </c>
      <c r="M44" t="s">
        <v>1261</v>
      </c>
      <c r="N44">
        <v>13566</v>
      </c>
      <c r="O44">
        <v>1107</v>
      </c>
      <c r="P44">
        <v>2795</v>
      </c>
      <c r="Q44">
        <v>9249</v>
      </c>
      <c r="R44">
        <v>0</v>
      </c>
      <c r="S44">
        <v>0</v>
      </c>
      <c r="T44">
        <v>0</v>
      </c>
      <c r="U44">
        <v>0</v>
      </c>
      <c r="V44">
        <v>7400</v>
      </c>
      <c r="W44">
        <v>0</v>
      </c>
      <c r="X44" t="s">
        <v>98</v>
      </c>
      <c r="Y44" t="s">
        <v>47</v>
      </c>
      <c r="Z44" t="s">
        <v>1175</v>
      </c>
      <c r="AA44">
        <v>6</v>
      </c>
      <c r="AB44" t="s">
        <v>1171</v>
      </c>
    </row>
    <row r="45" spans="1:28">
      <c r="A45" t="s">
        <v>1181</v>
      </c>
      <c r="B45" t="s">
        <v>1182</v>
      </c>
      <c r="C45" t="s">
        <v>38</v>
      </c>
      <c r="D45" t="s">
        <v>1215</v>
      </c>
      <c r="E45" t="s">
        <v>93</v>
      </c>
      <c r="F45">
        <v>35300</v>
      </c>
      <c r="G45" t="s">
        <v>98</v>
      </c>
      <c r="H45" t="s">
        <v>37</v>
      </c>
      <c r="I45" t="s">
        <v>1171</v>
      </c>
      <c r="J45" t="s">
        <v>1171</v>
      </c>
      <c r="K45" t="s">
        <v>1184</v>
      </c>
      <c r="L45" t="s">
        <v>1171</v>
      </c>
      <c r="M45" t="s">
        <v>1262</v>
      </c>
      <c r="N45">
        <v>13566</v>
      </c>
      <c r="O45">
        <v>1107</v>
      </c>
      <c r="P45">
        <v>2795</v>
      </c>
      <c r="Q45">
        <v>9249</v>
      </c>
      <c r="R45">
        <v>0</v>
      </c>
      <c r="S45">
        <v>0</v>
      </c>
      <c r="T45">
        <v>0</v>
      </c>
      <c r="U45">
        <v>0</v>
      </c>
      <c r="V45">
        <v>7400</v>
      </c>
      <c r="W45">
        <v>0</v>
      </c>
      <c r="X45" t="s">
        <v>98</v>
      </c>
      <c r="Y45" t="s">
        <v>47</v>
      </c>
      <c r="Z45" t="s">
        <v>1175</v>
      </c>
      <c r="AA45">
        <v>6</v>
      </c>
      <c r="AB45" t="s">
        <v>1171</v>
      </c>
    </row>
    <row r="46" spans="1:28">
      <c r="A46" t="s">
        <v>1181</v>
      </c>
      <c r="B46" t="s">
        <v>1182</v>
      </c>
      <c r="C46" t="s">
        <v>38</v>
      </c>
      <c r="D46" t="s">
        <v>1263</v>
      </c>
      <c r="E46" t="s">
        <v>93</v>
      </c>
      <c r="F46">
        <v>35300</v>
      </c>
      <c r="G46" t="s">
        <v>32</v>
      </c>
      <c r="H46" t="s">
        <v>37</v>
      </c>
      <c r="I46" t="s">
        <v>1171</v>
      </c>
      <c r="J46" t="s">
        <v>1171</v>
      </c>
      <c r="K46" t="s">
        <v>1172</v>
      </c>
      <c r="L46" t="s">
        <v>1171</v>
      </c>
      <c r="M46" t="s">
        <v>1264</v>
      </c>
      <c r="N46">
        <v>13566</v>
      </c>
      <c r="O46">
        <v>1107</v>
      </c>
      <c r="P46">
        <v>2795</v>
      </c>
      <c r="Q46">
        <v>0</v>
      </c>
      <c r="R46">
        <v>0</v>
      </c>
      <c r="S46">
        <v>9249</v>
      </c>
      <c r="T46">
        <v>0</v>
      </c>
      <c r="U46">
        <v>0</v>
      </c>
      <c r="V46">
        <v>7400</v>
      </c>
      <c r="W46">
        <v>0</v>
      </c>
      <c r="X46" t="s">
        <v>37</v>
      </c>
      <c r="Y46" t="s">
        <v>91</v>
      </c>
      <c r="Z46" t="s">
        <v>1175</v>
      </c>
      <c r="AA46">
        <v>6</v>
      </c>
      <c r="AB46" t="s">
        <v>1171</v>
      </c>
    </row>
    <row r="47" spans="1:28">
      <c r="A47" t="s">
        <v>1168</v>
      </c>
      <c r="B47" t="s">
        <v>1228</v>
      </c>
      <c r="C47" t="s">
        <v>38</v>
      </c>
      <c r="D47" t="s">
        <v>1265</v>
      </c>
      <c r="E47" t="s">
        <v>93</v>
      </c>
      <c r="F47">
        <v>35300</v>
      </c>
      <c r="G47" t="s">
        <v>32</v>
      </c>
      <c r="H47" t="s">
        <v>37</v>
      </c>
      <c r="I47" t="s">
        <v>1171</v>
      </c>
      <c r="J47" t="s">
        <v>1171</v>
      </c>
      <c r="K47" t="s">
        <v>1172</v>
      </c>
      <c r="L47" t="s">
        <v>1226</v>
      </c>
      <c r="M47" t="s">
        <v>1266</v>
      </c>
      <c r="N47">
        <v>13566</v>
      </c>
      <c r="O47">
        <v>0</v>
      </c>
      <c r="P47">
        <v>5217</v>
      </c>
      <c r="Q47">
        <v>0</v>
      </c>
      <c r="R47">
        <v>0</v>
      </c>
      <c r="S47">
        <v>15107</v>
      </c>
      <c r="T47">
        <v>0</v>
      </c>
      <c r="U47">
        <v>0</v>
      </c>
      <c r="V47">
        <v>6166</v>
      </c>
      <c r="W47">
        <v>0</v>
      </c>
      <c r="X47" t="s">
        <v>32</v>
      </c>
      <c r="Y47" t="s">
        <v>47</v>
      </c>
      <c r="Z47" t="s">
        <v>1175</v>
      </c>
      <c r="AA47">
        <v>6</v>
      </c>
      <c r="AB47" t="s">
        <v>1171</v>
      </c>
    </row>
    <row r="48" spans="1:28">
      <c r="A48" t="s">
        <v>1168</v>
      </c>
      <c r="B48" t="s">
        <v>1228</v>
      </c>
      <c r="C48" t="s">
        <v>38</v>
      </c>
      <c r="D48" t="s">
        <v>1267</v>
      </c>
      <c r="E48" t="s">
        <v>93</v>
      </c>
      <c r="F48">
        <v>35300</v>
      </c>
      <c r="G48" t="s">
        <v>98</v>
      </c>
      <c r="H48" t="s">
        <v>37</v>
      </c>
      <c r="I48" t="s">
        <v>1171</v>
      </c>
      <c r="J48" t="s">
        <v>1171</v>
      </c>
      <c r="K48" t="s">
        <v>1184</v>
      </c>
      <c r="L48" t="s">
        <v>1226</v>
      </c>
      <c r="M48" t="s">
        <v>1268</v>
      </c>
      <c r="N48">
        <v>13566</v>
      </c>
      <c r="O48">
        <v>0</v>
      </c>
      <c r="P48">
        <v>4472</v>
      </c>
      <c r="Q48">
        <v>14799</v>
      </c>
      <c r="R48">
        <v>0</v>
      </c>
      <c r="S48">
        <v>0</v>
      </c>
      <c r="T48">
        <v>0</v>
      </c>
      <c r="U48">
        <v>0</v>
      </c>
      <c r="V48">
        <v>8633</v>
      </c>
      <c r="W48">
        <v>0</v>
      </c>
      <c r="X48" t="s">
        <v>47</v>
      </c>
      <c r="Y48" t="s">
        <v>37</v>
      </c>
      <c r="Z48" t="s">
        <v>1175</v>
      </c>
      <c r="AA48">
        <v>6</v>
      </c>
      <c r="AB48" t="s">
        <v>1171</v>
      </c>
    </row>
    <row r="49" spans="1:28">
      <c r="A49" t="s">
        <v>1168</v>
      </c>
      <c r="B49" t="s">
        <v>1169</v>
      </c>
      <c r="C49" t="s">
        <v>38</v>
      </c>
      <c r="D49" t="s">
        <v>1269</v>
      </c>
      <c r="E49" t="s">
        <v>93</v>
      </c>
      <c r="F49">
        <v>35300</v>
      </c>
      <c r="G49" t="s">
        <v>24</v>
      </c>
      <c r="H49" t="s">
        <v>37</v>
      </c>
      <c r="I49" t="s">
        <v>1171</v>
      </c>
      <c r="J49" t="s">
        <v>1171</v>
      </c>
      <c r="K49" t="s">
        <v>1191</v>
      </c>
      <c r="L49" t="s">
        <v>1226</v>
      </c>
      <c r="M49" t="s">
        <v>1270</v>
      </c>
      <c r="N49">
        <v>13566</v>
      </c>
      <c r="O49">
        <v>0</v>
      </c>
      <c r="P49">
        <v>5962</v>
      </c>
      <c r="Q49">
        <v>0</v>
      </c>
      <c r="R49">
        <v>0</v>
      </c>
      <c r="S49">
        <v>0</v>
      </c>
      <c r="T49">
        <v>8941</v>
      </c>
      <c r="U49">
        <v>0</v>
      </c>
      <c r="V49">
        <v>9558</v>
      </c>
      <c r="W49">
        <v>0</v>
      </c>
      <c r="X49" t="s">
        <v>98</v>
      </c>
      <c r="Y49" t="s">
        <v>110</v>
      </c>
      <c r="Z49" t="s">
        <v>1175</v>
      </c>
      <c r="AA49">
        <v>6</v>
      </c>
      <c r="AB49" t="s">
        <v>1171</v>
      </c>
    </row>
    <row r="50" spans="1:28">
      <c r="A50" t="s">
        <v>1168</v>
      </c>
      <c r="B50" t="s">
        <v>1228</v>
      </c>
      <c r="C50" t="s">
        <v>38</v>
      </c>
      <c r="D50" t="s">
        <v>1271</v>
      </c>
      <c r="E50" t="s">
        <v>93</v>
      </c>
      <c r="F50">
        <v>35300</v>
      </c>
      <c r="G50" t="s">
        <v>110</v>
      </c>
      <c r="H50" t="s">
        <v>37</v>
      </c>
      <c r="I50" t="s">
        <v>1171</v>
      </c>
      <c r="J50" t="s">
        <v>1171</v>
      </c>
      <c r="K50" t="s">
        <v>1187</v>
      </c>
      <c r="L50" t="s">
        <v>1226</v>
      </c>
      <c r="M50" t="s">
        <v>1272</v>
      </c>
      <c r="N50">
        <v>13566</v>
      </c>
      <c r="O50">
        <v>0</v>
      </c>
      <c r="P50">
        <v>3726</v>
      </c>
      <c r="Q50">
        <v>0</v>
      </c>
      <c r="R50">
        <v>0</v>
      </c>
      <c r="S50">
        <v>0</v>
      </c>
      <c r="T50">
        <v>0</v>
      </c>
      <c r="U50">
        <v>16957</v>
      </c>
      <c r="V50">
        <v>9249</v>
      </c>
      <c r="W50">
        <v>0</v>
      </c>
      <c r="X50" t="s">
        <v>110</v>
      </c>
      <c r="Y50" t="s">
        <v>37</v>
      </c>
      <c r="Z50" t="s">
        <v>1175</v>
      </c>
      <c r="AA50">
        <v>6</v>
      </c>
      <c r="AB50" t="s">
        <v>1171</v>
      </c>
    </row>
    <row r="51" spans="1:28">
      <c r="A51" t="s">
        <v>1168</v>
      </c>
      <c r="B51" t="s">
        <v>1176</v>
      </c>
      <c r="C51" t="s">
        <v>38</v>
      </c>
      <c r="D51" t="s">
        <v>1273</v>
      </c>
      <c r="E51" t="s">
        <v>93</v>
      </c>
      <c r="F51">
        <v>35300</v>
      </c>
      <c r="G51" t="s">
        <v>32</v>
      </c>
      <c r="H51" t="s">
        <v>110</v>
      </c>
      <c r="I51" t="s">
        <v>37</v>
      </c>
      <c r="J51" t="s">
        <v>1171</v>
      </c>
      <c r="K51" t="s">
        <v>1207</v>
      </c>
      <c r="L51" t="s">
        <v>1226</v>
      </c>
      <c r="M51" t="s">
        <v>1274</v>
      </c>
      <c r="N51">
        <v>13566</v>
      </c>
      <c r="O51">
        <v>0</v>
      </c>
      <c r="P51">
        <v>5403</v>
      </c>
      <c r="Q51">
        <v>0</v>
      </c>
      <c r="R51">
        <v>0</v>
      </c>
      <c r="S51">
        <v>6783</v>
      </c>
      <c r="T51">
        <v>0</v>
      </c>
      <c r="U51">
        <v>6783</v>
      </c>
      <c r="V51">
        <v>6783</v>
      </c>
      <c r="W51">
        <v>0</v>
      </c>
      <c r="X51" t="s">
        <v>32</v>
      </c>
      <c r="Y51" t="s">
        <v>37</v>
      </c>
      <c r="Z51" t="s">
        <v>1175</v>
      </c>
      <c r="AA51">
        <v>6</v>
      </c>
      <c r="AB51" t="s">
        <v>1171</v>
      </c>
    </row>
    <row r="52" spans="1:28">
      <c r="A52" t="s">
        <v>1168</v>
      </c>
      <c r="B52" t="s">
        <v>1176</v>
      </c>
      <c r="C52" t="s">
        <v>38</v>
      </c>
      <c r="D52" t="s">
        <v>1275</v>
      </c>
      <c r="E52" t="s">
        <v>93</v>
      </c>
      <c r="F52">
        <v>35300</v>
      </c>
      <c r="G52" t="s">
        <v>98</v>
      </c>
      <c r="H52" t="s">
        <v>110</v>
      </c>
      <c r="I52" t="s">
        <v>37</v>
      </c>
      <c r="J52" t="s">
        <v>1171</v>
      </c>
      <c r="K52" t="s">
        <v>1239</v>
      </c>
      <c r="L52" t="s">
        <v>1226</v>
      </c>
      <c r="M52" t="s">
        <v>1276</v>
      </c>
      <c r="N52">
        <v>13566</v>
      </c>
      <c r="O52">
        <v>0</v>
      </c>
      <c r="P52">
        <v>5403</v>
      </c>
      <c r="Q52">
        <v>6783</v>
      </c>
      <c r="R52">
        <v>0</v>
      </c>
      <c r="S52">
        <v>0</v>
      </c>
      <c r="T52">
        <v>0</v>
      </c>
      <c r="U52">
        <v>6783</v>
      </c>
      <c r="V52">
        <v>6783</v>
      </c>
      <c r="W52">
        <v>0</v>
      </c>
      <c r="X52" t="s">
        <v>98</v>
      </c>
      <c r="Y52" t="s">
        <v>37</v>
      </c>
      <c r="Z52" t="s">
        <v>1175</v>
      </c>
      <c r="AA52">
        <v>6</v>
      </c>
      <c r="AB52" t="s">
        <v>1171</v>
      </c>
    </row>
    <row r="53" spans="1:28">
      <c r="A53" t="s">
        <v>1168</v>
      </c>
      <c r="B53" t="s">
        <v>1176</v>
      </c>
      <c r="C53" t="s">
        <v>38</v>
      </c>
      <c r="D53" t="s">
        <v>1277</v>
      </c>
      <c r="E53" t="s">
        <v>93</v>
      </c>
      <c r="F53">
        <v>35300</v>
      </c>
      <c r="G53" t="s">
        <v>98</v>
      </c>
      <c r="H53" t="s">
        <v>32</v>
      </c>
      <c r="I53" t="s">
        <v>37</v>
      </c>
      <c r="J53" t="s">
        <v>1171</v>
      </c>
      <c r="K53" t="s">
        <v>1206</v>
      </c>
      <c r="L53" t="s">
        <v>1226</v>
      </c>
      <c r="M53" t="s">
        <v>272</v>
      </c>
      <c r="N53">
        <v>13566</v>
      </c>
      <c r="O53">
        <v>0</v>
      </c>
      <c r="P53">
        <v>5403</v>
      </c>
      <c r="Q53">
        <v>6783</v>
      </c>
      <c r="R53">
        <v>0</v>
      </c>
      <c r="S53">
        <v>6783</v>
      </c>
      <c r="T53">
        <v>0</v>
      </c>
      <c r="U53">
        <v>0</v>
      </c>
      <c r="V53">
        <v>6783</v>
      </c>
      <c r="W53">
        <v>0</v>
      </c>
      <c r="X53" t="s">
        <v>42</v>
      </c>
      <c r="Y53" t="s">
        <v>47</v>
      </c>
      <c r="Z53" t="s">
        <v>1175</v>
      </c>
      <c r="AA53">
        <v>6</v>
      </c>
      <c r="AB53" t="s">
        <v>1171</v>
      </c>
    </row>
    <row r="54" spans="1:28">
      <c r="A54" t="s">
        <v>1168</v>
      </c>
      <c r="B54" t="s">
        <v>1176</v>
      </c>
      <c r="C54" t="s">
        <v>38</v>
      </c>
      <c r="D54" t="s">
        <v>1278</v>
      </c>
      <c r="E54" t="s">
        <v>93</v>
      </c>
      <c r="F54">
        <v>35300</v>
      </c>
      <c r="G54" t="s">
        <v>37</v>
      </c>
      <c r="H54" t="s">
        <v>1171</v>
      </c>
      <c r="I54" t="s">
        <v>1171</v>
      </c>
      <c r="J54" t="s">
        <v>1171</v>
      </c>
      <c r="K54" t="s">
        <v>37</v>
      </c>
      <c r="L54" t="s">
        <v>1226</v>
      </c>
      <c r="M54" t="s">
        <v>1279</v>
      </c>
      <c r="N54">
        <v>13566</v>
      </c>
      <c r="O54">
        <v>0</v>
      </c>
      <c r="P54">
        <v>6335</v>
      </c>
      <c r="Q54">
        <v>0</v>
      </c>
      <c r="R54">
        <v>0</v>
      </c>
      <c r="S54">
        <v>0</v>
      </c>
      <c r="T54">
        <v>0</v>
      </c>
      <c r="U54">
        <v>0</v>
      </c>
      <c r="V54">
        <v>16032</v>
      </c>
      <c r="W54">
        <v>0</v>
      </c>
      <c r="X54" t="s">
        <v>98</v>
      </c>
      <c r="Y54" t="s">
        <v>37</v>
      </c>
      <c r="Z54" t="s">
        <v>1175</v>
      </c>
      <c r="AA54">
        <v>6</v>
      </c>
      <c r="AB54" t="s">
        <v>1171</v>
      </c>
    </row>
    <row r="55" spans="1:28">
      <c r="A55" t="s">
        <v>1168</v>
      </c>
      <c r="B55" t="s">
        <v>1176</v>
      </c>
      <c r="C55" t="s">
        <v>38</v>
      </c>
      <c r="D55" t="s">
        <v>1280</v>
      </c>
      <c r="E55" t="s">
        <v>672</v>
      </c>
      <c r="F55">
        <v>35300</v>
      </c>
      <c r="G55" t="s">
        <v>98</v>
      </c>
      <c r="H55" t="s">
        <v>42</v>
      </c>
      <c r="I55" t="s">
        <v>110</v>
      </c>
      <c r="J55" t="s">
        <v>1171</v>
      </c>
      <c r="K55" t="s">
        <v>1179</v>
      </c>
      <c r="L55" t="s">
        <v>1173</v>
      </c>
      <c r="M55" t="s">
        <v>1281</v>
      </c>
      <c r="N55">
        <v>13566</v>
      </c>
      <c r="O55">
        <v>0</v>
      </c>
      <c r="P55">
        <v>5404</v>
      </c>
      <c r="Q55">
        <v>11100</v>
      </c>
      <c r="R55">
        <v>4625</v>
      </c>
      <c r="S55">
        <v>0</v>
      </c>
      <c r="T55">
        <v>0</v>
      </c>
      <c r="U55">
        <v>4625</v>
      </c>
      <c r="V55">
        <v>0</v>
      </c>
      <c r="W55">
        <v>0</v>
      </c>
      <c r="X55" t="s">
        <v>32</v>
      </c>
      <c r="Y55" t="s">
        <v>47</v>
      </c>
      <c r="Z55" t="s">
        <v>1175</v>
      </c>
      <c r="AA55">
        <v>6</v>
      </c>
      <c r="AB55" t="s">
        <v>1171</v>
      </c>
    </row>
    <row r="56" spans="1:28">
      <c r="A56" t="s">
        <v>1168</v>
      </c>
      <c r="B56" t="s">
        <v>1176</v>
      </c>
      <c r="C56" t="s">
        <v>38</v>
      </c>
      <c r="D56" t="s">
        <v>1282</v>
      </c>
      <c r="E56" t="s">
        <v>672</v>
      </c>
      <c r="F56">
        <v>35300</v>
      </c>
      <c r="G56" t="s">
        <v>98</v>
      </c>
      <c r="H56" t="s">
        <v>42</v>
      </c>
      <c r="I56" t="s">
        <v>37</v>
      </c>
      <c r="J56" t="s">
        <v>1171</v>
      </c>
      <c r="K56" t="s">
        <v>1177</v>
      </c>
      <c r="L56" t="s">
        <v>1173</v>
      </c>
      <c r="M56" t="s">
        <v>1283</v>
      </c>
      <c r="N56">
        <v>13566</v>
      </c>
      <c r="O56">
        <v>0</v>
      </c>
      <c r="P56">
        <v>5404</v>
      </c>
      <c r="Q56">
        <v>11100</v>
      </c>
      <c r="R56">
        <v>4625</v>
      </c>
      <c r="S56">
        <v>0</v>
      </c>
      <c r="T56">
        <v>0</v>
      </c>
      <c r="U56">
        <v>0</v>
      </c>
      <c r="V56">
        <v>4625</v>
      </c>
      <c r="W56">
        <v>0</v>
      </c>
      <c r="X56" t="s">
        <v>32</v>
      </c>
      <c r="Y56" t="s">
        <v>37</v>
      </c>
      <c r="Z56" t="s">
        <v>1175</v>
      </c>
      <c r="AA56">
        <v>6</v>
      </c>
      <c r="AB56" t="s">
        <v>1171</v>
      </c>
    </row>
    <row r="57" spans="1:28">
      <c r="A57" t="s">
        <v>1168</v>
      </c>
      <c r="B57" t="s">
        <v>1248</v>
      </c>
      <c r="C57" t="s">
        <v>38</v>
      </c>
      <c r="D57" t="s">
        <v>1284</v>
      </c>
      <c r="E57" t="s">
        <v>672</v>
      </c>
      <c r="F57">
        <v>35300</v>
      </c>
      <c r="G57" t="s">
        <v>98</v>
      </c>
      <c r="H57" t="s">
        <v>37</v>
      </c>
      <c r="I57" t="s">
        <v>1171</v>
      </c>
      <c r="J57" t="s">
        <v>1171</v>
      </c>
      <c r="K57" t="s">
        <v>1184</v>
      </c>
      <c r="L57" t="s">
        <v>1173</v>
      </c>
      <c r="M57" t="s">
        <v>1285</v>
      </c>
      <c r="N57">
        <v>13566</v>
      </c>
      <c r="O57">
        <v>0</v>
      </c>
      <c r="P57">
        <v>1863</v>
      </c>
      <c r="Q57">
        <v>24048</v>
      </c>
      <c r="R57">
        <v>0</v>
      </c>
      <c r="S57">
        <v>0</v>
      </c>
      <c r="T57">
        <v>0</v>
      </c>
      <c r="U57">
        <v>0</v>
      </c>
      <c r="V57">
        <v>7400</v>
      </c>
      <c r="W57">
        <v>0</v>
      </c>
      <c r="X57" t="s">
        <v>47</v>
      </c>
      <c r="Y57" t="s">
        <v>37</v>
      </c>
      <c r="Z57" t="s">
        <v>1175</v>
      </c>
      <c r="AA57">
        <v>6</v>
      </c>
      <c r="AB57" t="s">
        <v>1171</v>
      </c>
    </row>
    <row r="58" spans="1:28">
      <c r="A58" t="s">
        <v>1168</v>
      </c>
      <c r="B58" t="s">
        <v>1248</v>
      </c>
      <c r="C58" t="s">
        <v>38</v>
      </c>
      <c r="D58" t="s">
        <v>1286</v>
      </c>
      <c r="E58" t="s">
        <v>672</v>
      </c>
      <c r="F58">
        <v>35300</v>
      </c>
      <c r="G58" t="s">
        <v>32</v>
      </c>
      <c r="H58" t="s">
        <v>37</v>
      </c>
      <c r="I58" t="s">
        <v>1171</v>
      </c>
      <c r="J58" t="s">
        <v>1171</v>
      </c>
      <c r="K58" t="s">
        <v>1172</v>
      </c>
      <c r="L58" t="s">
        <v>1173</v>
      </c>
      <c r="M58" t="s">
        <v>1287</v>
      </c>
      <c r="N58">
        <v>13566</v>
      </c>
      <c r="O58">
        <v>0</v>
      </c>
      <c r="P58">
        <v>1863</v>
      </c>
      <c r="Q58">
        <v>0</v>
      </c>
      <c r="R58">
        <v>0</v>
      </c>
      <c r="S58">
        <v>24048</v>
      </c>
      <c r="T58">
        <v>0</v>
      </c>
      <c r="U58">
        <v>0</v>
      </c>
      <c r="V58">
        <v>7400</v>
      </c>
      <c r="W58">
        <v>0</v>
      </c>
      <c r="X58" t="s">
        <v>32</v>
      </c>
      <c r="Y58" t="s">
        <v>47</v>
      </c>
      <c r="Z58" t="s">
        <v>1175</v>
      </c>
      <c r="AA58">
        <v>6</v>
      </c>
      <c r="AB58" t="s">
        <v>1171</v>
      </c>
    </row>
    <row r="59" spans="1:28">
      <c r="A59" t="s">
        <v>1168</v>
      </c>
      <c r="B59" t="s">
        <v>1248</v>
      </c>
      <c r="C59" t="s">
        <v>38</v>
      </c>
      <c r="D59" t="s">
        <v>1288</v>
      </c>
      <c r="E59" t="s">
        <v>672</v>
      </c>
      <c r="F59">
        <v>35300</v>
      </c>
      <c r="G59" t="s">
        <v>110</v>
      </c>
      <c r="H59" t="s">
        <v>37</v>
      </c>
      <c r="I59" t="s">
        <v>1171</v>
      </c>
      <c r="J59" t="s">
        <v>1171</v>
      </c>
      <c r="K59" t="s">
        <v>1187</v>
      </c>
      <c r="L59" t="s">
        <v>1173</v>
      </c>
      <c r="M59" t="s">
        <v>1289</v>
      </c>
      <c r="N59">
        <v>13566</v>
      </c>
      <c r="O59">
        <v>0</v>
      </c>
      <c r="P59">
        <v>1863</v>
      </c>
      <c r="Q59">
        <v>0</v>
      </c>
      <c r="R59">
        <v>0</v>
      </c>
      <c r="S59">
        <v>0</v>
      </c>
      <c r="T59">
        <v>0</v>
      </c>
      <c r="U59">
        <v>24048</v>
      </c>
      <c r="V59">
        <v>7400</v>
      </c>
      <c r="W59">
        <v>0</v>
      </c>
      <c r="X59" t="s">
        <v>110</v>
      </c>
      <c r="Y59" t="s">
        <v>37</v>
      </c>
      <c r="Z59" t="s">
        <v>1175</v>
      </c>
      <c r="AA59">
        <v>6</v>
      </c>
      <c r="AB59" t="s">
        <v>1171</v>
      </c>
    </row>
    <row r="60" spans="1:28">
      <c r="A60" t="s">
        <v>1168</v>
      </c>
      <c r="B60" t="s">
        <v>1205</v>
      </c>
      <c r="C60" t="s">
        <v>38</v>
      </c>
      <c r="D60" t="s">
        <v>1290</v>
      </c>
      <c r="E60" t="s">
        <v>672</v>
      </c>
      <c r="F60">
        <v>35300</v>
      </c>
      <c r="G60" t="s">
        <v>110</v>
      </c>
      <c r="H60" t="s">
        <v>1171</v>
      </c>
      <c r="I60" t="s">
        <v>1171</v>
      </c>
      <c r="J60" t="s">
        <v>1171</v>
      </c>
      <c r="K60" t="s">
        <v>110</v>
      </c>
      <c r="L60" t="s">
        <v>1173</v>
      </c>
      <c r="M60" t="s">
        <v>1291</v>
      </c>
      <c r="N60">
        <v>13566</v>
      </c>
      <c r="O60">
        <v>0</v>
      </c>
      <c r="P60">
        <v>5217</v>
      </c>
      <c r="Q60">
        <v>0</v>
      </c>
      <c r="R60">
        <v>0</v>
      </c>
      <c r="S60">
        <v>0</v>
      </c>
      <c r="T60">
        <v>0</v>
      </c>
      <c r="U60">
        <v>18499</v>
      </c>
      <c r="V60">
        <v>0</v>
      </c>
      <c r="W60">
        <v>0</v>
      </c>
      <c r="X60" t="s">
        <v>98</v>
      </c>
      <c r="Y60" t="s">
        <v>110</v>
      </c>
      <c r="Z60" t="s">
        <v>1175</v>
      </c>
      <c r="AA60">
        <v>6</v>
      </c>
      <c r="AB60" t="s">
        <v>1171</v>
      </c>
    </row>
    <row r="61" spans="1:28">
      <c r="A61" t="s">
        <v>1168</v>
      </c>
      <c r="B61" t="s">
        <v>1169</v>
      </c>
      <c r="C61" t="s">
        <v>38</v>
      </c>
      <c r="D61" t="s">
        <v>1292</v>
      </c>
      <c r="E61" t="s">
        <v>682</v>
      </c>
      <c r="F61">
        <v>35300</v>
      </c>
      <c r="G61" t="s">
        <v>24</v>
      </c>
      <c r="H61" t="s">
        <v>37</v>
      </c>
      <c r="I61" t="s">
        <v>1171</v>
      </c>
      <c r="J61" t="s">
        <v>1171</v>
      </c>
      <c r="K61" t="s">
        <v>1191</v>
      </c>
      <c r="L61" t="s">
        <v>1173</v>
      </c>
      <c r="M61" t="s">
        <v>1293</v>
      </c>
      <c r="N61">
        <v>13566</v>
      </c>
      <c r="O61">
        <v>0</v>
      </c>
      <c r="P61">
        <v>5962</v>
      </c>
      <c r="Q61">
        <v>0</v>
      </c>
      <c r="R61">
        <v>0</v>
      </c>
      <c r="S61">
        <v>0</v>
      </c>
      <c r="T61">
        <v>8941</v>
      </c>
      <c r="U61">
        <v>0</v>
      </c>
      <c r="V61">
        <v>9558</v>
      </c>
      <c r="W61">
        <v>0</v>
      </c>
      <c r="X61" t="s">
        <v>98</v>
      </c>
      <c r="Y61" t="s">
        <v>110</v>
      </c>
      <c r="Z61" t="s">
        <v>1175</v>
      </c>
      <c r="AA61">
        <v>6</v>
      </c>
      <c r="AB61" t="s">
        <v>1171</v>
      </c>
    </row>
    <row r="62" spans="1:28">
      <c r="A62" t="s">
        <v>1181</v>
      </c>
      <c r="B62" t="s">
        <v>1182</v>
      </c>
      <c r="C62" t="s">
        <v>38</v>
      </c>
      <c r="D62" t="s">
        <v>1294</v>
      </c>
      <c r="E62" t="s">
        <v>787</v>
      </c>
      <c r="F62">
        <v>35300</v>
      </c>
      <c r="G62" t="s">
        <v>110</v>
      </c>
      <c r="H62" t="s">
        <v>37</v>
      </c>
      <c r="I62" t="s">
        <v>1171</v>
      </c>
      <c r="J62" t="s">
        <v>1171</v>
      </c>
      <c r="K62" t="s">
        <v>1187</v>
      </c>
      <c r="L62" t="s">
        <v>1171</v>
      </c>
      <c r="M62" t="s">
        <v>1295</v>
      </c>
      <c r="N62">
        <v>13566</v>
      </c>
      <c r="O62">
        <v>1107</v>
      </c>
      <c r="P62">
        <v>2795</v>
      </c>
      <c r="Q62">
        <v>0</v>
      </c>
      <c r="R62">
        <v>0</v>
      </c>
      <c r="S62">
        <v>0</v>
      </c>
      <c r="T62">
        <v>0</v>
      </c>
      <c r="U62">
        <v>9249</v>
      </c>
      <c r="V62">
        <v>7400</v>
      </c>
      <c r="W62">
        <v>0</v>
      </c>
      <c r="X62" t="s">
        <v>32</v>
      </c>
      <c r="Y62" t="s">
        <v>110</v>
      </c>
      <c r="Z62" t="s">
        <v>1175</v>
      </c>
      <c r="AA62">
        <v>6</v>
      </c>
      <c r="AB62" t="s">
        <v>1171</v>
      </c>
    </row>
    <row r="63" spans="1:28">
      <c r="A63" t="s">
        <v>1181</v>
      </c>
      <c r="B63" t="s">
        <v>1182</v>
      </c>
      <c r="C63" t="s">
        <v>38</v>
      </c>
      <c r="D63" t="s">
        <v>1296</v>
      </c>
      <c r="E63" t="s">
        <v>93</v>
      </c>
      <c r="F63">
        <v>35300</v>
      </c>
      <c r="G63" t="s">
        <v>24</v>
      </c>
      <c r="H63" t="s">
        <v>37</v>
      </c>
      <c r="I63" t="s">
        <v>1171</v>
      </c>
      <c r="J63" t="s">
        <v>1171</v>
      </c>
      <c r="K63" t="s">
        <v>1191</v>
      </c>
      <c r="L63" t="s">
        <v>1171</v>
      </c>
      <c r="M63" t="s">
        <v>1297</v>
      </c>
      <c r="N63">
        <v>13566</v>
      </c>
      <c r="O63">
        <v>1107</v>
      </c>
      <c r="P63">
        <v>2795</v>
      </c>
      <c r="Q63">
        <v>0</v>
      </c>
      <c r="R63">
        <v>0</v>
      </c>
      <c r="S63">
        <v>0</v>
      </c>
      <c r="T63">
        <v>9249</v>
      </c>
      <c r="U63">
        <v>0</v>
      </c>
      <c r="V63">
        <v>7400</v>
      </c>
      <c r="W63">
        <v>0</v>
      </c>
      <c r="X63" t="s">
        <v>32</v>
      </c>
      <c r="Y63" t="s">
        <v>91</v>
      </c>
      <c r="Z63" t="s">
        <v>1175</v>
      </c>
      <c r="AA63">
        <v>6</v>
      </c>
      <c r="AB63" t="s">
        <v>1171</v>
      </c>
    </row>
    <row r="64" spans="1:28">
      <c r="A64" t="s">
        <v>1181</v>
      </c>
      <c r="B64" t="s">
        <v>1182</v>
      </c>
      <c r="C64" t="s">
        <v>38</v>
      </c>
      <c r="D64" t="s">
        <v>1298</v>
      </c>
      <c r="E64" t="s">
        <v>93</v>
      </c>
      <c r="F64">
        <v>35300</v>
      </c>
      <c r="G64" t="s">
        <v>110</v>
      </c>
      <c r="H64" t="s">
        <v>37</v>
      </c>
      <c r="I64" t="s">
        <v>1171</v>
      </c>
      <c r="J64" t="s">
        <v>1171</v>
      </c>
      <c r="K64" t="s">
        <v>1187</v>
      </c>
      <c r="L64" t="s">
        <v>1171</v>
      </c>
      <c r="M64" t="s">
        <v>1299</v>
      </c>
      <c r="N64">
        <v>13566</v>
      </c>
      <c r="O64">
        <v>1107</v>
      </c>
      <c r="P64">
        <v>2795</v>
      </c>
      <c r="Q64">
        <v>0</v>
      </c>
      <c r="R64">
        <v>0</v>
      </c>
      <c r="S64">
        <v>0</v>
      </c>
      <c r="T64">
        <v>0</v>
      </c>
      <c r="U64">
        <v>9249</v>
      </c>
      <c r="V64">
        <v>7400</v>
      </c>
      <c r="W64">
        <v>0</v>
      </c>
      <c r="X64" t="s">
        <v>32</v>
      </c>
      <c r="Y64" t="s">
        <v>110</v>
      </c>
      <c r="Z64" t="s">
        <v>1175</v>
      </c>
      <c r="AA64">
        <v>6</v>
      </c>
      <c r="AB64" t="s">
        <v>1171</v>
      </c>
    </row>
    <row r="65" spans="1:28">
      <c r="A65" t="s">
        <v>1181</v>
      </c>
      <c r="B65" t="s">
        <v>1182</v>
      </c>
      <c r="C65" t="s">
        <v>38</v>
      </c>
      <c r="D65" t="s">
        <v>1300</v>
      </c>
      <c r="E65" t="s">
        <v>93</v>
      </c>
      <c r="F65">
        <v>35300</v>
      </c>
      <c r="G65" t="s">
        <v>110</v>
      </c>
      <c r="H65" t="s">
        <v>37</v>
      </c>
      <c r="I65" t="s">
        <v>1171</v>
      </c>
      <c r="J65" t="s">
        <v>1171</v>
      </c>
      <c r="K65" t="s">
        <v>1187</v>
      </c>
      <c r="L65" t="s">
        <v>1171</v>
      </c>
      <c r="M65" t="s">
        <v>1301</v>
      </c>
      <c r="N65">
        <v>13566</v>
      </c>
      <c r="O65">
        <v>1107</v>
      </c>
      <c r="P65">
        <v>2795</v>
      </c>
      <c r="Q65">
        <v>0</v>
      </c>
      <c r="R65">
        <v>0</v>
      </c>
      <c r="S65">
        <v>0</v>
      </c>
      <c r="T65">
        <v>0</v>
      </c>
      <c r="U65">
        <v>9249</v>
      </c>
      <c r="V65">
        <v>7400</v>
      </c>
      <c r="W65">
        <v>0</v>
      </c>
      <c r="X65" t="s">
        <v>32</v>
      </c>
      <c r="Y65" t="s">
        <v>110</v>
      </c>
      <c r="Z65" t="s">
        <v>1175</v>
      </c>
      <c r="AA65">
        <v>6</v>
      </c>
      <c r="AB65" t="s">
        <v>1171</v>
      </c>
    </row>
    <row r="66" spans="1:28">
      <c r="A66" t="s">
        <v>1181</v>
      </c>
      <c r="B66" t="s">
        <v>1182</v>
      </c>
      <c r="C66" t="s">
        <v>56</v>
      </c>
      <c r="D66" t="s">
        <v>1302</v>
      </c>
      <c r="E66" t="s">
        <v>93</v>
      </c>
      <c r="F66">
        <v>41400</v>
      </c>
      <c r="G66" t="s">
        <v>32</v>
      </c>
      <c r="H66" t="s">
        <v>37</v>
      </c>
      <c r="I66" t="s">
        <v>1171</v>
      </c>
      <c r="J66" t="s">
        <v>1171</v>
      </c>
      <c r="K66" t="s">
        <v>1172</v>
      </c>
      <c r="L66" t="s">
        <v>1171</v>
      </c>
      <c r="M66" t="s">
        <v>1303</v>
      </c>
      <c r="N66">
        <v>11364</v>
      </c>
      <c r="O66">
        <v>927</v>
      </c>
      <c r="P66">
        <v>2342</v>
      </c>
      <c r="Q66">
        <v>0</v>
      </c>
      <c r="R66">
        <v>0</v>
      </c>
      <c r="S66">
        <v>7748</v>
      </c>
      <c r="T66">
        <v>0</v>
      </c>
      <c r="U66">
        <v>0</v>
      </c>
      <c r="V66">
        <v>6199</v>
      </c>
      <c r="W66">
        <v>0</v>
      </c>
      <c r="X66" t="s">
        <v>1175</v>
      </c>
      <c r="Y66" t="s">
        <v>1175</v>
      </c>
      <c r="Z66" t="s">
        <v>1175</v>
      </c>
      <c r="AA66">
        <v>6</v>
      </c>
      <c r="AB66" t="s">
        <v>1171</v>
      </c>
    </row>
    <row r="67" spans="1:28">
      <c r="A67" t="s">
        <v>1181</v>
      </c>
      <c r="B67" t="s">
        <v>1182</v>
      </c>
      <c r="C67" t="s">
        <v>56</v>
      </c>
      <c r="D67" t="s">
        <v>1304</v>
      </c>
      <c r="E67" t="s">
        <v>93</v>
      </c>
      <c r="F67">
        <v>41400</v>
      </c>
      <c r="G67" t="s">
        <v>98</v>
      </c>
      <c r="H67" t="s">
        <v>37</v>
      </c>
      <c r="I67" t="s">
        <v>1171</v>
      </c>
      <c r="J67" t="s">
        <v>1171</v>
      </c>
      <c r="K67" t="s">
        <v>1184</v>
      </c>
      <c r="L67" t="s">
        <v>1171</v>
      </c>
      <c r="M67" t="s">
        <v>261</v>
      </c>
      <c r="N67">
        <v>11364</v>
      </c>
      <c r="O67">
        <v>927</v>
      </c>
      <c r="P67">
        <v>2342</v>
      </c>
      <c r="Q67">
        <v>7748</v>
      </c>
      <c r="R67">
        <v>0</v>
      </c>
      <c r="S67">
        <v>0</v>
      </c>
      <c r="T67">
        <v>0</v>
      </c>
      <c r="U67">
        <v>0</v>
      </c>
      <c r="V67">
        <v>6199</v>
      </c>
      <c r="W67">
        <v>0</v>
      </c>
      <c r="X67" t="s">
        <v>1175</v>
      </c>
      <c r="Y67" t="s">
        <v>1175</v>
      </c>
      <c r="Z67" t="s">
        <v>1175</v>
      </c>
      <c r="AA67">
        <v>6</v>
      </c>
      <c r="AB67" t="s">
        <v>1171</v>
      </c>
    </row>
    <row r="68" spans="1:28">
      <c r="A68" t="s">
        <v>1181</v>
      </c>
      <c r="B68" t="s">
        <v>1182</v>
      </c>
      <c r="C68" t="s">
        <v>56</v>
      </c>
      <c r="D68" t="s">
        <v>1305</v>
      </c>
      <c r="E68" t="s">
        <v>93</v>
      </c>
      <c r="F68">
        <v>41400</v>
      </c>
      <c r="G68" t="s">
        <v>98</v>
      </c>
      <c r="H68" t="s">
        <v>37</v>
      </c>
      <c r="I68" t="s">
        <v>1171</v>
      </c>
      <c r="J68" t="s">
        <v>1171</v>
      </c>
      <c r="K68" t="s">
        <v>1184</v>
      </c>
      <c r="L68" t="s">
        <v>1171</v>
      </c>
      <c r="M68" t="s">
        <v>1306</v>
      </c>
      <c r="N68">
        <v>11364</v>
      </c>
      <c r="O68">
        <v>927</v>
      </c>
      <c r="P68">
        <v>2342</v>
      </c>
      <c r="Q68">
        <v>7748</v>
      </c>
      <c r="R68">
        <v>0</v>
      </c>
      <c r="S68">
        <v>0</v>
      </c>
      <c r="T68">
        <v>0</v>
      </c>
      <c r="U68">
        <v>0</v>
      </c>
      <c r="V68">
        <v>6199</v>
      </c>
      <c r="W68">
        <v>0</v>
      </c>
      <c r="X68" t="s">
        <v>1175</v>
      </c>
      <c r="Y68" t="s">
        <v>1175</v>
      </c>
      <c r="Z68" t="s">
        <v>1175</v>
      </c>
      <c r="AA68">
        <v>6</v>
      </c>
      <c r="AB68" t="s">
        <v>1171</v>
      </c>
    </row>
    <row r="69" spans="1:28">
      <c r="A69" t="s">
        <v>1181</v>
      </c>
      <c r="B69" t="s">
        <v>1182</v>
      </c>
      <c r="C69" t="s">
        <v>56</v>
      </c>
      <c r="D69" t="s">
        <v>1307</v>
      </c>
      <c r="E69" t="s">
        <v>93</v>
      </c>
      <c r="F69">
        <v>41400</v>
      </c>
      <c r="G69" t="s">
        <v>110</v>
      </c>
      <c r="H69" t="s">
        <v>37</v>
      </c>
      <c r="I69" t="s">
        <v>1171</v>
      </c>
      <c r="J69" t="s">
        <v>1171</v>
      </c>
      <c r="K69" t="s">
        <v>1187</v>
      </c>
      <c r="L69" t="s">
        <v>1171</v>
      </c>
      <c r="M69" t="s">
        <v>1308</v>
      </c>
      <c r="N69">
        <v>11364</v>
      </c>
      <c r="O69">
        <v>927</v>
      </c>
      <c r="P69">
        <v>2342</v>
      </c>
      <c r="Q69">
        <v>0</v>
      </c>
      <c r="R69">
        <v>0</v>
      </c>
      <c r="S69">
        <v>0</v>
      </c>
      <c r="T69">
        <v>0</v>
      </c>
      <c r="U69">
        <v>7748</v>
      </c>
      <c r="V69">
        <v>6199</v>
      </c>
      <c r="W69">
        <v>0</v>
      </c>
      <c r="X69" t="s">
        <v>1175</v>
      </c>
      <c r="Y69" t="s">
        <v>1175</v>
      </c>
      <c r="Z69" t="s">
        <v>1175</v>
      </c>
      <c r="AA69">
        <v>6</v>
      </c>
      <c r="AB69" t="s">
        <v>1171</v>
      </c>
    </row>
    <row r="70" spans="1:28">
      <c r="A70" t="s">
        <v>1181</v>
      </c>
      <c r="B70" t="s">
        <v>1182</v>
      </c>
      <c r="C70" t="s">
        <v>56</v>
      </c>
      <c r="D70" t="s">
        <v>1309</v>
      </c>
      <c r="E70" t="s">
        <v>93</v>
      </c>
      <c r="F70">
        <v>41400</v>
      </c>
      <c r="G70" t="s">
        <v>24</v>
      </c>
      <c r="H70" t="s">
        <v>37</v>
      </c>
      <c r="I70" t="s">
        <v>1171</v>
      </c>
      <c r="J70" t="s">
        <v>1171</v>
      </c>
      <c r="K70" t="s">
        <v>1191</v>
      </c>
      <c r="L70" t="s">
        <v>1171</v>
      </c>
      <c r="M70" t="s">
        <v>1310</v>
      </c>
      <c r="N70">
        <v>11364</v>
      </c>
      <c r="O70">
        <v>927</v>
      </c>
      <c r="P70">
        <v>2342</v>
      </c>
      <c r="Q70">
        <v>0</v>
      </c>
      <c r="R70">
        <v>0</v>
      </c>
      <c r="S70">
        <v>0</v>
      </c>
      <c r="T70">
        <v>7748</v>
      </c>
      <c r="U70">
        <v>0</v>
      </c>
      <c r="V70">
        <v>6199</v>
      </c>
      <c r="W70">
        <v>0</v>
      </c>
      <c r="X70" t="s">
        <v>1175</v>
      </c>
      <c r="Y70" t="s">
        <v>1175</v>
      </c>
      <c r="Z70" t="s">
        <v>1175</v>
      </c>
      <c r="AA70">
        <v>6</v>
      </c>
      <c r="AB70" t="s">
        <v>1171</v>
      </c>
    </row>
    <row r="71" spans="1:28">
      <c r="A71" t="s">
        <v>1168</v>
      </c>
      <c r="B71" t="s">
        <v>1176</v>
      </c>
      <c r="C71" t="s">
        <v>56</v>
      </c>
      <c r="D71" t="s">
        <v>1311</v>
      </c>
      <c r="E71" t="s">
        <v>93</v>
      </c>
      <c r="F71">
        <v>41400</v>
      </c>
      <c r="G71" t="s">
        <v>37</v>
      </c>
      <c r="H71" t="s">
        <v>1171</v>
      </c>
      <c r="I71" t="s">
        <v>1171</v>
      </c>
      <c r="J71" t="s">
        <v>1171</v>
      </c>
      <c r="K71" t="s">
        <v>37</v>
      </c>
      <c r="L71" t="s">
        <v>1226</v>
      </c>
      <c r="M71" t="s">
        <v>1312</v>
      </c>
      <c r="N71">
        <v>11364</v>
      </c>
      <c r="O71">
        <v>0</v>
      </c>
      <c r="P71">
        <v>5307</v>
      </c>
      <c r="Q71">
        <v>0</v>
      </c>
      <c r="R71">
        <v>0</v>
      </c>
      <c r="S71">
        <v>0</v>
      </c>
      <c r="T71">
        <v>0</v>
      </c>
      <c r="U71">
        <v>0</v>
      </c>
      <c r="V71">
        <v>13430</v>
      </c>
      <c r="W71">
        <v>0</v>
      </c>
      <c r="X71" t="s">
        <v>1175</v>
      </c>
      <c r="Y71" t="s">
        <v>1175</v>
      </c>
      <c r="Z71" t="s">
        <v>1175</v>
      </c>
      <c r="AA71">
        <v>6</v>
      </c>
      <c r="AB71" t="s">
        <v>1171</v>
      </c>
    </row>
    <row r="72" spans="1:28">
      <c r="A72" t="s">
        <v>1168</v>
      </c>
      <c r="B72" t="s">
        <v>1228</v>
      </c>
      <c r="C72" t="s">
        <v>56</v>
      </c>
      <c r="D72" t="s">
        <v>1313</v>
      </c>
      <c r="E72" t="s">
        <v>93</v>
      </c>
      <c r="F72">
        <v>41400</v>
      </c>
      <c r="G72" t="s">
        <v>98</v>
      </c>
      <c r="H72" t="s">
        <v>37</v>
      </c>
      <c r="I72" t="s">
        <v>1171</v>
      </c>
      <c r="J72" t="s">
        <v>1171</v>
      </c>
      <c r="K72" t="s">
        <v>1184</v>
      </c>
      <c r="L72" t="s">
        <v>1226</v>
      </c>
      <c r="M72" t="s">
        <v>1314</v>
      </c>
      <c r="N72">
        <v>11364</v>
      </c>
      <c r="O72">
        <v>0</v>
      </c>
      <c r="P72">
        <v>3746</v>
      </c>
      <c r="Q72">
        <v>12397</v>
      </c>
      <c r="R72">
        <v>0</v>
      </c>
      <c r="S72">
        <v>0</v>
      </c>
      <c r="T72">
        <v>0</v>
      </c>
      <c r="U72">
        <v>0</v>
      </c>
      <c r="V72">
        <v>7232</v>
      </c>
      <c r="W72">
        <v>0</v>
      </c>
      <c r="X72" t="s">
        <v>1175</v>
      </c>
      <c r="Y72" t="s">
        <v>1175</v>
      </c>
      <c r="Z72" t="s">
        <v>1175</v>
      </c>
      <c r="AA72">
        <v>6</v>
      </c>
      <c r="AB72" t="s">
        <v>1171</v>
      </c>
    </row>
    <row r="73" spans="1:28">
      <c r="A73" t="s">
        <v>1168</v>
      </c>
      <c r="B73" t="s">
        <v>1228</v>
      </c>
      <c r="C73" t="s">
        <v>56</v>
      </c>
      <c r="D73" t="s">
        <v>1315</v>
      </c>
      <c r="E73" t="s">
        <v>93</v>
      </c>
      <c r="F73">
        <v>41400</v>
      </c>
      <c r="G73" t="s">
        <v>32</v>
      </c>
      <c r="H73" t="s">
        <v>37</v>
      </c>
      <c r="I73" t="s">
        <v>1171</v>
      </c>
      <c r="J73" t="s">
        <v>1171</v>
      </c>
      <c r="K73" t="s">
        <v>1172</v>
      </c>
      <c r="L73" t="s">
        <v>1226</v>
      </c>
      <c r="M73" t="s">
        <v>1316</v>
      </c>
      <c r="N73">
        <v>11364</v>
      </c>
      <c r="O73">
        <v>0</v>
      </c>
      <c r="P73">
        <v>4370</v>
      </c>
      <c r="Q73">
        <v>0</v>
      </c>
      <c r="R73">
        <v>0</v>
      </c>
      <c r="S73">
        <v>12655</v>
      </c>
      <c r="T73">
        <v>0</v>
      </c>
      <c r="U73">
        <v>0</v>
      </c>
      <c r="V73">
        <v>5165</v>
      </c>
      <c r="W73">
        <v>0</v>
      </c>
      <c r="X73" t="s">
        <v>1175</v>
      </c>
      <c r="Y73" t="s">
        <v>1175</v>
      </c>
      <c r="Z73" t="s">
        <v>1175</v>
      </c>
      <c r="AA73">
        <v>6</v>
      </c>
      <c r="AB73" t="s">
        <v>1171</v>
      </c>
    </row>
    <row r="74" spans="1:28">
      <c r="A74" t="s">
        <v>1168</v>
      </c>
      <c r="B74" t="s">
        <v>1233</v>
      </c>
      <c r="C74" t="s">
        <v>56</v>
      </c>
      <c r="D74" t="s">
        <v>1317</v>
      </c>
      <c r="E74" t="s">
        <v>93</v>
      </c>
      <c r="F74">
        <v>41400</v>
      </c>
      <c r="G74" t="s">
        <v>110</v>
      </c>
      <c r="H74" t="s">
        <v>37</v>
      </c>
      <c r="I74" t="s">
        <v>1171</v>
      </c>
      <c r="J74" t="s">
        <v>1171</v>
      </c>
      <c r="K74" t="s">
        <v>1187</v>
      </c>
      <c r="L74" t="s">
        <v>1226</v>
      </c>
      <c r="M74" t="s">
        <v>1318</v>
      </c>
      <c r="N74">
        <v>11364</v>
      </c>
      <c r="O74">
        <v>0</v>
      </c>
      <c r="P74">
        <v>3122</v>
      </c>
      <c r="Q74">
        <v>0</v>
      </c>
      <c r="R74">
        <v>0</v>
      </c>
      <c r="S74">
        <v>0</v>
      </c>
      <c r="T74">
        <v>0</v>
      </c>
      <c r="U74">
        <v>14722</v>
      </c>
      <c r="V74">
        <v>7748</v>
      </c>
      <c r="W74">
        <v>0</v>
      </c>
      <c r="X74" t="s">
        <v>1175</v>
      </c>
      <c r="Y74" t="s">
        <v>1175</v>
      </c>
      <c r="Z74" t="s">
        <v>1175</v>
      </c>
      <c r="AA74">
        <v>6</v>
      </c>
      <c r="AB74" t="s">
        <v>1171</v>
      </c>
    </row>
    <row r="75" spans="1:28">
      <c r="A75" t="s">
        <v>1168</v>
      </c>
      <c r="B75" t="s">
        <v>1176</v>
      </c>
      <c r="C75" t="s">
        <v>56</v>
      </c>
      <c r="D75" t="s">
        <v>1319</v>
      </c>
      <c r="E75" t="s">
        <v>93</v>
      </c>
      <c r="F75">
        <v>41400</v>
      </c>
      <c r="G75" t="s">
        <v>98</v>
      </c>
      <c r="H75" t="s">
        <v>32</v>
      </c>
      <c r="I75" t="s">
        <v>37</v>
      </c>
      <c r="J75" t="s">
        <v>1171</v>
      </c>
      <c r="K75" t="s">
        <v>1206</v>
      </c>
      <c r="L75" t="s">
        <v>1226</v>
      </c>
      <c r="M75" t="s">
        <v>1320</v>
      </c>
      <c r="N75">
        <v>11364</v>
      </c>
      <c r="O75">
        <v>0</v>
      </c>
      <c r="P75">
        <v>4526</v>
      </c>
      <c r="Q75">
        <v>5682</v>
      </c>
      <c r="R75">
        <v>0</v>
      </c>
      <c r="S75">
        <v>5682</v>
      </c>
      <c r="T75">
        <v>0</v>
      </c>
      <c r="U75">
        <v>0</v>
      </c>
      <c r="V75">
        <v>5682</v>
      </c>
      <c r="W75">
        <v>0</v>
      </c>
      <c r="X75" t="s">
        <v>1175</v>
      </c>
      <c r="Y75" t="s">
        <v>1175</v>
      </c>
      <c r="Z75" t="s">
        <v>1175</v>
      </c>
      <c r="AA75">
        <v>6</v>
      </c>
      <c r="AB75" t="s">
        <v>1171</v>
      </c>
    </row>
    <row r="76" spans="1:28">
      <c r="A76" t="s">
        <v>1168</v>
      </c>
      <c r="B76" t="s">
        <v>1176</v>
      </c>
      <c r="C76" t="s">
        <v>56</v>
      </c>
      <c r="D76" t="s">
        <v>1321</v>
      </c>
      <c r="E76" t="s">
        <v>93</v>
      </c>
      <c r="F76">
        <v>41400</v>
      </c>
      <c r="G76" t="s">
        <v>98</v>
      </c>
      <c r="H76" t="s">
        <v>110</v>
      </c>
      <c r="I76" t="s">
        <v>37</v>
      </c>
      <c r="J76" t="s">
        <v>1171</v>
      </c>
      <c r="K76" t="s">
        <v>1239</v>
      </c>
      <c r="L76" t="s">
        <v>1226</v>
      </c>
      <c r="M76" t="s">
        <v>1322</v>
      </c>
      <c r="N76">
        <v>11364</v>
      </c>
      <c r="O76">
        <v>0</v>
      </c>
      <c r="P76">
        <v>4526</v>
      </c>
      <c r="Q76">
        <v>5682</v>
      </c>
      <c r="R76">
        <v>0</v>
      </c>
      <c r="S76">
        <v>0</v>
      </c>
      <c r="T76">
        <v>0</v>
      </c>
      <c r="U76">
        <v>5682</v>
      </c>
      <c r="V76">
        <v>5682</v>
      </c>
      <c r="W76">
        <v>0</v>
      </c>
      <c r="X76" t="s">
        <v>1175</v>
      </c>
      <c r="Y76" t="s">
        <v>1175</v>
      </c>
      <c r="Z76" t="s">
        <v>1175</v>
      </c>
      <c r="AA76">
        <v>6</v>
      </c>
      <c r="AB76" t="s">
        <v>1171</v>
      </c>
    </row>
    <row r="77" spans="1:28">
      <c r="A77" t="s">
        <v>1168</v>
      </c>
      <c r="B77" t="s">
        <v>1176</v>
      </c>
      <c r="C77" t="s">
        <v>56</v>
      </c>
      <c r="D77" t="s">
        <v>1323</v>
      </c>
      <c r="E77" t="s">
        <v>93</v>
      </c>
      <c r="F77">
        <v>41400</v>
      </c>
      <c r="G77" t="s">
        <v>32</v>
      </c>
      <c r="H77" t="s">
        <v>110</v>
      </c>
      <c r="I77" t="s">
        <v>37</v>
      </c>
      <c r="J77" t="s">
        <v>1171</v>
      </c>
      <c r="K77" t="s">
        <v>1207</v>
      </c>
      <c r="L77" t="s">
        <v>1226</v>
      </c>
      <c r="M77" t="s">
        <v>1324</v>
      </c>
      <c r="N77">
        <v>11364</v>
      </c>
      <c r="O77">
        <v>0</v>
      </c>
      <c r="P77">
        <v>4526</v>
      </c>
      <c r="Q77">
        <v>0</v>
      </c>
      <c r="R77">
        <v>0</v>
      </c>
      <c r="S77">
        <v>5682</v>
      </c>
      <c r="T77">
        <v>0</v>
      </c>
      <c r="U77">
        <v>5682</v>
      </c>
      <c r="V77">
        <v>5682</v>
      </c>
      <c r="W77">
        <v>0</v>
      </c>
      <c r="X77" t="s">
        <v>1175</v>
      </c>
      <c r="Y77" t="s">
        <v>1175</v>
      </c>
      <c r="Z77" t="s">
        <v>1175</v>
      </c>
      <c r="AA77">
        <v>6</v>
      </c>
      <c r="AB77" t="s">
        <v>1171</v>
      </c>
    </row>
    <row r="78" spans="1:28">
      <c r="A78" t="s">
        <v>1168</v>
      </c>
      <c r="B78" t="s">
        <v>1248</v>
      </c>
      <c r="C78" t="s">
        <v>56</v>
      </c>
      <c r="D78" t="s">
        <v>1325</v>
      </c>
      <c r="E78" t="s">
        <v>93</v>
      </c>
      <c r="F78">
        <v>41400</v>
      </c>
      <c r="G78" t="s">
        <v>24</v>
      </c>
      <c r="H78" t="s">
        <v>1171</v>
      </c>
      <c r="I78" t="s">
        <v>1171</v>
      </c>
      <c r="J78" t="s">
        <v>1171</v>
      </c>
      <c r="K78" t="s">
        <v>24</v>
      </c>
      <c r="L78" t="s">
        <v>1226</v>
      </c>
      <c r="M78" t="s">
        <v>1326</v>
      </c>
      <c r="N78">
        <v>11364</v>
      </c>
      <c r="O78">
        <v>0</v>
      </c>
      <c r="P78">
        <v>6930</v>
      </c>
      <c r="Q78">
        <v>0</v>
      </c>
      <c r="R78">
        <v>0</v>
      </c>
      <c r="S78">
        <v>0</v>
      </c>
      <c r="T78">
        <v>9091</v>
      </c>
      <c r="U78">
        <v>0</v>
      </c>
      <c r="V78">
        <v>0</v>
      </c>
      <c r="W78">
        <v>0</v>
      </c>
      <c r="X78" t="s">
        <v>1175</v>
      </c>
      <c r="Y78" t="s">
        <v>1175</v>
      </c>
      <c r="Z78" t="s">
        <v>1175</v>
      </c>
      <c r="AA78">
        <v>6</v>
      </c>
      <c r="AB78" t="s">
        <v>1171</v>
      </c>
    </row>
    <row r="79" spans="1:28">
      <c r="A79" t="s">
        <v>1168</v>
      </c>
      <c r="B79" t="s">
        <v>1176</v>
      </c>
      <c r="C79" t="s">
        <v>56</v>
      </c>
      <c r="D79" t="s">
        <v>1327</v>
      </c>
      <c r="E79" t="s">
        <v>665</v>
      </c>
      <c r="F79">
        <v>41400</v>
      </c>
      <c r="G79" t="s">
        <v>98</v>
      </c>
      <c r="H79" t="s">
        <v>42</v>
      </c>
      <c r="I79" t="s">
        <v>110</v>
      </c>
      <c r="J79" t="s">
        <v>1171</v>
      </c>
      <c r="K79" t="s">
        <v>1179</v>
      </c>
      <c r="L79" t="s">
        <v>1173</v>
      </c>
      <c r="M79" t="s">
        <v>1328</v>
      </c>
      <c r="N79">
        <v>11364</v>
      </c>
      <c r="O79">
        <v>0</v>
      </c>
      <c r="P79">
        <v>4527</v>
      </c>
      <c r="Q79">
        <v>9298</v>
      </c>
      <c r="R79">
        <v>3875</v>
      </c>
      <c r="S79">
        <v>0</v>
      </c>
      <c r="T79">
        <v>0</v>
      </c>
      <c r="U79">
        <v>3875</v>
      </c>
      <c r="V79">
        <v>0</v>
      </c>
      <c r="W79">
        <v>0</v>
      </c>
      <c r="X79" t="s">
        <v>1175</v>
      </c>
      <c r="Y79" t="s">
        <v>1175</v>
      </c>
      <c r="Z79" t="s">
        <v>1175</v>
      </c>
      <c r="AA79">
        <v>6</v>
      </c>
      <c r="AB79" t="s">
        <v>1171</v>
      </c>
    </row>
    <row r="80" spans="1:28">
      <c r="A80" t="s">
        <v>1168</v>
      </c>
      <c r="B80" t="s">
        <v>1176</v>
      </c>
      <c r="C80" t="s">
        <v>56</v>
      </c>
      <c r="D80" t="s">
        <v>1329</v>
      </c>
      <c r="E80" t="s">
        <v>662</v>
      </c>
      <c r="F80">
        <v>41400</v>
      </c>
      <c r="G80" t="s">
        <v>98</v>
      </c>
      <c r="H80" t="s">
        <v>42</v>
      </c>
      <c r="I80" t="s">
        <v>37</v>
      </c>
      <c r="J80" t="s">
        <v>1171</v>
      </c>
      <c r="K80" t="s">
        <v>1177</v>
      </c>
      <c r="L80" t="s">
        <v>1173</v>
      </c>
      <c r="M80" t="s">
        <v>57</v>
      </c>
      <c r="N80">
        <v>11364</v>
      </c>
      <c r="O80">
        <v>0</v>
      </c>
      <c r="P80">
        <v>4527</v>
      </c>
      <c r="Q80">
        <v>9298</v>
      </c>
      <c r="R80">
        <v>3875</v>
      </c>
      <c r="S80">
        <v>0</v>
      </c>
      <c r="T80">
        <v>0</v>
      </c>
      <c r="U80">
        <v>0</v>
      </c>
      <c r="V80">
        <v>3875</v>
      </c>
      <c r="W80">
        <v>0</v>
      </c>
      <c r="X80" t="s">
        <v>1175</v>
      </c>
      <c r="Y80" t="s">
        <v>1175</v>
      </c>
      <c r="Z80" t="s">
        <v>1175</v>
      </c>
      <c r="AA80">
        <v>6</v>
      </c>
      <c r="AB80" t="s">
        <v>1171</v>
      </c>
    </row>
    <row r="81" spans="1:28">
      <c r="A81" t="s">
        <v>1168</v>
      </c>
      <c r="B81" t="s">
        <v>1205</v>
      </c>
      <c r="C81" t="s">
        <v>56</v>
      </c>
      <c r="D81" t="s">
        <v>1330</v>
      </c>
      <c r="E81" t="s">
        <v>664</v>
      </c>
      <c r="F81">
        <v>41400</v>
      </c>
      <c r="G81" t="s">
        <v>98</v>
      </c>
      <c r="H81" t="s">
        <v>110</v>
      </c>
      <c r="I81" t="s">
        <v>32</v>
      </c>
      <c r="J81" t="s">
        <v>37</v>
      </c>
      <c r="K81" t="s">
        <v>1331</v>
      </c>
      <c r="L81" t="s">
        <v>1173</v>
      </c>
      <c r="M81" t="s">
        <v>1332</v>
      </c>
      <c r="N81">
        <v>11364</v>
      </c>
      <c r="O81">
        <v>0</v>
      </c>
      <c r="P81">
        <v>3668</v>
      </c>
      <c r="Q81">
        <v>5165</v>
      </c>
      <c r="R81">
        <v>0</v>
      </c>
      <c r="S81">
        <v>5165</v>
      </c>
      <c r="T81">
        <v>0</v>
      </c>
      <c r="U81">
        <v>5165</v>
      </c>
      <c r="V81">
        <v>5165</v>
      </c>
      <c r="W81">
        <v>0</v>
      </c>
      <c r="X81" t="s">
        <v>1175</v>
      </c>
      <c r="Y81" t="s">
        <v>1175</v>
      </c>
      <c r="Z81" t="s">
        <v>1175</v>
      </c>
      <c r="AA81">
        <v>6</v>
      </c>
      <c r="AB81" t="s">
        <v>1171</v>
      </c>
    </row>
    <row r="82" spans="1:28">
      <c r="A82" t="s">
        <v>1168</v>
      </c>
      <c r="B82" t="s">
        <v>1169</v>
      </c>
      <c r="C82" t="s">
        <v>56</v>
      </c>
      <c r="D82" t="s">
        <v>1333</v>
      </c>
      <c r="E82" t="s">
        <v>662</v>
      </c>
      <c r="F82">
        <v>41400</v>
      </c>
      <c r="G82" t="s">
        <v>98</v>
      </c>
      <c r="H82" t="s">
        <v>37</v>
      </c>
      <c r="I82" t="s">
        <v>1171</v>
      </c>
      <c r="J82" t="s">
        <v>1171</v>
      </c>
      <c r="K82" t="s">
        <v>1184</v>
      </c>
      <c r="L82" t="s">
        <v>1173</v>
      </c>
      <c r="M82" t="s">
        <v>1334</v>
      </c>
      <c r="N82">
        <v>11364</v>
      </c>
      <c r="O82">
        <v>0</v>
      </c>
      <c r="P82">
        <v>1561</v>
      </c>
      <c r="Q82">
        <v>20145</v>
      </c>
      <c r="R82">
        <v>0</v>
      </c>
      <c r="S82">
        <v>0</v>
      </c>
      <c r="T82">
        <v>0</v>
      </c>
      <c r="U82">
        <v>0</v>
      </c>
      <c r="V82">
        <v>6199</v>
      </c>
      <c r="W82">
        <v>0</v>
      </c>
      <c r="X82" t="s">
        <v>1175</v>
      </c>
      <c r="Y82" t="s">
        <v>1175</v>
      </c>
      <c r="Z82" t="s">
        <v>1175</v>
      </c>
      <c r="AA82">
        <v>6</v>
      </c>
      <c r="AB82" t="s">
        <v>1171</v>
      </c>
    </row>
    <row r="83" spans="1:28">
      <c r="A83" t="s">
        <v>1168</v>
      </c>
      <c r="B83" t="s">
        <v>1169</v>
      </c>
      <c r="C83" t="s">
        <v>56</v>
      </c>
      <c r="D83" t="s">
        <v>1335</v>
      </c>
      <c r="E83" t="s">
        <v>664</v>
      </c>
      <c r="F83">
        <v>41400</v>
      </c>
      <c r="G83" t="s">
        <v>32</v>
      </c>
      <c r="H83" t="s">
        <v>37</v>
      </c>
      <c r="I83" t="s">
        <v>1171</v>
      </c>
      <c r="J83" t="s">
        <v>1171</v>
      </c>
      <c r="K83" t="s">
        <v>1172</v>
      </c>
      <c r="L83" t="s">
        <v>1173</v>
      </c>
      <c r="M83" t="s">
        <v>1336</v>
      </c>
      <c r="N83">
        <v>11364</v>
      </c>
      <c r="O83">
        <v>0</v>
      </c>
      <c r="P83">
        <v>1561</v>
      </c>
      <c r="Q83">
        <v>0</v>
      </c>
      <c r="R83">
        <v>0</v>
      </c>
      <c r="S83">
        <v>20145</v>
      </c>
      <c r="T83">
        <v>0</v>
      </c>
      <c r="U83">
        <v>0</v>
      </c>
      <c r="V83">
        <v>6199</v>
      </c>
      <c r="W83">
        <v>0</v>
      </c>
      <c r="X83" t="s">
        <v>1175</v>
      </c>
      <c r="Y83" t="s">
        <v>1175</v>
      </c>
      <c r="Z83" t="s">
        <v>1175</v>
      </c>
      <c r="AA83">
        <v>6</v>
      </c>
      <c r="AB83" t="s">
        <v>1171</v>
      </c>
    </row>
    <row r="84" spans="1:28">
      <c r="A84" t="s">
        <v>1168</v>
      </c>
      <c r="B84" t="s">
        <v>1193</v>
      </c>
      <c r="C84" t="s">
        <v>56</v>
      </c>
      <c r="D84" t="s">
        <v>1337</v>
      </c>
      <c r="E84" t="s">
        <v>665</v>
      </c>
      <c r="F84">
        <v>41400</v>
      </c>
      <c r="G84" t="s">
        <v>110</v>
      </c>
      <c r="H84" t="s">
        <v>37</v>
      </c>
      <c r="I84" t="s">
        <v>1171</v>
      </c>
      <c r="J84" t="s">
        <v>1171</v>
      </c>
      <c r="K84" t="s">
        <v>1187</v>
      </c>
      <c r="L84" t="s">
        <v>1173</v>
      </c>
      <c r="M84" t="s">
        <v>1338</v>
      </c>
      <c r="N84">
        <v>11364</v>
      </c>
      <c r="O84">
        <v>0</v>
      </c>
      <c r="P84">
        <v>1561</v>
      </c>
      <c r="Q84">
        <v>0</v>
      </c>
      <c r="R84">
        <v>0</v>
      </c>
      <c r="S84">
        <v>0</v>
      </c>
      <c r="T84">
        <v>0</v>
      </c>
      <c r="U84">
        <v>20662</v>
      </c>
      <c r="V84">
        <v>6199</v>
      </c>
      <c r="W84">
        <v>0</v>
      </c>
      <c r="X84" t="s">
        <v>1175</v>
      </c>
      <c r="Y84" t="s">
        <v>1175</v>
      </c>
      <c r="Z84" t="s">
        <v>1175</v>
      </c>
      <c r="AA84">
        <v>6</v>
      </c>
      <c r="AB84" t="s">
        <v>1171</v>
      </c>
    </row>
    <row r="85" spans="1:28">
      <c r="A85" t="s">
        <v>1168</v>
      </c>
      <c r="B85" t="s">
        <v>1248</v>
      </c>
      <c r="C85" t="s">
        <v>56</v>
      </c>
      <c r="D85" t="s">
        <v>1339</v>
      </c>
      <c r="E85" t="s">
        <v>666</v>
      </c>
      <c r="F85">
        <v>41400</v>
      </c>
      <c r="G85" t="s">
        <v>24</v>
      </c>
      <c r="H85" t="s">
        <v>1171</v>
      </c>
      <c r="I85" t="s">
        <v>1171</v>
      </c>
      <c r="J85" t="s">
        <v>1171</v>
      </c>
      <c r="K85" t="s">
        <v>24</v>
      </c>
      <c r="L85" t="s">
        <v>1173</v>
      </c>
      <c r="M85" t="s">
        <v>1340</v>
      </c>
      <c r="N85">
        <v>11364</v>
      </c>
      <c r="O85">
        <v>0</v>
      </c>
      <c r="P85">
        <v>6930</v>
      </c>
      <c r="Q85">
        <v>0</v>
      </c>
      <c r="R85">
        <v>0</v>
      </c>
      <c r="S85">
        <v>0</v>
      </c>
      <c r="T85">
        <v>9091</v>
      </c>
      <c r="U85">
        <v>0</v>
      </c>
      <c r="V85">
        <v>0</v>
      </c>
      <c r="W85">
        <v>0</v>
      </c>
      <c r="X85" t="s">
        <v>1175</v>
      </c>
      <c r="Y85" t="s">
        <v>1175</v>
      </c>
      <c r="Z85" t="s">
        <v>1175</v>
      </c>
      <c r="AA85">
        <v>6</v>
      </c>
      <c r="AB85" t="s">
        <v>1171</v>
      </c>
    </row>
    <row r="86" spans="1:28">
      <c r="A86" t="s">
        <v>1181</v>
      </c>
      <c r="B86" t="s">
        <v>1182</v>
      </c>
      <c r="C86" t="s">
        <v>56</v>
      </c>
      <c r="D86" t="s">
        <v>1341</v>
      </c>
      <c r="E86" t="s">
        <v>93</v>
      </c>
      <c r="F86">
        <v>38100</v>
      </c>
      <c r="G86" t="s">
        <v>32</v>
      </c>
      <c r="H86" t="s">
        <v>37</v>
      </c>
      <c r="I86" t="s">
        <v>1171</v>
      </c>
      <c r="J86" t="s">
        <v>1171</v>
      </c>
      <c r="K86" t="s">
        <v>1172</v>
      </c>
      <c r="L86" t="s">
        <v>1171</v>
      </c>
      <c r="M86" t="s">
        <v>1342</v>
      </c>
      <c r="N86">
        <v>10458</v>
      </c>
      <c r="O86">
        <v>853</v>
      </c>
      <c r="P86">
        <v>2155</v>
      </c>
      <c r="Q86">
        <v>0</v>
      </c>
      <c r="R86">
        <v>0</v>
      </c>
      <c r="S86">
        <v>7131</v>
      </c>
      <c r="T86">
        <v>0</v>
      </c>
      <c r="U86">
        <v>0</v>
      </c>
      <c r="V86">
        <v>5705</v>
      </c>
      <c r="W86">
        <v>0</v>
      </c>
      <c r="X86" t="s">
        <v>1175</v>
      </c>
      <c r="Y86" t="s">
        <v>1175</v>
      </c>
      <c r="Z86" t="s">
        <v>1175</v>
      </c>
      <c r="AA86">
        <v>6</v>
      </c>
      <c r="AB86" t="s">
        <v>1171</v>
      </c>
    </row>
    <row r="87" spans="1:28">
      <c r="A87" t="s">
        <v>1181</v>
      </c>
      <c r="B87" t="s">
        <v>1182</v>
      </c>
      <c r="C87" t="s">
        <v>56</v>
      </c>
      <c r="D87" t="s">
        <v>1343</v>
      </c>
      <c r="E87" t="s">
        <v>93</v>
      </c>
      <c r="F87">
        <v>35300</v>
      </c>
      <c r="G87" t="s">
        <v>98</v>
      </c>
      <c r="H87" t="s">
        <v>37</v>
      </c>
      <c r="I87" t="s">
        <v>1171</v>
      </c>
      <c r="J87" t="s">
        <v>1171</v>
      </c>
      <c r="K87" t="s">
        <v>1184</v>
      </c>
      <c r="L87" t="s">
        <v>1171</v>
      </c>
      <c r="M87" t="s">
        <v>1344</v>
      </c>
      <c r="N87">
        <v>9690</v>
      </c>
      <c r="O87">
        <v>790</v>
      </c>
      <c r="P87">
        <v>1997</v>
      </c>
      <c r="Q87">
        <v>6607</v>
      </c>
      <c r="R87">
        <v>0</v>
      </c>
      <c r="S87">
        <v>0</v>
      </c>
      <c r="T87">
        <v>0</v>
      </c>
      <c r="U87">
        <v>0</v>
      </c>
      <c r="V87">
        <v>5285</v>
      </c>
      <c r="W87">
        <v>0</v>
      </c>
      <c r="X87" t="s">
        <v>1175</v>
      </c>
      <c r="Y87" t="s">
        <v>1175</v>
      </c>
      <c r="Z87" t="s">
        <v>1175</v>
      </c>
      <c r="AA87">
        <v>6</v>
      </c>
      <c r="AB87" t="s">
        <v>1171</v>
      </c>
    </row>
    <row r="88" spans="1:28">
      <c r="A88" t="s">
        <v>1181</v>
      </c>
      <c r="B88" t="s">
        <v>1182</v>
      </c>
      <c r="C88" t="s">
        <v>56</v>
      </c>
      <c r="D88" t="s">
        <v>1302</v>
      </c>
      <c r="E88" t="s">
        <v>93</v>
      </c>
      <c r="F88">
        <v>35300</v>
      </c>
      <c r="G88" t="s">
        <v>32</v>
      </c>
      <c r="H88" t="s">
        <v>37</v>
      </c>
      <c r="I88" t="s">
        <v>1171</v>
      </c>
      <c r="J88" t="s">
        <v>1171</v>
      </c>
      <c r="K88" t="s">
        <v>1172</v>
      </c>
      <c r="L88" t="s">
        <v>1171</v>
      </c>
      <c r="M88" t="s">
        <v>1345</v>
      </c>
      <c r="N88">
        <v>9690</v>
      </c>
      <c r="O88">
        <v>790</v>
      </c>
      <c r="P88">
        <v>1997</v>
      </c>
      <c r="Q88">
        <v>0</v>
      </c>
      <c r="R88">
        <v>0</v>
      </c>
      <c r="S88">
        <v>6607</v>
      </c>
      <c r="T88">
        <v>0</v>
      </c>
      <c r="U88">
        <v>0</v>
      </c>
      <c r="V88">
        <v>5285</v>
      </c>
      <c r="W88">
        <v>0</v>
      </c>
      <c r="X88" t="s">
        <v>1175</v>
      </c>
      <c r="Y88" t="s">
        <v>1175</v>
      </c>
      <c r="Z88" t="s">
        <v>1175</v>
      </c>
      <c r="AA88">
        <v>6</v>
      </c>
      <c r="AB88" t="s">
        <v>1171</v>
      </c>
    </row>
    <row r="89" spans="1:28">
      <c r="A89" t="s">
        <v>1181</v>
      </c>
      <c r="B89" t="s">
        <v>1182</v>
      </c>
      <c r="C89" t="s">
        <v>56</v>
      </c>
      <c r="D89" t="s">
        <v>1305</v>
      </c>
      <c r="E89" t="s">
        <v>93</v>
      </c>
      <c r="F89">
        <v>35300</v>
      </c>
      <c r="G89" t="s">
        <v>98</v>
      </c>
      <c r="H89" t="s">
        <v>37</v>
      </c>
      <c r="I89" t="s">
        <v>1171</v>
      </c>
      <c r="J89" t="s">
        <v>1171</v>
      </c>
      <c r="K89" t="s">
        <v>1184</v>
      </c>
      <c r="L89" t="s">
        <v>1171</v>
      </c>
      <c r="M89" t="s">
        <v>1346</v>
      </c>
      <c r="N89">
        <v>9690</v>
      </c>
      <c r="O89">
        <v>790</v>
      </c>
      <c r="P89">
        <v>1997</v>
      </c>
      <c r="Q89">
        <v>6607</v>
      </c>
      <c r="R89">
        <v>0</v>
      </c>
      <c r="S89">
        <v>0</v>
      </c>
      <c r="T89">
        <v>0</v>
      </c>
      <c r="U89">
        <v>0</v>
      </c>
      <c r="V89">
        <v>5285</v>
      </c>
      <c r="W89">
        <v>0</v>
      </c>
      <c r="X89" t="s">
        <v>1175</v>
      </c>
      <c r="Y89" t="s">
        <v>1175</v>
      </c>
      <c r="Z89" t="s">
        <v>1175</v>
      </c>
      <c r="AA89">
        <v>6</v>
      </c>
      <c r="AB89" t="s">
        <v>1171</v>
      </c>
    </row>
    <row r="90" spans="1:28">
      <c r="A90" t="s">
        <v>1181</v>
      </c>
      <c r="B90" t="s">
        <v>1182</v>
      </c>
      <c r="C90" t="s">
        <v>56</v>
      </c>
      <c r="D90" t="s">
        <v>1347</v>
      </c>
      <c r="E90" t="s">
        <v>93</v>
      </c>
      <c r="F90">
        <v>35300</v>
      </c>
      <c r="G90" t="s">
        <v>110</v>
      </c>
      <c r="H90" t="s">
        <v>37</v>
      </c>
      <c r="I90" t="s">
        <v>1171</v>
      </c>
      <c r="J90" t="s">
        <v>1171</v>
      </c>
      <c r="K90" t="s">
        <v>1187</v>
      </c>
      <c r="L90" t="s">
        <v>1171</v>
      </c>
      <c r="M90" t="s">
        <v>1348</v>
      </c>
      <c r="N90">
        <v>9690</v>
      </c>
      <c r="O90">
        <v>790</v>
      </c>
      <c r="P90">
        <v>1997</v>
      </c>
      <c r="Q90">
        <v>0</v>
      </c>
      <c r="R90">
        <v>0</v>
      </c>
      <c r="S90">
        <v>0</v>
      </c>
      <c r="T90">
        <v>0</v>
      </c>
      <c r="U90">
        <v>6607</v>
      </c>
      <c r="V90">
        <v>5285</v>
      </c>
      <c r="W90">
        <v>0</v>
      </c>
      <c r="X90" t="s">
        <v>1175</v>
      </c>
      <c r="Y90" t="s">
        <v>1175</v>
      </c>
      <c r="Z90" t="s">
        <v>1175</v>
      </c>
      <c r="AA90">
        <v>6</v>
      </c>
      <c r="AB90" t="s">
        <v>1171</v>
      </c>
    </row>
    <row r="91" spans="1:28">
      <c r="A91" t="s">
        <v>1168</v>
      </c>
      <c r="B91" t="s">
        <v>1228</v>
      </c>
      <c r="C91" t="s">
        <v>56</v>
      </c>
      <c r="D91" t="s">
        <v>1349</v>
      </c>
      <c r="E91" t="s">
        <v>93</v>
      </c>
      <c r="F91">
        <v>35300</v>
      </c>
      <c r="G91" t="s">
        <v>32</v>
      </c>
      <c r="H91" t="s">
        <v>37</v>
      </c>
      <c r="I91" t="s">
        <v>1171</v>
      </c>
      <c r="J91" t="s">
        <v>1171</v>
      </c>
      <c r="K91" t="s">
        <v>1172</v>
      </c>
      <c r="L91" t="s">
        <v>1226</v>
      </c>
      <c r="M91" t="s">
        <v>1350</v>
      </c>
      <c r="N91">
        <v>9690</v>
      </c>
      <c r="O91">
        <v>0</v>
      </c>
      <c r="P91">
        <v>3726</v>
      </c>
      <c r="Q91">
        <v>0</v>
      </c>
      <c r="R91">
        <v>0</v>
      </c>
      <c r="S91">
        <v>10791</v>
      </c>
      <c r="T91">
        <v>0</v>
      </c>
      <c r="U91">
        <v>0</v>
      </c>
      <c r="V91">
        <v>4404</v>
      </c>
      <c r="W91">
        <v>0</v>
      </c>
      <c r="X91" t="s">
        <v>1175</v>
      </c>
      <c r="Y91" t="s">
        <v>1175</v>
      </c>
      <c r="Z91" t="s">
        <v>1175</v>
      </c>
      <c r="AA91">
        <v>6</v>
      </c>
      <c r="AB91" t="s">
        <v>1171</v>
      </c>
    </row>
    <row r="92" spans="1:28">
      <c r="A92" t="s">
        <v>1168</v>
      </c>
      <c r="B92" t="s">
        <v>1233</v>
      </c>
      <c r="C92" t="s">
        <v>56</v>
      </c>
      <c r="D92" t="s">
        <v>1351</v>
      </c>
      <c r="E92" t="s">
        <v>93</v>
      </c>
      <c r="F92">
        <v>35300</v>
      </c>
      <c r="G92" t="s">
        <v>24</v>
      </c>
      <c r="H92" t="s">
        <v>1171</v>
      </c>
      <c r="I92" t="s">
        <v>1171</v>
      </c>
      <c r="J92" t="s">
        <v>1171</v>
      </c>
      <c r="K92" t="s">
        <v>24</v>
      </c>
      <c r="L92" t="s">
        <v>1226</v>
      </c>
      <c r="M92" t="s">
        <v>1352</v>
      </c>
      <c r="N92">
        <v>9690</v>
      </c>
      <c r="O92">
        <v>0</v>
      </c>
      <c r="P92">
        <v>5510</v>
      </c>
      <c r="Q92">
        <v>0</v>
      </c>
      <c r="R92">
        <v>0</v>
      </c>
      <c r="S92">
        <v>0</v>
      </c>
      <c r="T92">
        <v>9073</v>
      </c>
      <c r="U92">
        <v>0</v>
      </c>
      <c r="V92">
        <v>0</v>
      </c>
      <c r="W92">
        <v>0</v>
      </c>
      <c r="X92" t="s">
        <v>1175</v>
      </c>
      <c r="Y92" t="s">
        <v>1175</v>
      </c>
      <c r="Z92" t="s">
        <v>1175</v>
      </c>
      <c r="AA92">
        <v>6</v>
      </c>
      <c r="AB92" t="s">
        <v>1171</v>
      </c>
    </row>
    <row r="93" spans="1:28">
      <c r="A93" t="s">
        <v>1168</v>
      </c>
      <c r="B93" t="s">
        <v>1176</v>
      </c>
      <c r="C93" t="s">
        <v>56</v>
      </c>
      <c r="D93" t="s">
        <v>1353</v>
      </c>
      <c r="E93" t="s">
        <v>93</v>
      </c>
      <c r="F93">
        <v>35300</v>
      </c>
      <c r="G93" t="s">
        <v>37</v>
      </c>
      <c r="H93" t="s">
        <v>1171</v>
      </c>
      <c r="I93" t="s">
        <v>1171</v>
      </c>
      <c r="J93" t="s">
        <v>1171</v>
      </c>
      <c r="K93" t="s">
        <v>37</v>
      </c>
      <c r="L93" t="s">
        <v>1226</v>
      </c>
      <c r="M93" t="s">
        <v>1354</v>
      </c>
      <c r="N93">
        <v>9690</v>
      </c>
      <c r="O93">
        <v>0</v>
      </c>
      <c r="P93">
        <v>4525</v>
      </c>
      <c r="Q93">
        <v>0</v>
      </c>
      <c r="R93">
        <v>0</v>
      </c>
      <c r="S93">
        <v>0</v>
      </c>
      <c r="T93">
        <v>0</v>
      </c>
      <c r="U93">
        <v>0</v>
      </c>
      <c r="V93">
        <v>11451</v>
      </c>
      <c r="W93">
        <v>0</v>
      </c>
      <c r="X93" t="s">
        <v>1175</v>
      </c>
      <c r="Y93" t="s">
        <v>1175</v>
      </c>
      <c r="Z93" t="s">
        <v>1175</v>
      </c>
      <c r="AA93">
        <v>6</v>
      </c>
      <c r="AB93" t="s">
        <v>1171</v>
      </c>
    </row>
    <row r="94" spans="1:28">
      <c r="A94" t="s">
        <v>1168</v>
      </c>
      <c r="B94" t="s">
        <v>1176</v>
      </c>
      <c r="C94" t="s">
        <v>56</v>
      </c>
      <c r="D94" t="s">
        <v>1355</v>
      </c>
      <c r="E94" t="s">
        <v>93</v>
      </c>
      <c r="F94">
        <v>35300</v>
      </c>
      <c r="G94" t="s">
        <v>32</v>
      </c>
      <c r="H94" t="s">
        <v>110</v>
      </c>
      <c r="I94" t="s">
        <v>37</v>
      </c>
      <c r="J94" t="s">
        <v>1171</v>
      </c>
      <c r="K94" t="s">
        <v>1207</v>
      </c>
      <c r="L94" t="s">
        <v>1226</v>
      </c>
      <c r="M94" t="s">
        <v>1356</v>
      </c>
      <c r="N94">
        <v>9690</v>
      </c>
      <c r="O94">
        <v>0</v>
      </c>
      <c r="P94">
        <v>3860</v>
      </c>
      <c r="Q94">
        <v>0</v>
      </c>
      <c r="R94">
        <v>0</v>
      </c>
      <c r="S94">
        <v>4845</v>
      </c>
      <c r="T94">
        <v>0</v>
      </c>
      <c r="U94">
        <v>4845</v>
      </c>
      <c r="V94">
        <v>4845</v>
      </c>
      <c r="W94">
        <v>0</v>
      </c>
      <c r="X94" t="s">
        <v>1175</v>
      </c>
      <c r="Y94" t="s">
        <v>1175</v>
      </c>
      <c r="Z94" t="s">
        <v>1175</v>
      </c>
      <c r="AA94">
        <v>6</v>
      </c>
      <c r="AB94" t="s">
        <v>1171</v>
      </c>
    </row>
    <row r="95" spans="1:28">
      <c r="A95" t="s">
        <v>1168</v>
      </c>
      <c r="B95" t="s">
        <v>1228</v>
      </c>
      <c r="C95" t="s">
        <v>56</v>
      </c>
      <c r="D95" t="s">
        <v>1357</v>
      </c>
      <c r="E95" t="s">
        <v>93</v>
      </c>
      <c r="F95">
        <v>35300</v>
      </c>
      <c r="G95" t="s">
        <v>98</v>
      </c>
      <c r="H95" t="s">
        <v>37</v>
      </c>
      <c r="I95" t="s">
        <v>1171</v>
      </c>
      <c r="J95" t="s">
        <v>1171</v>
      </c>
      <c r="K95" t="s">
        <v>1184</v>
      </c>
      <c r="L95" t="s">
        <v>1226</v>
      </c>
      <c r="M95" t="s">
        <v>1358</v>
      </c>
      <c r="N95">
        <v>9690</v>
      </c>
      <c r="O95">
        <v>0</v>
      </c>
      <c r="P95">
        <v>3194</v>
      </c>
      <c r="Q95">
        <v>10571</v>
      </c>
      <c r="R95">
        <v>0</v>
      </c>
      <c r="S95">
        <v>0</v>
      </c>
      <c r="T95">
        <v>0</v>
      </c>
      <c r="U95">
        <v>0</v>
      </c>
      <c r="V95">
        <v>6166</v>
      </c>
      <c r="W95">
        <v>0</v>
      </c>
      <c r="X95" t="s">
        <v>1175</v>
      </c>
      <c r="Y95" t="s">
        <v>1175</v>
      </c>
      <c r="Z95" t="s">
        <v>1175</v>
      </c>
      <c r="AA95">
        <v>6</v>
      </c>
      <c r="AB95" t="s">
        <v>1171</v>
      </c>
    </row>
    <row r="96" spans="1:28">
      <c r="A96" t="s">
        <v>1168</v>
      </c>
      <c r="B96" t="s">
        <v>1176</v>
      </c>
      <c r="C96" t="s">
        <v>56</v>
      </c>
      <c r="D96" t="s">
        <v>1359</v>
      </c>
      <c r="E96" t="s">
        <v>93</v>
      </c>
      <c r="F96">
        <v>35300</v>
      </c>
      <c r="G96" t="s">
        <v>110</v>
      </c>
      <c r="H96" t="s">
        <v>37</v>
      </c>
      <c r="I96" t="s">
        <v>1171</v>
      </c>
      <c r="J96" t="s">
        <v>1171</v>
      </c>
      <c r="K96" t="s">
        <v>1187</v>
      </c>
      <c r="L96" t="s">
        <v>1226</v>
      </c>
      <c r="M96" t="s">
        <v>1360</v>
      </c>
      <c r="N96">
        <v>9690</v>
      </c>
      <c r="O96">
        <v>0</v>
      </c>
      <c r="P96">
        <v>2662</v>
      </c>
      <c r="Q96">
        <v>0</v>
      </c>
      <c r="R96">
        <v>0</v>
      </c>
      <c r="S96">
        <v>0</v>
      </c>
      <c r="T96">
        <v>0</v>
      </c>
      <c r="U96">
        <v>12112</v>
      </c>
      <c r="V96">
        <v>6606</v>
      </c>
      <c r="W96">
        <v>0</v>
      </c>
      <c r="X96" t="s">
        <v>1175</v>
      </c>
      <c r="Y96" t="s">
        <v>1175</v>
      </c>
      <c r="Z96" t="s">
        <v>1175</v>
      </c>
      <c r="AA96">
        <v>6</v>
      </c>
      <c r="AB96" t="s">
        <v>1171</v>
      </c>
    </row>
    <row r="97" spans="1:28">
      <c r="A97" t="s">
        <v>1168</v>
      </c>
      <c r="B97" t="s">
        <v>1176</v>
      </c>
      <c r="C97" t="s">
        <v>56</v>
      </c>
      <c r="D97" t="s">
        <v>1361</v>
      </c>
      <c r="E97" t="s">
        <v>93</v>
      </c>
      <c r="F97">
        <v>35300</v>
      </c>
      <c r="G97" t="s">
        <v>98</v>
      </c>
      <c r="H97" t="s">
        <v>32</v>
      </c>
      <c r="I97" t="s">
        <v>37</v>
      </c>
      <c r="J97" t="s">
        <v>1171</v>
      </c>
      <c r="K97" t="s">
        <v>1206</v>
      </c>
      <c r="L97" t="s">
        <v>1226</v>
      </c>
      <c r="M97" t="s">
        <v>1362</v>
      </c>
      <c r="N97">
        <v>9690</v>
      </c>
      <c r="O97">
        <v>0</v>
      </c>
      <c r="P97">
        <v>3860</v>
      </c>
      <c r="Q97">
        <v>4845</v>
      </c>
      <c r="R97">
        <v>0</v>
      </c>
      <c r="S97">
        <v>4845</v>
      </c>
      <c r="T97">
        <v>0</v>
      </c>
      <c r="U97">
        <v>0</v>
      </c>
      <c r="V97">
        <v>4845</v>
      </c>
      <c r="W97">
        <v>0</v>
      </c>
      <c r="X97" t="s">
        <v>1175</v>
      </c>
      <c r="Y97" t="s">
        <v>1175</v>
      </c>
      <c r="Z97" t="s">
        <v>1175</v>
      </c>
      <c r="AA97">
        <v>6</v>
      </c>
      <c r="AB97" t="s">
        <v>1171</v>
      </c>
    </row>
    <row r="98" spans="1:28">
      <c r="A98" t="s">
        <v>1168</v>
      </c>
      <c r="B98" t="s">
        <v>1176</v>
      </c>
      <c r="C98" t="s">
        <v>56</v>
      </c>
      <c r="D98" t="s">
        <v>1363</v>
      </c>
      <c r="E98" t="s">
        <v>93</v>
      </c>
      <c r="F98">
        <v>35300</v>
      </c>
      <c r="G98" t="s">
        <v>98</v>
      </c>
      <c r="H98" t="s">
        <v>110</v>
      </c>
      <c r="I98" t="s">
        <v>37</v>
      </c>
      <c r="J98" t="s">
        <v>1171</v>
      </c>
      <c r="K98" t="s">
        <v>1239</v>
      </c>
      <c r="L98" t="s">
        <v>1226</v>
      </c>
      <c r="M98" t="s">
        <v>1364</v>
      </c>
      <c r="N98">
        <v>9690</v>
      </c>
      <c r="O98">
        <v>0</v>
      </c>
      <c r="P98">
        <v>3860</v>
      </c>
      <c r="Q98">
        <v>4845</v>
      </c>
      <c r="R98">
        <v>0</v>
      </c>
      <c r="S98">
        <v>0</v>
      </c>
      <c r="T98">
        <v>0</v>
      </c>
      <c r="U98">
        <v>4845</v>
      </c>
      <c r="V98">
        <v>4845</v>
      </c>
      <c r="W98">
        <v>0</v>
      </c>
      <c r="X98" t="s">
        <v>1175</v>
      </c>
      <c r="Y98" t="s">
        <v>1175</v>
      </c>
      <c r="Z98" t="s">
        <v>1175</v>
      </c>
      <c r="AA98">
        <v>6</v>
      </c>
      <c r="AB98" t="s">
        <v>1171</v>
      </c>
    </row>
    <row r="99" spans="1:28">
      <c r="A99" t="s">
        <v>1168</v>
      </c>
      <c r="B99" t="s">
        <v>1176</v>
      </c>
      <c r="C99" t="s">
        <v>56</v>
      </c>
      <c r="D99" t="s">
        <v>1365</v>
      </c>
      <c r="E99" t="s">
        <v>680</v>
      </c>
      <c r="F99">
        <v>35300</v>
      </c>
      <c r="G99" t="s">
        <v>98</v>
      </c>
      <c r="H99" t="s">
        <v>42</v>
      </c>
      <c r="I99" t="s">
        <v>110</v>
      </c>
      <c r="J99" t="s">
        <v>1171</v>
      </c>
      <c r="K99" t="s">
        <v>1179</v>
      </c>
      <c r="L99" t="s">
        <v>1173</v>
      </c>
      <c r="M99" t="s">
        <v>1366</v>
      </c>
      <c r="N99">
        <v>9690</v>
      </c>
      <c r="O99">
        <v>0</v>
      </c>
      <c r="P99">
        <v>3860</v>
      </c>
      <c r="Q99">
        <v>7928</v>
      </c>
      <c r="R99">
        <v>3304</v>
      </c>
      <c r="S99">
        <v>0</v>
      </c>
      <c r="T99">
        <v>0</v>
      </c>
      <c r="U99">
        <v>3304</v>
      </c>
      <c r="V99">
        <v>0</v>
      </c>
      <c r="W99">
        <v>0</v>
      </c>
      <c r="X99" t="s">
        <v>1175</v>
      </c>
      <c r="Y99" t="s">
        <v>1175</v>
      </c>
      <c r="Z99" t="s">
        <v>1175</v>
      </c>
      <c r="AA99">
        <v>6</v>
      </c>
      <c r="AB99" t="s">
        <v>1171</v>
      </c>
    </row>
    <row r="100" spans="1:28">
      <c r="A100" t="s">
        <v>1168</v>
      </c>
      <c r="B100" t="s">
        <v>1176</v>
      </c>
      <c r="C100" t="s">
        <v>56</v>
      </c>
      <c r="D100" t="s">
        <v>1367</v>
      </c>
      <c r="E100" t="s">
        <v>678</v>
      </c>
      <c r="F100">
        <v>35300</v>
      </c>
      <c r="G100" t="s">
        <v>98</v>
      </c>
      <c r="H100" t="s">
        <v>42</v>
      </c>
      <c r="I100" t="s">
        <v>37</v>
      </c>
      <c r="J100" t="s">
        <v>1171</v>
      </c>
      <c r="K100" t="s">
        <v>1177</v>
      </c>
      <c r="L100" t="s">
        <v>1173</v>
      </c>
      <c r="M100" t="s">
        <v>283</v>
      </c>
      <c r="N100">
        <v>9690</v>
      </c>
      <c r="O100">
        <v>0</v>
      </c>
      <c r="P100">
        <v>3860</v>
      </c>
      <c r="Q100">
        <v>7928</v>
      </c>
      <c r="R100">
        <v>3304</v>
      </c>
      <c r="S100">
        <v>0</v>
      </c>
      <c r="T100">
        <v>0</v>
      </c>
      <c r="U100">
        <v>0</v>
      </c>
      <c r="V100">
        <v>3304</v>
      </c>
      <c r="W100">
        <v>0</v>
      </c>
      <c r="X100" t="s">
        <v>1175</v>
      </c>
      <c r="Y100" t="s">
        <v>1175</v>
      </c>
      <c r="Z100" t="s">
        <v>1175</v>
      </c>
      <c r="AA100">
        <v>6</v>
      </c>
      <c r="AB100" t="s">
        <v>1171</v>
      </c>
    </row>
    <row r="101" spans="1:28">
      <c r="A101" t="s">
        <v>1168</v>
      </c>
      <c r="B101" t="s">
        <v>1205</v>
      </c>
      <c r="C101" t="s">
        <v>56</v>
      </c>
      <c r="D101" t="s">
        <v>1368</v>
      </c>
      <c r="E101" t="s">
        <v>679</v>
      </c>
      <c r="F101">
        <v>35300</v>
      </c>
      <c r="G101" t="s">
        <v>98</v>
      </c>
      <c r="H101" t="s">
        <v>110</v>
      </c>
      <c r="I101" t="s">
        <v>32</v>
      </c>
      <c r="J101" t="s">
        <v>37</v>
      </c>
      <c r="K101" t="s">
        <v>1331</v>
      </c>
      <c r="L101" t="s">
        <v>1173</v>
      </c>
      <c r="M101" t="s">
        <v>1369</v>
      </c>
      <c r="N101">
        <v>9690</v>
      </c>
      <c r="O101">
        <v>0</v>
      </c>
      <c r="P101">
        <v>3128</v>
      </c>
      <c r="Q101">
        <v>4404</v>
      </c>
      <c r="R101">
        <v>0</v>
      </c>
      <c r="S101">
        <v>4404</v>
      </c>
      <c r="T101">
        <v>0</v>
      </c>
      <c r="U101">
        <v>4404</v>
      </c>
      <c r="V101">
        <v>4404</v>
      </c>
      <c r="W101">
        <v>0</v>
      </c>
      <c r="X101" t="s">
        <v>1175</v>
      </c>
      <c r="Y101" t="s">
        <v>1175</v>
      </c>
      <c r="Z101" t="s">
        <v>1175</v>
      </c>
      <c r="AA101">
        <v>6</v>
      </c>
      <c r="AB101" t="s">
        <v>1171</v>
      </c>
    </row>
    <row r="102" spans="1:28">
      <c r="A102" t="s">
        <v>1168</v>
      </c>
      <c r="B102" t="s">
        <v>1169</v>
      </c>
      <c r="C102" t="s">
        <v>56</v>
      </c>
      <c r="D102" t="s">
        <v>1370</v>
      </c>
      <c r="E102" t="s">
        <v>678</v>
      </c>
      <c r="F102">
        <v>35300</v>
      </c>
      <c r="G102" t="s">
        <v>98</v>
      </c>
      <c r="H102" t="s">
        <v>37</v>
      </c>
      <c r="I102" t="s">
        <v>1171</v>
      </c>
      <c r="J102" t="s">
        <v>1171</v>
      </c>
      <c r="K102" t="s">
        <v>1184</v>
      </c>
      <c r="L102" t="s">
        <v>1173</v>
      </c>
      <c r="M102" t="s">
        <v>1371</v>
      </c>
      <c r="N102">
        <v>9690</v>
      </c>
      <c r="O102">
        <v>0</v>
      </c>
      <c r="P102">
        <v>1331</v>
      </c>
      <c r="Q102">
        <v>17177</v>
      </c>
      <c r="R102">
        <v>0</v>
      </c>
      <c r="S102">
        <v>0</v>
      </c>
      <c r="T102">
        <v>0</v>
      </c>
      <c r="U102">
        <v>0</v>
      </c>
      <c r="V102">
        <v>5286</v>
      </c>
      <c r="W102">
        <v>0</v>
      </c>
      <c r="X102" t="s">
        <v>1175</v>
      </c>
      <c r="Y102" t="s">
        <v>1175</v>
      </c>
      <c r="Z102" t="s">
        <v>1175</v>
      </c>
      <c r="AA102">
        <v>6</v>
      </c>
      <c r="AB102" t="s">
        <v>1171</v>
      </c>
    </row>
    <row r="103" spans="1:28">
      <c r="A103" t="s">
        <v>1168</v>
      </c>
      <c r="B103" t="s">
        <v>1169</v>
      </c>
      <c r="C103" t="s">
        <v>56</v>
      </c>
      <c r="D103" t="s">
        <v>1372</v>
      </c>
      <c r="E103" t="s">
        <v>679</v>
      </c>
      <c r="F103">
        <v>35300</v>
      </c>
      <c r="G103" t="s">
        <v>32</v>
      </c>
      <c r="H103" t="s">
        <v>37</v>
      </c>
      <c r="I103" t="s">
        <v>1171</v>
      </c>
      <c r="J103" t="s">
        <v>1171</v>
      </c>
      <c r="K103" t="s">
        <v>1172</v>
      </c>
      <c r="L103" t="s">
        <v>1173</v>
      </c>
      <c r="M103" t="s">
        <v>284</v>
      </c>
      <c r="N103">
        <v>9690</v>
      </c>
      <c r="O103">
        <v>0</v>
      </c>
      <c r="P103">
        <v>1331</v>
      </c>
      <c r="Q103">
        <v>0</v>
      </c>
      <c r="R103">
        <v>0</v>
      </c>
      <c r="S103">
        <v>17177</v>
      </c>
      <c r="T103">
        <v>0</v>
      </c>
      <c r="U103">
        <v>0</v>
      </c>
      <c r="V103">
        <v>5286</v>
      </c>
      <c r="W103">
        <v>0</v>
      </c>
      <c r="X103" t="s">
        <v>1175</v>
      </c>
      <c r="Y103" t="s">
        <v>1175</v>
      </c>
      <c r="Z103" t="s">
        <v>1175</v>
      </c>
      <c r="AA103">
        <v>6</v>
      </c>
      <c r="AB103" t="s">
        <v>1171</v>
      </c>
    </row>
    <row r="104" spans="1:28">
      <c r="A104" t="s">
        <v>1168</v>
      </c>
      <c r="B104" t="s">
        <v>1169</v>
      </c>
      <c r="C104" t="s">
        <v>56</v>
      </c>
      <c r="D104" t="s">
        <v>1373</v>
      </c>
      <c r="E104" t="s">
        <v>680</v>
      </c>
      <c r="F104">
        <v>35300</v>
      </c>
      <c r="G104" t="s">
        <v>110</v>
      </c>
      <c r="H104" t="s">
        <v>37</v>
      </c>
      <c r="I104" t="s">
        <v>1171</v>
      </c>
      <c r="J104" t="s">
        <v>1171</v>
      </c>
      <c r="K104" t="s">
        <v>1187</v>
      </c>
      <c r="L104" t="s">
        <v>1173</v>
      </c>
      <c r="M104" t="s">
        <v>1374</v>
      </c>
      <c r="N104">
        <v>9690</v>
      </c>
      <c r="O104">
        <v>0</v>
      </c>
      <c r="P104">
        <v>1331</v>
      </c>
      <c r="Q104">
        <v>0</v>
      </c>
      <c r="R104">
        <v>0</v>
      </c>
      <c r="S104">
        <v>0</v>
      </c>
      <c r="T104">
        <v>0</v>
      </c>
      <c r="U104">
        <v>17177</v>
      </c>
      <c r="V104">
        <v>5286</v>
      </c>
      <c r="W104">
        <v>0</v>
      </c>
      <c r="X104" t="s">
        <v>1175</v>
      </c>
      <c r="Y104" t="s">
        <v>1175</v>
      </c>
      <c r="Z104" t="s">
        <v>1175</v>
      </c>
      <c r="AA104">
        <v>6</v>
      </c>
      <c r="AB104" t="s">
        <v>1171</v>
      </c>
    </row>
    <row r="105" spans="1:28">
      <c r="A105" t="s">
        <v>1168</v>
      </c>
      <c r="B105" t="s">
        <v>1233</v>
      </c>
      <c r="C105" t="s">
        <v>56</v>
      </c>
      <c r="D105" t="s">
        <v>1375</v>
      </c>
      <c r="E105" t="s">
        <v>681</v>
      </c>
      <c r="F105">
        <v>35300</v>
      </c>
      <c r="G105" t="s">
        <v>24</v>
      </c>
      <c r="H105" t="s">
        <v>1171</v>
      </c>
      <c r="I105" t="s">
        <v>1171</v>
      </c>
      <c r="J105" t="s">
        <v>1171</v>
      </c>
      <c r="K105" t="s">
        <v>24</v>
      </c>
      <c r="L105" t="s">
        <v>1173</v>
      </c>
      <c r="M105" t="s">
        <v>258</v>
      </c>
      <c r="N105">
        <v>9690</v>
      </c>
      <c r="O105">
        <v>0</v>
      </c>
      <c r="P105">
        <v>5510</v>
      </c>
      <c r="Q105">
        <v>0</v>
      </c>
      <c r="R105">
        <v>0</v>
      </c>
      <c r="S105">
        <v>0</v>
      </c>
      <c r="T105">
        <v>9073</v>
      </c>
      <c r="U105">
        <v>0</v>
      </c>
      <c r="V105">
        <v>0</v>
      </c>
      <c r="W105">
        <v>0</v>
      </c>
      <c r="X105" t="s">
        <v>1175</v>
      </c>
      <c r="Y105" t="s">
        <v>1175</v>
      </c>
      <c r="Z105" t="s">
        <v>1175</v>
      </c>
      <c r="AA105">
        <v>6</v>
      </c>
      <c r="AB105" t="s">
        <v>1171</v>
      </c>
    </row>
    <row r="106" spans="1:28">
      <c r="A106" t="s">
        <v>1181</v>
      </c>
      <c r="B106" t="s">
        <v>1182</v>
      </c>
      <c r="C106" t="s">
        <v>56</v>
      </c>
      <c r="D106" t="s">
        <v>1376</v>
      </c>
      <c r="E106" t="s">
        <v>93</v>
      </c>
      <c r="F106">
        <v>35300</v>
      </c>
      <c r="G106" t="s">
        <v>24</v>
      </c>
      <c r="H106" t="s">
        <v>37</v>
      </c>
      <c r="I106" t="s">
        <v>1171</v>
      </c>
      <c r="J106" t="s">
        <v>1171</v>
      </c>
      <c r="K106" t="s">
        <v>1191</v>
      </c>
      <c r="L106" t="s">
        <v>1171</v>
      </c>
      <c r="M106" t="s">
        <v>1377</v>
      </c>
      <c r="N106">
        <v>9690</v>
      </c>
      <c r="O106">
        <v>790</v>
      </c>
      <c r="P106">
        <v>1997</v>
      </c>
      <c r="Q106">
        <v>0</v>
      </c>
      <c r="R106">
        <v>0</v>
      </c>
      <c r="S106">
        <v>0</v>
      </c>
      <c r="T106">
        <v>6607</v>
      </c>
      <c r="U106">
        <v>0</v>
      </c>
      <c r="V106">
        <v>5285</v>
      </c>
      <c r="W106">
        <v>0</v>
      </c>
      <c r="X106" t="s">
        <v>1175</v>
      </c>
      <c r="Y106" t="s">
        <v>1175</v>
      </c>
      <c r="Z106" t="s">
        <v>1175</v>
      </c>
      <c r="AA106">
        <v>6</v>
      </c>
      <c r="AB106" t="s">
        <v>1171</v>
      </c>
    </row>
    <row r="107" spans="1:28">
      <c r="A107" t="s">
        <v>1181</v>
      </c>
      <c r="B107" t="s">
        <v>1182</v>
      </c>
      <c r="C107" t="s">
        <v>56</v>
      </c>
      <c r="D107" t="s">
        <v>1378</v>
      </c>
      <c r="E107" t="s">
        <v>93</v>
      </c>
      <c r="F107">
        <v>34100</v>
      </c>
      <c r="G107" t="s">
        <v>98</v>
      </c>
      <c r="H107" t="s">
        <v>37</v>
      </c>
      <c r="I107" t="s">
        <v>1171</v>
      </c>
      <c r="J107" t="s">
        <v>1171</v>
      </c>
      <c r="K107" t="s">
        <v>1184</v>
      </c>
      <c r="L107" t="s">
        <v>1171</v>
      </c>
      <c r="M107" t="s">
        <v>1379</v>
      </c>
      <c r="N107">
        <v>9360</v>
      </c>
      <c r="O107">
        <v>764</v>
      </c>
      <c r="P107">
        <v>1929</v>
      </c>
      <c r="Q107">
        <v>6382</v>
      </c>
      <c r="R107">
        <v>0</v>
      </c>
      <c r="S107">
        <v>0</v>
      </c>
      <c r="T107">
        <v>0</v>
      </c>
      <c r="U107">
        <v>0</v>
      </c>
      <c r="V107">
        <v>5106</v>
      </c>
      <c r="W107">
        <v>0</v>
      </c>
      <c r="X107" t="s">
        <v>1175</v>
      </c>
      <c r="Y107" t="s">
        <v>1175</v>
      </c>
      <c r="Z107" t="s">
        <v>1175</v>
      </c>
      <c r="AA107">
        <v>6</v>
      </c>
      <c r="AB107" t="s">
        <v>1171</v>
      </c>
    </row>
    <row r="108" spans="1:28">
      <c r="A108" t="s">
        <v>1181</v>
      </c>
      <c r="B108" t="s">
        <v>1182</v>
      </c>
      <c r="C108" t="s">
        <v>43</v>
      </c>
      <c r="D108" t="s">
        <v>1380</v>
      </c>
      <c r="E108" t="s">
        <v>598</v>
      </c>
      <c r="F108">
        <v>42100</v>
      </c>
      <c r="G108" t="s">
        <v>98</v>
      </c>
      <c r="H108" t="s">
        <v>37</v>
      </c>
      <c r="I108" t="s">
        <v>1171</v>
      </c>
      <c r="J108" t="s">
        <v>1171</v>
      </c>
      <c r="K108" t="s">
        <v>1184</v>
      </c>
      <c r="L108" t="s">
        <v>1171</v>
      </c>
      <c r="M108" t="s">
        <v>335</v>
      </c>
      <c r="N108">
        <v>23113</v>
      </c>
      <c r="O108">
        <v>1886</v>
      </c>
      <c r="P108">
        <v>4763</v>
      </c>
      <c r="Q108">
        <v>15759</v>
      </c>
      <c r="R108">
        <v>0</v>
      </c>
      <c r="S108">
        <v>0</v>
      </c>
      <c r="T108">
        <v>0</v>
      </c>
      <c r="U108">
        <v>0</v>
      </c>
      <c r="V108">
        <v>12607</v>
      </c>
      <c r="W108">
        <v>0</v>
      </c>
      <c r="X108" t="s">
        <v>110</v>
      </c>
      <c r="Y108" t="s">
        <v>98</v>
      </c>
      <c r="Z108" t="s">
        <v>1175</v>
      </c>
      <c r="AA108">
        <v>6</v>
      </c>
      <c r="AB108" t="s">
        <v>1171</v>
      </c>
    </row>
    <row r="109" spans="1:28">
      <c r="A109" t="s">
        <v>1181</v>
      </c>
      <c r="B109" t="s">
        <v>1182</v>
      </c>
      <c r="C109" t="s">
        <v>43</v>
      </c>
      <c r="D109" t="s">
        <v>1381</v>
      </c>
      <c r="E109" t="s">
        <v>93</v>
      </c>
      <c r="F109">
        <v>41400</v>
      </c>
      <c r="G109" t="s">
        <v>32</v>
      </c>
      <c r="H109" t="s">
        <v>37</v>
      </c>
      <c r="I109" t="s">
        <v>1171</v>
      </c>
      <c r="J109" t="s">
        <v>1171</v>
      </c>
      <c r="K109" t="s">
        <v>1172</v>
      </c>
      <c r="L109" t="s">
        <v>1171</v>
      </c>
      <c r="M109" t="s">
        <v>339</v>
      </c>
      <c r="N109">
        <v>22728</v>
      </c>
      <c r="O109">
        <v>1854</v>
      </c>
      <c r="P109">
        <v>4683</v>
      </c>
      <c r="Q109">
        <v>0</v>
      </c>
      <c r="R109">
        <v>0</v>
      </c>
      <c r="S109">
        <v>15497</v>
      </c>
      <c r="T109">
        <v>0</v>
      </c>
      <c r="U109">
        <v>0</v>
      </c>
      <c r="V109">
        <v>12398</v>
      </c>
      <c r="W109">
        <v>0</v>
      </c>
      <c r="X109" t="s">
        <v>47</v>
      </c>
      <c r="Y109" t="s">
        <v>98</v>
      </c>
      <c r="Z109" t="s">
        <v>1175</v>
      </c>
      <c r="AA109">
        <v>6</v>
      </c>
      <c r="AB109" t="s">
        <v>1171</v>
      </c>
    </row>
    <row r="110" spans="1:28">
      <c r="A110" t="s">
        <v>1181</v>
      </c>
      <c r="B110" t="s">
        <v>1182</v>
      </c>
      <c r="C110" t="s">
        <v>43</v>
      </c>
      <c r="D110" t="s">
        <v>1382</v>
      </c>
      <c r="E110" t="s">
        <v>93</v>
      </c>
      <c r="F110">
        <v>41400</v>
      </c>
      <c r="G110" t="s">
        <v>24</v>
      </c>
      <c r="H110" t="s">
        <v>37</v>
      </c>
      <c r="I110" t="s">
        <v>1171</v>
      </c>
      <c r="J110" t="s">
        <v>1171</v>
      </c>
      <c r="K110" t="s">
        <v>1191</v>
      </c>
      <c r="L110" t="s">
        <v>1171</v>
      </c>
      <c r="M110" t="s">
        <v>355</v>
      </c>
      <c r="N110">
        <v>22728</v>
      </c>
      <c r="O110">
        <v>1854</v>
      </c>
      <c r="P110">
        <v>4683</v>
      </c>
      <c r="Q110">
        <v>0</v>
      </c>
      <c r="R110">
        <v>0</v>
      </c>
      <c r="S110">
        <v>0</v>
      </c>
      <c r="T110">
        <v>15497</v>
      </c>
      <c r="U110">
        <v>0</v>
      </c>
      <c r="V110">
        <v>12398</v>
      </c>
      <c r="W110">
        <v>0</v>
      </c>
      <c r="X110" t="s">
        <v>110</v>
      </c>
      <c r="Y110" t="s">
        <v>98</v>
      </c>
      <c r="Z110" t="s">
        <v>1175</v>
      </c>
      <c r="AA110">
        <v>6</v>
      </c>
      <c r="AB110" t="s">
        <v>1171</v>
      </c>
    </row>
    <row r="111" spans="1:28">
      <c r="A111" t="s">
        <v>1181</v>
      </c>
      <c r="B111" t="s">
        <v>1182</v>
      </c>
      <c r="C111" t="s">
        <v>43</v>
      </c>
      <c r="D111" t="s">
        <v>1383</v>
      </c>
      <c r="E111" t="s">
        <v>93</v>
      </c>
      <c r="F111">
        <v>41400</v>
      </c>
      <c r="G111" t="s">
        <v>110</v>
      </c>
      <c r="H111" t="s">
        <v>37</v>
      </c>
      <c r="I111" t="s">
        <v>1171</v>
      </c>
      <c r="J111" t="s">
        <v>1171</v>
      </c>
      <c r="K111" t="s">
        <v>1187</v>
      </c>
      <c r="L111" t="s">
        <v>1171</v>
      </c>
      <c r="M111" t="s">
        <v>345</v>
      </c>
      <c r="N111">
        <v>22728</v>
      </c>
      <c r="O111">
        <v>1854</v>
      </c>
      <c r="P111">
        <v>4683</v>
      </c>
      <c r="Q111">
        <v>0</v>
      </c>
      <c r="R111">
        <v>0</v>
      </c>
      <c r="S111">
        <v>0</v>
      </c>
      <c r="T111">
        <v>0</v>
      </c>
      <c r="U111">
        <v>15497</v>
      </c>
      <c r="V111">
        <v>12398</v>
      </c>
      <c r="W111">
        <v>0</v>
      </c>
      <c r="X111" t="s">
        <v>32</v>
      </c>
      <c r="Y111" t="s">
        <v>91</v>
      </c>
      <c r="Z111" t="s">
        <v>1175</v>
      </c>
      <c r="AA111">
        <v>6</v>
      </c>
      <c r="AB111" t="s">
        <v>1171</v>
      </c>
    </row>
    <row r="112" spans="1:28">
      <c r="A112" t="s">
        <v>1181</v>
      </c>
      <c r="B112" t="s">
        <v>1182</v>
      </c>
      <c r="C112" t="s">
        <v>43</v>
      </c>
      <c r="D112" t="s">
        <v>1384</v>
      </c>
      <c r="E112" t="s">
        <v>93</v>
      </c>
      <c r="F112">
        <v>41400</v>
      </c>
      <c r="G112" t="s">
        <v>110</v>
      </c>
      <c r="H112" t="s">
        <v>37</v>
      </c>
      <c r="I112" t="s">
        <v>1171</v>
      </c>
      <c r="J112" t="s">
        <v>1171</v>
      </c>
      <c r="K112" t="s">
        <v>1187</v>
      </c>
      <c r="L112" t="s">
        <v>1171</v>
      </c>
      <c r="M112" t="s">
        <v>346</v>
      </c>
      <c r="N112">
        <v>22728</v>
      </c>
      <c r="O112">
        <v>1854</v>
      </c>
      <c r="P112">
        <v>4683</v>
      </c>
      <c r="Q112">
        <v>0</v>
      </c>
      <c r="R112">
        <v>0</v>
      </c>
      <c r="S112">
        <v>0</v>
      </c>
      <c r="T112">
        <v>0</v>
      </c>
      <c r="U112">
        <v>15497</v>
      </c>
      <c r="V112">
        <v>12398</v>
      </c>
      <c r="W112">
        <v>0</v>
      </c>
      <c r="X112" t="s">
        <v>32</v>
      </c>
      <c r="Y112" t="s">
        <v>91</v>
      </c>
      <c r="Z112" t="s">
        <v>1175</v>
      </c>
      <c r="AA112">
        <v>6</v>
      </c>
      <c r="AB112" t="s">
        <v>1171</v>
      </c>
    </row>
    <row r="113" spans="1:28">
      <c r="A113" t="s">
        <v>1181</v>
      </c>
      <c r="B113" t="s">
        <v>1182</v>
      </c>
      <c r="C113" t="s">
        <v>43</v>
      </c>
      <c r="D113" t="s">
        <v>1385</v>
      </c>
      <c r="E113" t="s">
        <v>93</v>
      </c>
      <c r="F113">
        <v>41400</v>
      </c>
      <c r="G113" t="s">
        <v>98</v>
      </c>
      <c r="H113" t="s">
        <v>37</v>
      </c>
      <c r="I113" t="s">
        <v>1171</v>
      </c>
      <c r="J113" t="s">
        <v>1171</v>
      </c>
      <c r="K113" t="s">
        <v>1184</v>
      </c>
      <c r="L113" t="s">
        <v>1171</v>
      </c>
      <c r="M113" t="s">
        <v>338</v>
      </c>
      <c r="N113">
        <v>22728</v>
      </c>
      <c r="O113">
        <v>1854</v>
      </c>
      <c r="P113">
        <v>4683</v>
      </c>
      <c r="Q113">
        <v>15497</v>
      </c>
      <c r="R113">
        <v>0</v>
      </c>
      <c r="S113">
        <v>0</v>
      </c>
      <c r="T113">
        <v>0</v>
      </c>
      <c r="U113">
        <v>0</v>
      </c>
      <c r="V113">
        <v>12398</v>
      </c>
      <c r="W113">
        <v>0</v>
      </c>
      <c r="X113" t="s">
        <v>110</v>
      </c>
      <c r="Y113" t="s">
        <v>98</v>
      </c>
      <c r="Z113" t="s">
        <v>1175</v>
      </c>
      <c r="AA113">
        <v>6</v>
      </c>
      <c r="AB113" t="s">
        <v>1171</v>
      </c>
    </row>
    <row r="114" spans="1:28">
      <c r="A114" t="s">
        <v>1168</v>
      </c>
      <c r="B114" t="s">
        <v>1176</v>
      </c>
      <c r="C114" t="s">
        <v>43</v>
      </c>
      <c r="D114" t="s">
        <v>1386</v>
      </c>
      <c r="E114" t="s">
        <v>93</v>
      </c>
      <c r="F114">
        <v>41400</v>
      </c>
      <c r="G114" t="s">
        <v>37</v>
      </c>
      <c r="H114" t="s">
        <v>1171</v>
      </c>
      <c r="I114" t="s">
        <v>1171</v>
      </c>
      <c r="J114" t="s">
        <v>1171</v>
      </c>
      <c r="K114" t="s">
        <v>37</v>
      </c>
      <c r="L114" t="s">
        <v>1226</v>
      </c>
      <c r="M114" t="s">
        <v>331</v>
      </c>
      <c r="N114">
        <v>22728</v>
      </c>
      <c r="O114">
        <v>0</v>
      </c>
      <c r="P114">
        <v>10614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26861</v>
      </c>
      <c r="W114">
        <v>0</v>
      </c>
      <c r="X114" t="s">
        <v>98</v>
      </c>
      <c r="Y114" t="s">
        <v>37</v>
      </c>
      <c r="Z114" t="s">
        <v>1175</v>
      </c>
      <c r="AA114">
        <v>6</v>
      </c>
      <c r="AB114" t="s">
        <v>1171</v>
      </c>
    </row>
    <row r="115" spans="1:28">
      <c r="A115" t="s">
        <v>1168</v>
      </c>
      <c r="B115" t="s">
        <v>1233</v>
      </c>
      <c r="C115" t="s">
        <v>43</v>
      </c>
      <c r="D115" t="s">
        <v>1387</v>
      </c>
      <c r="E115" t="s">
        <v>93</v>
      </c>
      <c r="F115">
        <v>41400</v>
      </c>
      <c r="G115" t="s">
        <v>98</v>
      </c>
      <c r="H115" t="s">
        <v>37</v>
      </c>
      <c r="I115" t="s">
        <v>1171</v>
      </c>
      <c r="J115" t="s">
        <v>1171</v>
      </c>
      <c r="K115" t="s">
        <v>1184</v>
      </c>
      <c r="L115" t="s">
        <v>1226</v>
      </c>
      <c r="M115" t="s">
        <v>325</v>
      </c>
      <c r="N115">
        <v>22728</v>
      </c>
      <c r="O115">
        <v>0</v>
      </c>
      <c r="P115">
        <v>7493</v>
      </c>
      <c r="Q115">
        <v>14464</v>
      </c>
      <c r="R115">
        <v>0</v>
      </c>
      <c r="S115">
        <v>0</v>
      </c>
      <c r="T115">
        <v>0</v>
      </c>
      <c r="U115">
        <v>0</v>
      </c>
      <c r="V115">
        <v>22729</v>
      </c>
      <c r="W115">
        <v>0</v>
      </c>
      <c r="X115" t="s">
        <v>47</v>
      </c>
      <c r="Y115" t="s">
        <v>37</v>
      </c>
      <c r="Z115" t="s">
        <v>1175</v>
      </c>
      <c r="AA115">
        <v>6</v>
      </c>
      <c r="AB115" t="s">
        <v>1171</v>
      </c>
    </row>
    <row r="116" spans="1:28">
      <c r="A116" t="s">
        <v>1168</v>
      </c>
      <c r="B116" t="s">
        <v>1233</v>
      </c>
      <c r="C116" t="s">
        <v>43</v>
      </c>
      <c r="D116" t="s">
        <v>1388</v>
      </c>
      <c r="E116" t="s">
        <v>93</v>
      </c>
      <c r="F116">
        <v>41400</v>
      </c>
      <c r="G116" t="s">
        <v>32</v>
      </c>
      <c r="H116" t="s">
        <v>37</v>
      </c>
      <c r="I116" t="s">
        <v>1171</v>
      </c>
      <c r="J116" t="s">
        <v>1171</v>
      </c>
      <c r="K116" t="s">
        <v>1172</v>
      </c>
      <c r="L116" t="s">
        <v>1226</v>
      </c>
      <c r="M116" t="s">
        <v>330</v>
      </c>
      <c r="N116">
        <v>22728</v>
      </c>
      <c r="O116">
        <v>0</v>
      </c>
      <c r="P116">
        <v>7493</v>
      </c>
      <c r="Q116">
        <v>0</v>
      </c>
      <c r="R116">
        <v>0</v>
      </c>
      <c r="S116">
        <v>14464</v>
      </c>
      <c r="T116">
        <v>0</v>
      </c>
      <c r="U116">
        <v>0</v>
      </c>
      <c r="V116">
        <v>22729</v>
      </c>
      <c r="W116">
        <v>0</v>
      </c>
      <c r="X116" t="s">
        <v>32</v>
      </c>
      <c r="Y116" t="s">
        <v>47</v>
      </c>
      <c r="Z116" t="s">
        <v>1175</v>
      </c>
      <c r="AA116">
        <v>6</v>
      </c>
      <c r="AB116" t="s">
        <v>1171</v>
      </c>
    </row>
    <row r="117" spans="1:28">
      <c r="A117" t="s">
        <v>1168</v>
      </c>
      <c r="B117" t="s">
        <v>1233</v>
      </c>
      <c r="C117" t="s">
        <v>43</v>
      </c>
      <c r="D117" t="s">
        <v>1389</v>
      </c>
      <c r="E117" t="s">
        <v>93</v>
      </c>
      <c r="F117">
        <v>41400</v>
      </c>
      <c r="G117" t="s">
        <v>110</v>
      </c>
      <c r="H117" t="s">
        <v>37</v>
      </c>
      <c r="I117" t="s">
        <v>1171</v>
      </c>
      <c r="J117" t="s">
        <v>1171</v>
      </c>
      <c r="K117" t="s">
        <v>1187</v>
      </c>
      <c r="L117" t="s">
        <v>1226</v>
      </c>
      <c r="M117" t="s">
        <v>326</v>
      </c>
      <c r="N117">
        <v>22728</v>
      </c>
      <c r="O117">
        <v>0</v>
      </c>
      <c r="P117">
        <v>6244</v>
      </c>
      <c r="Q117">
        <v>0</v>
      </c>
      <c r="R117">
        <v>0</v>
      </c>
      <c r="S117">
        <v>0</v>
      </c>
      <c r="T117">
        <v>0</v>
      </c>
      <c r="U117">
        <v>29445</v>
      </c>
      <c r="V117">
        <v>15497</v>
      </c>
      <c r="W117">
        <v>0</v>
      </c>
      <c r="X117" t="s">
        <v>110</v>
      </c>
      <c r="Y117" t="s">
        <v>37</v>
      </c>
      <c r="Z117" t="s">
        <v>1175</v>
      </c>
      <c r="AA117">
        <v>6</v>
      </c>
      <c r="AB117" t="s">
        <v>1171</v>
      </c>
    </row>
    <row r="118" spans="1:28">
      <c r="A118" t="s">
        <v>1168</v>
      </c>
      <c r="B118" t="s">
        <v>1176</v>
      </c>
      <c r="C118" t="s">
        <v>43</v>
      </c>
      <c r="D118" t="s">
        <v>1390</v>
      </c>
      <c r="E118" t="s">
        <v>93</v>
      </c>
      <c r="F118">
        <v>41400</v>
      </c>
      <c r="G118" t="s">
        <v>98</v>
      </c>
      <c r="H118" t="s">
        <v>32</v>
      </c>
      <c r="I118" t="s">
        <v>37</v>
      </c>
      <c r="J118" t="s">
        <v>1171</v>
      </c>
      <c r="K118" t="s">
        <v>1206</v>
      </c>
      <c r="L118" t="s">
        <v>1226</v>
      </c>
      <c r="M118" t="s">
        <v>321</v>
      </c>
      <c r="N118">
        <v>22728</v>
      </c>
      <c r="O118">
        <v>0</v>
      </c>
      <c r="P118">
        <v>9053</v>
      </c>
      <c r="Q118">
        <v>11365</v>
      </c>
      <c r="R118">
        <v>0</v>
      </c>
      <c r="S118">
        <v>11365</v>
      </c>
      <c r="T118">
        <v>0</v>
      </c>
      <c r="U118">
        <v>0</v>
      </c>
      <c r="V118">
        <v>11365</v>
      </c>
      <c r="W118">
        <v>0</v>
      </c>
      <c r="X118" t="s">
        <v>42</v>
      </c>
      <c r="Y118" t="s">
        <v>47</v>
      </c>
      <c r="Z118" t="s">
        <v>1175</v>
      </c>
      <c r="AA118">
        <v>6</v>
      </c>
      <c r="AB118" t="s">
        <v>1171</v>
      </c>
    </row>
    <row r="119" spans="1:28">
      <c r="A119" t="s">
        <v>1168</v>
      </c>
      <c r="B119" t="s">
        <v>1176</v>
      </c>
      <c r="C119" t="s">
        <v>43</v>
      </c>
      <c r="D119" t="s">
        <v>1391</v>
      </c>
      <c r="E119" t="s">
        <v>93</v>
      </c>
      <c r="F119">
        <v>41400</v>
      </c>
      <c r="G119" t="s">
        <v>98</v>
      </c>
      <c r="H119" t="s">
        <v>110</v>
      </c>
      <c r="I119" t="s">
        <v>37</v>
      </c>
      <c r="J119" t="s">
        <v>1171</v>
      </c>
      <c r="K119" t="s">
        <v>1239</v>
      </c>
      <c r="L119" t="s">
        <v>1226</v>
      </c>
      <c r="M119" t="s">
        <v>274</v>
      </c>
      <c r="N119">
        <v>22728</v>
      </c>
      <c r="O119">
        <v>0</v>
      </c>
      <c r="P119">
        <v>9053</v>
      </c>
      <c r="Q119">
        <v>11365</v>
      </c>
      <c r="R119">
        <v>0</v>
      </c>
      <c r="S119">
        <v>0</v>
      </c>
      <c r="T119">
        <v>0</v>
      </c>
      <c r="U119">
        <v>11365</v>
      </c>
      <c r="V119">
        <v>11365</v>
      </c>
      <c r="W119">
        <v>0</v>
      </c>
      <c r="X119" t="s">
        <v>32</v>
      </c>
      <c r="Y119" t="s">
        <v>37</v>
      </c>
      <c r="Z119" t="s">
        <v>1175</v>
      </c>
      <c r="AA119">
        <v>6</v>
      </c>
      <c r="AB119" t="s">
        <v>1171</v>
      </c>
    </row>
    <row r="120" spans="1:28">
      <c r="A120" t="s">
        <v>1168</v>
      </c>
      <c r="B120" t="s">
        <v>1176</v>
      </c>
      <c r="C120" t="s">
        <v>43</v>
      </c>
      <c r="D120" t="s">
        <v>1392</v>
      </c>
      <c r="E120" t="s">
        <v>93</v>
      </c>
      <c r="F120">
        <v>41400</v>
      </c>
      <c r="G120" t="s">
        <v>32</v>
      </c>
      <c r="H120" t="s">
        <v>110</v>
      </c>
      <c r="I120" t="s">
        <v>37</v>
      </c>
      <c r="J120" t="s">
        <v>1171</v>
      </c>
      <c r="K120" t="s">
        <v>1207</v>
      </c>
      <c r="L120" t="s">
        <v>1226</v>
      </c>
      <c r="M120" t="s">
        <v>328</v>
      </c>
      <c r="N120">
        <v>22728</v>
      </c>
      <c r="O120">
        <v>0</v>
      </c>
      <c r="P120">
        <v>9053</v>
      </c>
      <c r="Q120">
        <v>0</v>
      </c>
      <c r="R120">
        <v>0</v>
      </c>
      <c r="S120">
        <v>11365</v>
      </c>
      <c r="T120">
        <v>0</v>
      </c>
      <c r="U120">
        <v>11365</v>
      </c>
      <c r="V120">
        <v>11365</v>
      </c>
      <c r="W120">
        <v>0</v>
      </c>
      <c r="X120" t="s">
        <v>32</v>
      </c>
      <c r="Y120" t="s">
        <v>37</v>
      </c>
      <c r="Z120" t="s">
        <v>1175</v>
      </c>
      <c r="AA120">
        <v>6</v>
      </c>
      <c r="AB120" t="s">
        <v>1171</v>
      </c>
    </row>
    <row r="121" spans="1:28">
      <c r="A121" t="s">
        <v>1168</v>
      </c>
      <c r="B121" t="s">
        <v>1228</v>
      </c>
      <c r="C121" t="s">
        <v>43</v>
      </c>
      <c r="D121" t="s">
        <v>1393</v>
      </c>
      <c r="E121" t="s">
        <v>93</v>
      </c>
      <c r="F121">
        <v>41400</v>
      </c>
      <c r="G121" t="s">
        <v>24</v>
      </c>
      <c r="H121" t="s">
        <v>1171</v>
      </c>
      <c r="I121" t="s">
        <v>1171</v>
      </c>
      <c r="J121" t="s">
        <v>1171</v>
      </c>
      <c r="K121" t="s">
        <v>24</v>
      </c>
      <c r="L121" t="s">
        <v>1226</v>
      </c>
      <c r="M121" t="s">
        <v>356</v>
      </c>
      <c r="N121">
        <v>22728</v>
      </c>
      <c r="O121">
        <v>0</v>
      </c>
      <c r="P121">
        <v>12393</v>
      </c>
      <c r="Q121">
        <v>0</v>
      </c>
      <c r="R121">
        <v>0</v>
      </c>
      <c r="S121">
        <v>0</v>
      </c>
      <c r="T121">
        <v>23039</v>
      </c>
      <c r="U121">
        <v>0</v>
      </c>
      <c r="V121">
        <v>0</v>
      </c>
      <c r="W121">
        <v>0</v>
      </c>
      <c r="X121" t="s">
        <v>98</v>
      </c>
      <c r="Y121" t="s">
        <v>110</v>
      </c>
      <c r="Z121" t="s">
        <v>1175</v>
      </c>
      <c r="AA121">
        <v>6</v>
      </c>
      <c r="AB121" t="s">
        <v>1171</v>
      </c>
    </row>
    <row r="122" spans="1:28">
      <c r="A122" t="s">
        <v>1168</v>
      </c>
      <c r="B122" t="s">
        <v>1205</v>
      </c>
      <c r="C122" t="s">
        <v>43</v>
      </c>
      <c r="D122" t="s">
        <v>1394</v>
      </c>
      <c r="E122" t="s">
        <v>657</v>
      </c>
      <c r="F122">
        <v>41400</v>
      </c>
      <c r="G122" t="s">
        <v>98</v>
      </c>
      <c r="H122" t="s">
        <v>110</v>
      </c>
      <c r="I122" t="s">
        <v>32</v>
      </c>
      <c r="J122" t="s">
        <v>37</v>
      </c>
      <c r="K122" t="s">
        <v>1331</v>
      </c>
      <c r="L122" t="s">
        <v>1173</v>
      </c>
      <c r="M122" t="s">
        <v>44</v>
      </c>
      <c r="N122">
        <v>22728</v>
      </c>
      <c r="O122">
        <v>0</v>
      </c>
      <c r="P122">
        <v>7336</v>
      </c>
      <c r="Q122">
        <v>10331</v>
      </c>
      <c r="R122">
        <v>0</v>
      </c>
      <c r="S122">
        <v>10331</v>
      </c>
      <c r="T122">
        <v>0</v>
      </c>
      <c r="U122">
        <v>10331</v>
      </c>
      <c r="V122">
        <v>10331</v>
      </c>
      <c r="W122">
        <v>0</v>
      </c>
      <c r="X122" t="s">
        <v>98</v>
      </c>
      <c r="Y122" t="s">
        <v>110</v>
      </c>
      <c r="Z122" t="s">
        <v>1175</v>
      </c>
      <c r="AA122">
        <v>6</v>
      </c>
      <c r="AB122" t="s">
        <v>1171</v>
      </c>
    </row>
    <row r="123" spans="1:28">
      <c r="A123" t="s">
        <v>1168</v>
      </c>
      <c r="B123" t="s">
        <v>1248</v>
      </c>
      <c r="C123" t="s">
        <v>43</v>
      </c>
      <c r="D123" t="s">
        <v>1395</v>
      </c>
      <c r="E123" t="s">
        <v>657</v>
      </c>
      <c r="F123">
        <v>41400</v>
      </c>
      <c r="G123" t="s">
        <v>98</v>
      </c>
      <c r="H123" t="s">
        <v>37</v>
      </c>
      <c r="I123" t="s">
        <v>1171</v>
      </c>
      <c r="J123" t="s">
        <v>1171</v>
      </c>
      <c r="K123" t="s">
        <v>1184</v>
      </c>
      <c r="L123" t="s">
        <v>1173</v>
      </c>
      <c r="M123" t="s">
        <v>317</v>
      </c>
      <c r="N123">
        <v>22728</v>
      </c>
      <c r="O123">
        <v>0</v>
      </c>
      <c r="P123">
        <v>3121</v>
      </c>
      <c r="Q123">
        <v>40291</v>
      </c>
      <c r="R123">
        <v>0</v>
      </c>
      <c r="S123">
        <v>0</v>
      </c>
      <c r="T123">
        <v>0</v>
      </c>
      <c r="U123">
        <v>0</v>
      </c>
      <c r="V123">
        <v>12398</v>
      </c>
      <c r="W123">
        <v>0</v>
      </c>
      <c r="X123" t="s">
        <v>47</v>
      </c>
      <c r="Y123" t="s">
        <v>37</v>
      </c>
      <c r="Z123" t="s">
        <v>1175</v>
      </c>
      <c r="AA123">
        <v>6</v>
      </c>
      <c r="AB123" t="s">
        <v>1171</v>
      </c>
    </row>
    <row r="124" spans="1:28">
      <c r="A124" t="s">
        <v>1168</v>
      </c>
      <c r="B124" t="s">
        <v>1193</v>
      </c>
      <c r="C124" t="s">
        <v>43</v>
      </c>
      <c r="D124" t="s">
        <v>1396</v>
      </c>
      <c r="E124" t="s">
        <v>657</v>
      </c>
      <c r="F124">
        <v>41400</v>
      </c>
      <c r="G124" t="s">
        <v>110</v>
      </c>
      <c r="H124" t="s">
        <v>37</v>
      </c>
      <c r="I124" t="s">
        <v>1171</v>
      </c>
      <c r="J124" t="s">
        <v>1171</v>
      </c>
      <c r="K124" t="s">
        <v>1187</v>
      </c>
      <c r="L124" t="s">
        <v>1173</v>
      </c>
      <c r="M124" t="s">
        <v>324</v>
      </c>
      <c r="N124">
        <v>22728</v>
      </c>
      <c r="O124">
        <v>0</v>
      </c>
      <c r="P124">
        <v>3121</v>
      </c>
      <c r="Q124">
        <v>0</v>
      </c>
      <c r="R124">
        <v>0</v>
      </c>
      <c r="S124">
        <v>0</v>
      </c>
      <c r="T124">
        <v>0</v>
      </c>
      <c r="U124">
        <v>41325</v>
      </c>
      <c r="V124">
        <v>12398</v>
      </c>
      <c r="W124">
        <v>0</v>
      </c>
      <c r="X124" t="s">
        <v>110</v>
      </c>
      <c r="Y124" t="s">
        <v>37</v>
      </c>
      <c r="Z124" t="s">
        <v>1175</v>
      </c>
      <c r="AA124">
        <v>6</v>
      </c>
      <c r="AB124" t="s">
        <v>1171</v>
      </c>
    </row>
    <row r="125" spans="1:28">
      <c r="A125" t="s">
        <v>1168</v>
      </c>
      <c r="B125" t="s">
        <v>1248</v>
      </c>
      <c r="C125" t="s">
        <v>43</v>
      </c>
      <c r="D125" t="s">
        <v>1397</v>
      </c>
      <c r="E125" t="s">
        <v>657</v>
      </c>
      <c r="F125">
        <v>41400</v>
      </c>
      <c r="G125" t="s">
        <v>32</v>
      </c>
      <c r="H125" t="s">
        <v>37</v>
      </c>
      <c r="I125" t="s">
        <v>1171</v>
      </c>
      <c r="J125" t="s">
        <v>1171</v>
      </c>
      <c r="K125" t="s">
        <v>1172</v>
      </c>
      <c r="L125" t="s">
        <v>1173</v>
      </c>
      <c r="M125" t="s">
        <v>320</v>
      </c>
      <c r="N125">
        <v>22728</v>
      </c>
      <c r="O125">
        <v>0</v>
      </c>
      <c r="P125">
        <v>3121</v>
      </c>
      <c r="Q125">
        <v>0</v>
      </c>
      <c r="R125">
        <v>0</v>
      </c>
      <c r="S125">
        <v>40291</v>
      </c>
      <c r="T125">
        <v>0</v>
      </c>
      <c r="U125">
        <v>0</v>
      </c>
      <c r="V125">
        <v>12398</v>
      </c>
      <c r="W125">
        <v>0</v>
      </c>
      <c r="X125" t="s">
        <v>32</v>
      </c>
      <c r="Y125" t="s">
        <v>47</v>
      </c>
      <c r="Z125" t="s">
        <v>1175</v>
      </c>
      <c r="AA125">
        <v>6</v>
      </c>
      <c r="AB125" t="s">
        <v>1171</v>
      </c>
    </row>
    <row r="126" spans="1:28">
      <c r="A126" t="s">
        <v>1168</v>
      </c>
      <c r="B126" t="s">
        <v>1205</v>
      </c>
      <c r="C126" t="s">
        <v>43</v>
      </c>
      <c r="D126" t="s">
        <v>1398</v>
      </c>
      <c r="E126" t="s">
        <v>659</v>
      </c>
      <c r="F126">
        <v>41400</v>
      </c>
      <c r="G126" t="s">
        <v>98</v>
      </c>
      <c r="H126" t="s">
        <v>1171</v>
      </c>
      <c r="I126" t="s">
        <v>1171</v>
      </c>
      <c r="J126" t="s">
        <v>1171</v>
      </c>
      <c r="K126" t="s">
        <v>98</v>
      </c>
      <c r="L126" t="s">
        <v>1173</v>
      </c>
      <c r="M126" t="s">
        <v>319</v>
      </c>
      <c r="N126">
        <v>22728</v>
      </c>
      <c r="O126">
        <v>0</v>
      </c>
      <c r="P126">
        <v>9053</v>
      </c>
      <c r="Q126">
        <v>15496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 t="s">
        <v>42</v>
      </c>
      <c r="Y126" t="s">
        <v>37</v>
      </c>
      <c r="Z126" t="s">
        <v>1175</v>
      </c>
      <c r="AA126">
        <v>6</v>
      </c>
      <c r="AB126" t="s">
        <v>1171</v>
      </c>
    </row>
    <row r="127" spans="1:28">
      <c r="A127" t="s">
        <v>1168</v>
      </c>
      <c r="B127" t="s">
        <v>1248</v>
      </c>
      <c r="C127" t="s">
        <v>43</v>
      </c>
      <c r="D127" t="s">
        <v>1399</v>
      </c>
      <c r="E127" t="s">
        <v>660</v>
      </c>
      <c r="F127">
        <v>41400</v>
      </c>
      <c r="G127" t="s">
        <v>32</v>
      </c>
      <c r="H127" t="s">
        <v>1171</v>
      </c>
      <c r="I127" t="s">
        <v>1171</v>
      </c>
      <c r="J127" t="s">
        <v>1171</v>
      </c>
      <c r="K127" t="s">
        <v>32</v>
      </c>
      <c r="L127" t="s">
        <v>1173</v>
      </c>
      <c r="M127" t="s">
        <v>322</v>
      </c>
      <c r="N127">
        <v>22728</v>
      </c>
      <c r="O127">
        <v>0</v>
      </c>
      <c r="P127">
        <v>9053</v>
      </c>
      <c r="Q127">
        <v>0</v>
      </c>
      <c r="R127">
        <v>0</v>
      </c>
      <c r="S127">
        <v>15496</v>
      </c>
      <c r="T127">
        <v>0</v>
      </c>
      <c r="U127">
        <v>0</v>
      </c>
      <c r="V127">
        <v>0</v>
      </c>
      <c r="W127">
        <v>0</v>
      </c>
      <c r="X127" t="s">
        <v>32</v>
      </c>
      <c r="Y127" t="s">
        <v>37</v>
      </c>
      <c r="Z127" t="s">
        <v>1175</v>
      </c>
      <c r="AA127">
        <v>6</v>
      </c>
      <c r="AB127" t="s">
        <v>1171</v>
      </c>
    </row>
    <row r="128" spans="1:28">
      <c r="A128" t="s">
        <v>1168</v>
      </c>
      <c r="B128" t="s">
        <v>1228</v>
      </c>
      <c r="C128" t="s">
        <v>43</v>
      </c>
      <c r="D128" t="s">
        <v>1400</v>
      </c>
      <c r="E128" t="s">
        <v>660</v>
      </c>
      <c r="F128">
        <v>41400</v>
      </c>
      <c r="G128" t="s">
        <v>24</v>
      </c>
      <c r="H128" t="s">
        <v>1171</v>
      </c>
      <c r="I128" t="s">
        <v>1171</v>
      </c>
      <c r="J128" t="s">
        <v>1171</v>
      </c>
      <c r="K128" t="s">
        <v>24</v>
      </c>
      <c r="L128" t="s">
        <v>1173</v>
      </c>
      <c r="M128" t="s">
        <v>323</v>
      </c>
      <c r="N128">
        <v>22728</v>
      </c>
      <c r="O128">
        <v>0</v>
      </c>
      <c r="P128">
        <v>12393</v>
      </c>
      <c r="Q128">
        <v>0</v>
      </c>
      <c r="R128">
        <v>0</v>
      </c>
      <c r="S128">
        <v>0</v>
      </c>
      <c r="T128">
        <v>23039</v>
      </c>
      <c r="U128">
        <v>0</v>
      </c>
      <c r="V128">
        <v>0</v>
      </c>
      <c r="W128">
        <v>0</v>
      </c>
      <c r="X128" t="s">
        <v>98</v>
      </c>
      <c r="Y128" t="s">
        <v>110</v>
      </c>
      <c r="Z128" t="s">
        <v>1175</v>
      </c>
      <c r="AA128">
        <v>6</v>
      </c>
      <c r="AB128" t="s">
        <v>1171</v>
      </c>
    </row>
    <row r="129" spans="1:28">
      <c r="A129" t="s">
        <v>1181</v>
      </c>
      <c r="B129" t="s">
        <v>1182</v>
      </c>
      <c r="C129" t="s">
        <v>43</v>
      </c>
      <c r="D129" t="s">
        <v>1401</v>
      </c>
      <c r="E129" t="s">
        <v>93</v>
      </c>
      <c r="F129">
        <v>38100</v>
      </c>
      <c r="G129" t="s">
        <v>98</v>
      </c>
      <c r="H129" t="s">
        <v>37</v>
      </c>
      <c r="I129" t="s">
        <v>1171</v>
      </c>
      <c r="J129" t="s">
        <v>1171</v>
      </c>
      <c r="K129" t="s">
        <v>1184</v>
      </c>
      <c r="L129" t="s">
        <v>1171</v>
      </c>
      <c r="M129" t="s">
        <v>348</v>
      </c>
      <c r="N129">
        <v>20917</v>
      </c>
      <c r="O129">
        <v>1706</v>
      </c>
      <c r="P129">
        <v>4310</v>
      </c>
      <c r="Q129">
        <v>14262</v>
      </c>
      <c r="R129">
        <v>0</v>
      </c>
      <c r="S129">
        <v>0</v>
      </c>
      <c r="T129">
        <v>0</v>
      </c>
      <c r="U129">
        <v>0</v>
      </c>
      <c r="V129">
        <v>11409</v>
      </c>
      <c r="W129">
        <v>0</v>
      </c>
      <c r="X129" t="s">
        <v>110</v>
      </c>
      <c r="Y129" t="s">
        <v>98</v>
      </c>
      <c r="Z129" t="s">
        <v>1175</v>
      </c>
      <c r="AA129">
        <v>6</v>
      </c>
      <c r="AB129" t="s">
        <v>1171</v>
      </c>
    </row>
    <row r="130" spans="1:28">
      <c r="A130" t="s">
        <v>1181</v>
      </c>
      <c r="B130" t="s">
        <v>1182</v>
      </c>
      <c r="C130" t="s">
        <v>43</v>
      </c>
      <c r="D130" t="s">
        <v>1402</v>
      </c>
      <c r="E130" t="s">
        <v>601</v>
      </c>
      <c r="F130">
        <v>35900</v>
      </c>
      <c r="G130" t="s">
        <v>98</v>
      </c>
      <c r="H130" t="s">
        <v>37</v>
      </c>
      <c r="I130" t="s">
        <v>1171</v>
      </c>
      <c r="J130" t="s">
        <v>1171</v>
      </c>
      <c r="K130" t="s">
        <v>1184</v>
      </c>
      <c r="L130" t="s">
        <v>1171</v>
      </c>
      <c r="M130" t="s">
        <v>349</v>
      </c>
      <c r="N130">
        <v>19709</v>
      </c>
      <c r="O130">
        <v>1608</v>
      </c>
      <c r="P130">
        <v>4061</v>
      </c>
      <c r="Q130">
        <v>13438</v>
      </c>
      <c r="R130">
        <v>0</v>
      </c>
      <c r="S130">
        <v>0</v>
      </c>
      <c r="T130">
        <v>0</v>
      </c>
      <c r="U130">
        <v>0</v>
      </c>
      <c r="V130">
        <v>10751</v>
      </c>
      <c r="W130">
        <v>0</v>
      </c>
      <c r="X130" t="s">
        <v>110</v>
      </c>
      <c r="Y130" t="s">
        <v>98</v>
      </c>
      <c r="Z130" t="s">
        <v>1175</v>
      </c>
      <c r="AA130">
        <v>6</v>
      </c>
      <c r="AB130" t="s">
        <v>1171</v>
      </c>
    </row>
    <row r="131" spans="1:28">
      <c r="A131" t="s">
        <v>1181</v>
      </c>
      <c r="B131" t="s">
        <v>1182</v>
      </c>
      <c r="C131" t="s">
        <v>43</v>
      </c>
      <c r="D131" t="s">
        <v>1403</v>
      </c>
      <c r="E131" t="s">
        <v>93</v>
      </c>
      <c r="F131">
        <v>35300</v>
      </c>
      <c r="G131" t="s">
        <v>98</v>
      </c>
      <c r="H131" t="s">
        <v>37</v>
      </c>
      <c r="I131" t="s">
        <v>1171</v>
      </c>
      <c r="J131" t="s">
        <v>1171</v>
      </c>
      <c r="K131" t="s">
        <v>1184</v>
      </c>
      <c r="L131" t="s">
        <v>1171</v>
      </c>
      <c r="M131" t="s">
        <v>350</v>
      </c>
      <c r="N131">
        <v>19380</v>
      </c>
      <c r="O131">
        <v>1581</v>
      </c>
      <c r="P131">
        <v>3993</v>
      </c>
      <c r="Q131">
        <v>13214</v>
      </c>
      <c r="R131">
        <v>0</v>
      </c>
      <c r="S131">
        <v>0</v>
      </c>
      <c r="T131">
        <v>0</v>
      </c>
      <c r="U131">
        <v>0</v>
      </c>
      <c r="V131">
        <v>10571</v>
      </c>
      <c r="W131">
        <v>0</v>
      </c>
      <c r="X131" t="s">
        <v>110</v>
      </c>
      <c r="Y131" t="s">
        <v>98</v>
      </c>
      <c r="Z131" t="s">
        <v>1175</v>
      </c>
      <c r="AA131">
        <v>6</v>
      </c>
      <c r="AB131" t="s">
        <v>1171</v>
      </c>
    </row>
    <row r="132" spans="1:28">
      <c r="A132" t="s">
        <v>1181</v>
      </c>
      <c r="B132" t="s">
        <v>1182</v>
      </c>
      <c r="C132" t="s">
        <v>43</v>
      </c>
      <c r="D132" t="s">
        <v>1384</v>
      </c>
      <c r="E132" t="s">
        <v>93</v>
      </c>
      <c r="F132">
        <v>35300</v>
      </c>
      <c r="G132" t="s">
        <v>110</v>
      </c>
      <c r="H132" t="s">
        <v>37</v>
      </c>
      <c r="I132" t="s">
        <v>1171</v>
      </c>
      <c r="J132" t="s">
        <v>1171</v>
      </c>
      <c r="K132" t="s">
        <v>1187</v>
      </c>
      <c r="L132" t="s">
        <v>1171</v>
      </c>
      <c r="M132" t="s">
        <v>353</v>
      </c>
      <c r="N132">
        <v>19380</v>
      </c>
      <c r="O132">
        <v>1581</v>
      </c>
      <c r="P132">
        <v>3993</v>
      </c>
      <c r="Q132">
        <v>0</v>
      </c>
      <c r="R132">
        <v>0</v>
      </c>
      <c r="S132">
        <v>0</v>
      </c>
      <c r="T132">
        <v>0</v>
      </c>
      <c r="U132">
        <v>13214</v>
      </c>
      <c r="V132">
        <v>10571</v>
      </c>
      <c r="W132">
        <v>0</v>
      </c>
      <c r="X132" t="s">
        <v>32</v>
      </c>
      <c r="Y132" t="s">
        <v>91</v>
      </c>
      <c r="Z132" t="s">
        <v>1175</v>
      </c>
      <c r="AA132">
        <v>6</v>
      </c>
      <c r="AB132" t="s">
        <v>1171</v>
      </c>
    </row>
    <row r="133" spans="1:28">
      <c r="A133" t="s">
        <v>1181</v>
      </c>
      <c r="B133" t="s">
        <v>1182</v>
      </c>
      <c r="C133" t="s">
        <v>43</v>
      </c>
      <c r="D133" t="s">
        <v>1381</v>
      </c>
      <c r="E133" t="s">
        <v>93</v>
      </c>
      <c r="F133">
        <v>35300</v>
      </c>
      <c r="G133" t="s">
        <v>32</v>
      </c>
      <c r="H133" t="s">
        <v>37</v>
      </c>
      <c r="I133" t="s">
        <v>1171</v>
      </c>
      <c r="J133" t="s">
        <v>1171</v>
      </c>
      <c r="K133" t="s">
        <v>1172</v>
      </c>
      <c r="L133" t="s">
        <v>1171</v>
      </c>
      <c r="M133" t="s">
        <v>351</v>
      </c>
      <c r="N133">
        <v>19380</v>
      </c>
      <c r="O133">
        <v>1581</v>
      </c>
      <c r="P133">
        <v>3993</v>
      </c>
      <c r="Q133">
        <v>0</v>
      </c>
      <c r="R133">
        <v>0</v>
      </c>
      <c r="S133">
        <v>13214</v>
      </c>
      <c r="T133">
        <v>0</v>
      </c>
      <c r="U133">
        <v>0</v>
      </c>
      <c r="V133">
        <v>10571</v>
      </c>
      <c r="W133">
        <v>0</v>
      </c>
      <c r="X133" t="s">
        <v>47</v>
      </c>
      <c r="Y133" t="s">
        <v>98</v>
      </c>
      <c r="Z133" t="s">
        <v>1175</v>
      </c>
      <c r="AA133">
        <v>6</v>
      </c>
      <c r="AB133" t="s">
        <v>1171</v>
      </c>
    </row>
    <row r="134" spans="1:28">
      <c r="A134" t="s">
        <v>1181</v>
      </c>
      <c r="B134" t="s">
        <v>1182</v>
      </c>
      <c r="C134" t="s">
        <v>43</v>
      </c>
      <c r="D134" t="s">
        <v>1404</v>
      </c>
      <c r="E134" t="s">
        <v>93</v>
      </c>
      <c r="F134">
        <v>35300</v>
      </c>
      <c r="G134" t="s">
        <v>24</v>
      </c>
      <c r="H134" t="s">
        <v>37</v>
      </c>
      <c r="I134" t="s">
        <v>1171</v>
      </c>
      <c r="J134" t="s">
        <v>1171</v>
      </c>
      <c r="K134" t="s">
        <v>1191</v>
      </c>
      <c r="L134" t="s">
        <v>1171</v>
      </c>
      <c r="M134" t="s">
        <v>357</v>
      </c>
      <c r="N134">
        <v>19380</v>
      </c>
      <c r="O134">
        <v>1581</v>
      </c>
      <c r="P134">
        <v>3993</v>
      </c>
      <c r="Q134">
        <v>0</v>
      </c>
      <c r="R134">
        <v>0</v>
      </c>
      <c r="S134">
        <v>0</v>
      </c>
      <c r="T134">
        <v>13213</v>
      </c>
      <c r="U134">
        <v>0</v>
      </c>
      <c r="V134">
        <v>10571</v>
      </c>
      <c r="W134">
        <v>0</v>
      </c>
      <c r="X134" t="s">
        <v>110</v>
      </c>
      <c r="Y134" t="s">
        <v>98</v>
      </c>
      <c r="Z134" t="s">
        <v>1175</v>
      </c>
      <c r="AA134">
        <v>6</v>
      </c>
      <c r="AB134" t="s">
        <v>1171</v>
      </c>
    </row>
    <row r="135" spans="1:28">
      <c r="A135" t="s">
        <v>1168</v>
      </c>
      <c r="B135" t="s">
        <v>1176</v>
      </c>
      <c r="C135" t="s">
        <v>43</v>
      </c>
      <c r="D135" t="s">
        <v>1405</v>
      </c>
      <c r="E135" t="s">
        <v>93</v>
      </c>
      <c r="F135">
        <v>35300</v>
      </c>
      <c r="G135" t="s">
        <v>32</v>
      </c>
      <c r="H135" t="s">
        <v>110</v>
      </c>
      <c r="I135" t="s">
        <v>37</v>
      </c>
      <c r="J135" t="s">
        <v>1171</v>
      </c>
      <c r="K135" t="s">
        <v>1207</v>
      </c>
      <c r="L135" t="s">
        <v>1226</v>
      </c>
      <c r="M135" t="s">
        <v>342</v>
      </c>
      <c r="N135">
        <v>19380</v>
      </c>
      <c r="O135">
        <v>0</v>
      </c>
      <c r="P135">
        <v>7719</v>
      </c>
      <c r="Q135">
        <v>0</v>
      </c>
      <c r="R135">
        <v>0</v>
      </c>
      <c r="S135">
        <v>9690</v>
      </c>
      <c r="T135">
        <v>0</v>
      </c>
      <c r="U135">
        <v>9690</v>
      </c>
      <c r="V135">
        <v>9690</v>
      </c>
      <c r="W135">
        <v>0</v>
      </c>
      <c r="X135" t="s">
        <v>32</v>
      </c>
      <c r="Y135" t="s">
        <v>37</v>
      </c>
      <c r="Z135" t="s">
        <v>1175</v>
      </c>
      <c r="AA135">
        <v>6</v>
      </c>
      <c r="AB135" t="s">
        <v>1171</v>
      </c>
    </row>
    <row r="136" spans="1:28">
      <c r="A136" t="s">
        <v>1168</v>
      </c>
      <c r="B136" t="s">
        <v>1169</v>
      </c>
      <c r="C136" t="s">
        <v>43</v>
      </c>
      <c r="D136" t="s">
        <v>1406</v>
      </c>
      <c r="E136" t="s">
        <v>93</v>
      </c>
      <c r="F136">
        <v>35300</v>
      </c>
      <c r="G136" t="s">
        <v>24</v>
      </c>
      <c r="H136" t="s">
        <v>1171</v>
      </c>
      <c r="I136" t="s">
        <v>1171</v>
      </c>
      <c r="J136" t="s">
        <v>1171</v>
      </c>
      <c r="K136" t="s">
        <v>24</v>
      </c>
      <c r="L136" t="s">
        <v>1226</v>
      </c>
      <c r="M136" t="s">
        <v>359</v>
      </c>
      <c r="N136">
        <v>19380</v>
      </c>
      <c r="O136">
        <v>0</v>
      </c>
      <c r="P136">
        <v>9556</v>
      </c>
      <c r="Q136">
        <v>0</v>
      </c>
      <c r="R136">
        <v>0</v>
      </c>
      <c r="S136">
        <v>0</v>
      </c>
      <c r="T136">
        <v>22991</v>
      </c>
      <c r="U136">
        <v>0</v>
      </c>
      <c r="V136">
        <v>0</v>
      </c>
      <c r="W136">
        <v>0</v>
      </c>
      <c r="X136" t="s">
        <v>98</v>
      </c>
      <c r="Y136" t="s">
        <v>110</v>
      </c>
      <c r="Z136" t="s">
        <v>1175</v>
      </c>
      <c r="AA136">
        <v>6</v>
      </c>
      <c r="AB136" t="s">
        <v>1171</v>
      </c>
    </row>
    <row r="137" spans="1:28">
      <c r="A137" t="s">
        <v>1168</v>
      </c>
      <c r="B137" t="s">
        <v>1233</v>
      </c>
      <c r="C137" t="s">
        <v>43</v>
      </c>
      <c r="D137" t="s">
        <v>1407</v>
      </c>
      <c r="E137" t="s">
        <v>93</v>
      </c>
      <c r="F137">
        <v>35300</v>
      </c>
      <c r="G137" t="s">
        <v>32</v>
      </c>
      <c r="H137" t="s">
        <v>37</v>
      </c>
      <c r="I137" t="s">
        <v>1171</v>
      </c>
      <c r="J137" t="s">
        <v>1171</v>
      </c>
      <c r="K137" t="s">
        <v>1172</v>
      </c>
      <c r="L137" t="s">
        <v>1226</v>
      </c>
      <c r="M137" t="s">
        <v>343</v>
      </c>
      <c r="N137">
        <v>19380</v>
      </c>
      <c r="O137">
        <v>0</v>
      </c>
      <c r="P137">
        <v>6389</v>
      </c>
      <c r="Q137">
        <v>0</v>
      </c>
      <c r="R137">
        <v>0</v>
      </c>
      <c r="S137">
        <v>12333</v>
      </c>
      <c r="T137">
        <v>0</v>
      </c>
      <c r="U137">
        <v>0</v>
      </c>
      <c r="V137">
        <v>19380</v>
      </c>
      <c r="W137">
        <v>0</v>
      </c>
      <c r="X137" t="s">
        <v>32</v>
      </c>
      <c r="Y137" t="s">
        <v>47</v>
      </c>
      <c r="Z137" t="s">
        <v>1175</v>
      </c>
      <c r="AA137">
        <v>6</v>
      </c>
      <c r="AB137" t="s">
        <v>1171</v>
      </c>
    </row>
    <row r="138" spans="1:28">
      <c r="A138" t="s">
        <v>1168</v>
      </c>
      <c r="B138" t="s">
        <v>1233</v>
      </c>
      <c r="C138" t="s">
        <v>43</v>
      </c>
      <c r="D138" t="s">
        <v>1408</v>
      </c>
      <c r="E138" t="s">
        <v>93</v>
      </c>
      <c r="F138">
        <v>35300</v>
      </c>
      <c r="G138" t="s">
        <v>98</v>
      </c>
      <c r="H138" t="s">
        <v>37</v>
      </c>
      <c r="I138" t="s">
        <v>1171</v>
      </c>
      <c r="J138" t="s">
        <v>1171</v>
      </c>
      <c r="K138" t="s">
        <v>1184</v>
      </c>
      <c r="L138" t="s">
        <v>1226</v>
      </c>
      <c r="M138" t="s">
        <v>341</v>
      </c>
      <c r="N138">
        <v>19380</v>
      </c>
      <c r="O138">
        <v>0</v>
      </c>
      <c r="P138">
        <v>6389</v>
      </c>
      <c r="Q138">
        <v>12333</v>
      </c>
      <c r="R138">
        <v>0</v>
      </c>
      <c r="S138">
        <v>0</v>
      </c>
      <c r="T138">
        <v>0</v>
      </c>
      <c r="U138">
        <v>0</v>
      </c>
      <c r="V138">
        <v>19380</v>
      </c>
      <c r="W138">
        <v>0</v>
      </c>
      <c r="X138" t="s">
        <v>47</v>
      </c>
      <c r="Y138" t="s">
        <v>37</v>
      </c>
      <c r="Z138" t="s">
        <v>1175</v>
      </c>
      <c r="AA138">
        <v>6</v>
      </c>
      <c r="AB138" t="s">
        <v>1171</v>
      </c>
    </row>
    <row r="139" spans="1:28">
      <c r="A139" t="s">
        <v>1168</v>
      </c>
      <c r="B139" t="s">
        <v>1228</v>
      </c>
      <c r="C139" t="s">
        <v>43</v>
      </c>
      <c r="D139" t="s">
        <v>1409</v>
      </c>
      <c r="E139" t="s">
        <v>93</v>
      </c>
      <c r="F139">
        <v>35300</v>
      </c>
      <c r="G139" t="s">
        <v>110</v>
      </c>
      <c r="H139" t="s">
        <v>37</v>
      </c>
      <c r="I139" t="s">
        <v>1171</v>
      </c>
      <c r="J139" t="s">
        <v>1171</v>
      </c>
      <c r="K139" t="s">
        <v>1187</v>
      </c>
      <c r="L139" t="s">
        <v>1226</v>
      </c>
      <c r="M139" t="s">
        <v>344</v>
      </c>
      <c r="N139">
        <v>19380</v>
      </c>
      <c r="O139">
        <v>0</v>
      </c>
      <c r="P139">
        <v>5323</v>
      </c>
      <c r="Q139">
        <v>0</v>
      </c>
      <c r="R139">
        <v>0</v>
      </c>
      <c r="S139">
        <v>0</v>
      </c>
      <c r="T139">
        <v>0</v>
      </c>
      <c r="U139">
        <v>24224</v>
      </c>
      <c r="V139">
        <v>13213</v>
      </c>
      <c r="W139">
        <v>0</v>
      </c>
      <c r="X139" t="s">
        <v>110</v>
      </c>
      <c r="Y139" t="s">
        <v>37</v>
      </c>
      <c r="Z139" t="s">
        <v>1175</v>
      </c>
      <c r="AA139">
        <v>6</v>
      </c>
      <c r="AB139" t="s">
        <v>1171</v>
      </c>
    </row>
    <row r="140" spans="1:28">
      <c r="A140" t="s">
        <v>1168</v>
      </c>
      <c r="B140" t="s">
        <v>1176</v>
      </c>
      <c r="C140" t="s">
        <v>43</v>
      </c>
      <c r="D140" t="s">
        <v>1410</v>
      </c>
      <c r="E140" t="s">
        <v>93</v>
      </c>
      <c r="F140">
        <v>35300</v>
      </c>
      <c r="G140" t="s">
        <v>37</v>
      </c>
      <c r="H140" t="s">
        <v>1171</v>
      </c>
      <c r="I140" t="s">
        <v>1171</v>
      </c>
      <c r="J140" t="s">
        <v>1171</v>
      </c>
      <c r="K140" t="s">
        <v>37</v>
      </c>
      <c r="L140" t="s">
        <v>1226</v>
      </c>
      <c r="M140" t="s">
        <v>347</v>
      </c>
      <c r="N140">
        <v>19380</v>
      </c>
      <c r="O140">
        <v>0</v>
      </c>
      <c r="P140">
        <v>9051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22903</v>
      </c>
      <c r="W140">
        <v>0</v>
      </c>
      <c r="X140" t="s">
        <v>98</v>
      </c>
      <c r="Y140" t="s">
        <v>37</v>
      </c>
      <c r="Z140" t="s">
        <v>1175</v>
      </c>
      <c r="AA140">
        <v>6</v>
      </c>
      <c r="AB140" t="s">
        <v>1171</v>
      </c>
    </row>
    <row r="141" spans="1:28">
      <c r="A141" t="s">
        <v>1168</v>
      </c>
      <c r="B141" t="s">
        <v>1176</v>
      </c>
      <c r="C141" t="s">
        <v>43</v>
      </c>
      <c r="D141" t="s">
        <v>1411</v>
      </c>
      <c r="E141" t="s">
        <v>93</v>
      </c>
      <c r="F141">
        <v>35300</v>
      </c>
      <c r="G141" t="s">
        <v>98</v>
      </c>
      <c r="H141" t="s">
        <v>32</v>
      </c>
      <c r="I141" t="s">
        <v>37</v>
      </c>
      <c r="J141" t="s">
        <v>1171</v>
      </c>
      <c r="K141" t="s">
        <v>1206</v>
      </c>
      <c r="L141" t="s">
        <v>1226</v>
      </c>
      <c r="M141" t="s">
        <v>337</v>
      </c>
      <c r="N141">
        <v>19380</v>
      </c>
      <c r="O141">
        <v>0</v>
      </c>
      <c r="P141">
        <v>7719</v>
      </c>
      <c r="Q141">
        <v>9690</v>
      </c>
      <c r="R141">
        <v>0</v>
      </c>
      <c r="S141">
        <v>9690</v>
      </c>
      <c r="T141">
        <v>0</v>
      </c>
      <c r="U141">
        <v>0</v>
      </c>
      <c r="V141">
        <v>9690</v>
      </c>
      <c r="W141">
        <v>0</v>
      </c>
      <c r="X141" t="s">
        <v>42</v>
      </c>
      <c r="Y141" t="s">
        <v>47</v>
      </c>
      <c r="Z141" t="s">
        <v>1175</v>
      </c>
      <c r="AA141">
        <v>6</v>
      </c>
      <c r="AB141" t="s">
        <v>1171</v>
      </c>
    </row>
    <row r="142" spans="1:28">
      <c r="A142" t="s">
        <v>1168</v>
      </c>
      <c r="B142" t="s">
        <v>1176</v>
      </c>
      <c r="C142" t="s">
        <v>43</v>
      </c>
      <c r="D142" t="s">
        <v>1412</v>
      </c>
      <c r="E142" t="s">
        <v>93</v>
      </c>
      <c r="F142">
        <v>35300</v>
      </c>
      <c r="G142" t="s">
        <v>98</v>
      </c>
      <c r="H142" t="s">
        <v>110</v>
      </c>
      <c r="I142" t="s">
        <v>37</v>
      </c>
      <c r="J142" t="s">
        <v>1171</v>
      </c>
      <c r="K142" t="s">
        <v>1239</v>
      </c>
      <c r="L142" t="s">
        <v>1226</v>
      </c>
      <c r="M142" t="s">
        <v>273</v>
      </c>
      <c r="N142">
        <v>19380</v>
      </c>
      <c r="O142">
        <v>0</v>
      </c>
      <c r="P142">
        <v>7719</v>
      </c>
      <c r="Q142">
        <v>9690</v>
      </c>
      <c r="R142">
        <v>0</v>
      </c>
      <c r="S142">
        <v>0</v>
      </c>
      <c r="T142">
        <v>0</v>
      </c>
      <c r="U142">
        <v>9690</v>
      </c>
      <c r="V142">
        <v>9690</v>
      </c>
      <c r="W142">
        <v>0</v>
      </c>
      <c r="X142" t="s">
        <v>32</v>
      </c>
      <c r="Y142" t="s">
        <v>37</v>
      </c>
      <c r="Z142" t="s">
        <v>1175</v>
      </c>
      <c r="AA142">
        <v>6</v>
      </c>
      <c r="AB142" t="s">
        <v>1171</v>
      </c>
    </row>
    <row r="143" spans="1:28">
      <c r="A143" t="s">
        <v>1168</v>
      </c>
      <c r="B143" t="s">
        <v>1205</v>
      </c>
      <c r="C143" t="s">
        <v>43</v>
      </c>
      <c r="D143" t="s">
        <v>1413</v>
      </c>
      <c r="E143" t="s">
        <v>675</v>
      </c>
      <c r="F143">
        <v>35300</v>
      </c>
      <c r="G143" t="s">
        <v>98</v>
      </c>
      <c r="H143" t="s">
        <v>110</v>
      </c>
      <c r="I143" t="s">
        <v>32</v>
      </c>
      <c r="J143" t="s">
        <v>37</v>
      </c>
      <c r="K143" t="s">
        <v>1331</v>
      </c>
      <c r="L143" t="s">
        <v>1173</v>
      </c>
      <c r="M143" t="s">
        <v>253</v>
      </c>
      <c r="N143">
        <v>19380</v>
      </c>
      <c r="O143">
        <v>0</v>
      </c>
      <c r="P143">
        <v>6255</v>
      </c>
      <c r="Q143">
        <v>8808</v>
      </c>
      <c r="R143">
        <v>0</v>
      </c>
      <c r="S143">
        <v>8808</v>
      </c>
      <c r="T143">
        <v>0</v>
      </c>
      <c r="U143">
        <v>8808</v>
      </c>
      <c r="V143">
        <v>8808</v>
      </c>
      <c r="W143">
        <v>0</v>
      </c>
      <c r="X143" t="s">
        <v>98</v>
      </c>
      <c r="Y143" t="s">
        <v>110</v>
      </c>
      <c r="Z143" t="s">
        <v>1175</v>
      </c>
      <c r="AA143">
        <v>6</v>
      </c>
      <c r="AB143" t="s">
        <v>1171</v>
      </c>
    </row>
    <row r="144" spans="1:28">
      <c r="A144" t="s">
        <v>1168</v>
      </c>
      <c r="B144" t="s">
        <v>1248</v>
      </c>
      <c r="C144" t="s">
        <v>43</v>
      </c>
      <c r="D144" t="s">
        <v>1414</v>
      </c>
      <c r="E144" t="s">
        <v>675</v>
      </c>
      <c r="F144">
        <v>35300</v>
      </c>
      <c r="G144" t="s">
        <v>98</v>
      </c>
      <c r="H144" t="s">
        <v>37</v>
      </c>
      <c r="I144" t="s">
        <v>1171</v>
      </c>
      <c r="J144" t="s">
        <v>1171</v>
      </c>
      <c r="K144" t="s">
        <v>1184</v>
      </c>
      <c r="L144" t="s">
        <v>1173</v>
      </c>
      <c r="M144" t="s">
        <v>332</v>
      </c>
      <c r="N144">
        <v>19380</v>
      </c>
      <c r="O144">
        <v>0</v>
      </c>
      <c r="P144">
        <v>2662</v>
      </c>
      <c r="Q144">
        <v>34354</v>
      </c>
      <c r="R144">
        <v>0</v>
      </c>
      <c r="S144">
        <v>0</v>
      </c>
      <c r="T144">
        <v>0</v>
      </c>
      <c r="U144">
        <v>0</v>
      </c>
      <c r="V144">
        <v>10571</v>
      </c>
      <c r="W144">
        <v>0</v>
      </c>
      <c r="X144" t="s">
        <v>47</v>
      </c>
      <c r="Y144" t="s">
        <v>37</v>
      </c>
      <c r="Z144" t="s">
        <v>1175</v>
      </c>
      <c r="AA144">
        <v>6</v>
      </c>
      <c r="AB144" t="s">
        <v>1171</v>
      </c>
    </row>
    <row r="145" spans="1:28">
      <c r="A145" t="s">
        <v>1168</v>
      </c>
      <c r="B145" t="s">
        <v>1248</v>
      </c>
      <c r="C145" t="s">
        <v>43</v>
      </c>
      <c r="D145" t="s">
        <v>1415</v>
      </c>
      <c r="E145" t="s">
        <v>675</v>
      </c>
      <c r="F145">
        <v>35300</v>
      </c>
      <c r="G145" t="s">
        <v>110</v>
      </c>
      <c r="H145" t="s">
        <v>37</v>
      </c>
      <c r="I145" t="s">
        <v>1171</v>
      </c>
      <c r="J145" t="s">
        <v>1171</v>
      </c>
      <c r="K145" t="s">
        <v>1187</v>
      </c>
      <c r="L145" t="s">
        <v>1173</v>
      </c>
      <c r="M145" t="s">
        <v>340</v>
      </c>
      <c r="N145">
        <v>19380</v>
      </c>
      <c r="O145">
        <v>0</v>
      </c>
      <c r="P145">
        <v>2662</v>
      </c>
      <c r="Q145">
        <v>0</v>
      </c>
      <c r="R145">
        <v>0</v>
      </c>
      <c r="S145">
        <v>0</v>
      </c>
      <c r="T145">
        <v>0</v>
      </c>
      <c r="U145">
        <v>34354</v>
      </c>
      <c r="V145">
        <v>10571</v>
      </c>
      <c r="W145">
        <v>0</v>
      </c>
      <c r="X145" t="s">
        <v>110</v>
      </c>
      <c r="Y145" t="s">
        <v>37</v>
      </c>
      <c r="Z145" t="s">
        <v>1175</v>
      </c>
      <c r="AA145">
        <v>6</v>
      </c>
      <c r="AB145" t="s">
        <v>1171</v>
      </c>
    </row>
    <row r="146" spans="1:28">
      <c r="A146" t="s">
        <v>1168</v>
      </c>
      <c r="B146" t="s">
        <v>1248</v>
      </c>
      <c r="C146" t="s">
        <v>43</v>
      </c>
      <c r="D146" t="s">
        <v>1416</v>
      </c>
      <c r="E146" t="s">
        <v>675</v>
      </c>
      <c r="F146">
        <v>35300</v>
      </c>
      <c r="G146" t="s">
        <v>32</v>
      </c>
      <c r="H146" t="s">
        <v>37</v>
      </c>
      <c r="I146" t="s">
        <v>1171</v>
      </c>
      <c r="J146" t="s">
        <v>1171</v>
      </c>
      <c r="K146" t="s">
        <v>1172</v>
      </c>
      <c r="L146" t="s">
        <v>1173</v>
      </c>
      <c r="M146" t="s">
        <v>334</v>
      </c>
      <c r="N146">
        <v>19380</v>
      </c>
      <c r="O146">
        <v>0</v>
      </c>
      <c r="P146">
        <v>2662</v>
      </c>
      <c r="Q146">
        <v>0</v>
      </c>
      <c r="R146">
        <v>0</v>
      </c>
      <c r="S146">
        <v>34354</v>
      </c>
      <c r="T146">
        <v>0</v>
      </c>
      <c r="U146">
        <v>0</v>
      </c>
      <c r="V146">
        <v>10571</v>
      </c>
      <c r="W146">
        <v>0</v>
      </c>
      <c r="X146" t="s">
        <v>32</v>
      </c>
      <c r="Y146" t="s">
        <v>47</v>
      </c>
      <c r="Z146" t="s">
        <v>1175</v>
      </c>
      <c r="AA146">
        <v>6</v>
      </c>
      <c r="AB146" t="s">
        <v>1171</v>
      </c>
    </row>
    <row r="147" spans="1:28">
      <c r="A147" t="s">
        <v>1168</v>
      </c>
      <c r="B147" t="s">
        <v>1205</v>
      </c>
      <c r="C147" t="s">
        <v>43</v>
      </c>
      <c r="D147" t="s">
        <v>1417</v>
      </c>
      <c r="E147" t="s">
        <v>676</v>
      </c>
      <c r="F147">
        <v>35300</v>
      </c>
      <c r="G147" t="s">
        <v>98</v>
      </c>
      <c r="H147" t="s">
        <v>1171</v>
      </c>
      <c r="I147" t="s">
        <v>1171</v>
      </c>
      <c r="J147" t="s">
        <v>1171</v>
      </c>
      <c r="K147" t="s">
        <v>98</v>
      </c>
      <c r="L147" t="s">
        <v>1173</v>
      </c>
      <c r="M147" t="s">
        <v>333</v>
      </c>
      <c r="N147">
        <v>19380</v>
      </c>
      <c r="O147">
        <v>0</v>
      </c>
      <c r="P147">
        <v>7719</v>
      </c>
      <c r="Q147">
        <v>13213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 t="s">
        <v>42</v>
      </c>
      <c r="Y147" t="s">
        <v>37</v>
      </c>
      <c r="Z147" t="s">
        <v>1175</v>
      </c>
      <c r="AA147">
        <v>6</v>
      </c>
      <c r="AB147" t="s">
        <v>1171</v>
      </c>
    </row>
    <row r="148" spans="1:28">
      <c r="A148" t="s">
        <v>1168</v>
      </c>
      <c r="B148" t="s">
        <v>1248</v>
      </c>
      <c r="C148" t="s">
        <v>43</v>
      </c>
      <c r="D148" t="s">
        <v>1418</v>
      </c>
      <c r="E148" t="s">
        <v>677</v>
      </c>
      <c r="F148">
        <v>35300</v>
      </c>
      <c r="G148" t="s">
        <v>32</v>
      </c>
      <c r="H148" t="s">
        <v>1171</v>
      </c>
      <c r="I148" t="s">
        <v>1171</v>
      </c>
      <c r="J148" t="s">
        <v>1171</v>
      </c>
      <c r="K148" t="s">
        <v>32</v>
      </c>
      <c r="L148" t="s">
        <v>1173</v>
      </c>
      <c r="M148" t="s">
        <v>336</v>
      </c>
      <c r="N148">
        <v>19380</v>
      </c>
      <c r="O148">
        <v>0</v>
      </c>
      <c r="P148">
        <v>7719</v>
      </c>
      <c r="Q148">
        <v>0</v>
      </c>
      <c r="R148">
        <v>0</v>
      </c>
      <c r="S148">
        <v>13213</v>
      </c>
      <c r="T148">
        <v>0</v>
      </c>
      <c r="U148">
        <v>0</v>
      </c>
      <c r="V148">
        <v>0</v>
      </c>
      <c r="W148">
        <v>0</v>
      </c>
      <c r="X148" t="s">
        <v>32</v>
      </c>
      <c r="Y148" t="s">
        <v>37</v>
      </c>
      <c r="Z148" t="s">
        <v>1175</v>
      </c>
      <c r="AA148">
        <v>6</v>
      </c>
      <c r="AB148" t="s">
        <v>1171</v>
      </c>
    </row>
    <row r="149" spans="1:28">
      <c r="A149" t="s">
        <v>1168</v>
      </c>
      <c r="B149" t="s">
        <v>1169</v>
      </c>
      <c r="C149" t="s">
        <v>43</v>
      </c>
      <c r="D149" t="s">
        <v>1419</v>
      </c>
      <c r="E149" t="s">
        <v>675</v>
      </c>
      <c r="F149">
        <v>35300</v>
      </c>
      <c r="G149" t="s">
        <v>24</v>
      </c>
      <c r="H149" t="s">
        <v>1171</v>
      </c>
      <c r="I149" t="s">
        <v>1171</v>
      </c>
      <c r="J149" t="s">
        <v>1171</v>
      </c>
      <c r="K149" t="s">
        <v>24</v>
      </c>
      <c r="L149" t="s">
        <v>1173</v>
      </c>
      <c r="M149" t="s">
        <v>358</v>
      </c>
      <c r="N149">
        <v>19380</v>
      </c>
      <c r="O149">
        <v>0</v>
      </c>
      <c r="P149">
        <v>9556</v>
      </c>
      <c r="Q149">
        <v>0</v>
      </c>
      <c r="R149">
        <v>0</v>
      </c>
      <c r="S149">
        <v>0</v>
      </c>
      <c r="T149">
        <v>22991</v>
      </c>
      <c r="U149">
        <v>0</v>
      </c>
      <c r="V149">
        <v>0</v>
      </c>
      <c r="W149">
        <v>0</v>
      </c>
      <c r="X149" t="s">
        <v>98</v>
      </c>
      <c r="Y149" t="s">
        <v>110</v>
      </c>
      <c r="Z149" t="s">
        <v>1175</v>
      </c>
      <c r="AA149">
        <v>6</v>
      </c>
      <c r="AB149" t="s">
        <v>1171</v>
      </c>
    </row>
    <row r="150" spans="1:28">
      <c r="A150" t="s">
        <v>1181</v>
      </c>
      <c r="B150" t="s">
        <v>1182</v>
      </c>
      <c r="C150" t="s">
        <v>43</v>
      </c>
      <c r="D150" t="s">
        <v>1420</v>
      </c>
      <c r="E150" t="s">
        <v>93</v>
      </c>
      <c r="F150">
        <v>35300</v>
      </c>
      <c r="G150" t="s">
        <v>110</v>
      </c>
      <c r="H150" t="s">
        <v>37</v>
      </c>
      <c r="I150" t="s">
        <v>1171</v>
      </c>
      <c r="J150" t="s">
        <v>1171</v>
      </c>
      <c r="K150" t="s">
        <v>1187</v>
      </c>
      <c r="L150" t="s">
        <v>1171</v>
      </c>
      <c r="M150" t="s">
        <v>354</v>
      </c>
      <c r="N150">
        <v>19380</v>
      </c>
      <c r="O150">
        <v>1581</v>
      </c>
      <c r="P150">
        <v>3993</v>
      </c>
      <c r="Q150">
        <v>0</v>
      </c>
      <c r="R150">
        <v>0</v>
      </c>
      <c r="S150">
        <v>0</v>
      </c>
      <c r="T150">
        <v>0</v>
      </c>
      <c r="U150">
        <v>13214</v>
      </c>
      <c r="V150">
        <v>10571</v>
      </c>
      <c r="W150">
        <v>0</v>
      </c>
      <c r="X150" t="s">
        <v>32</v>
      </c>
      <c r="Y150" t="s">
        <v>91</v>
      </c>
      <c r="Z150" t="s">
        <v>1175</v>
      </c>
      <c r="AA150">
        <v>6</v>
      </c>
      <c r="AB150" t="s">
        <v>1171</v>
      </c>
    </row>
    <row r="151" spans="1:28">
      <c r="A151" t="s">
        <v>1181</v>
      </c>
      <c r="B151" t="s">
        <v>1182</v>
      </c>
      <c r="C151" t="s">
        <v>43</v>
      </c>
      <c r="D151" t="s">
        <v>1421</v>
      </c>
      <c r="E151" t="s">
        <v>93</v>
      </c>
      <c r="F151">
        <v>35300</v>
      </c>
      <c r="G151" t="s">
        <v>32</v>
      </c>
      <c r="H151" t="s">
        <v>37</v>
      </c>
      <c r="I151" t="s">
        <v>1171</v>
      </c>
      <c r="J151" t="s">
        <v>1171</v>
      </c>
      <c r="K151" t="s">
        <v>1172</v>
      </c>
      <c r="L151" t="s">
        <v>1171</v>
      </c>
      <c r="M151" t="s">
        <v>352</v>
      </c>
      <c r="N151">
        <v>19380</v>
      </c>
      <c r="O151">
        <v>1581</v>
      </c>
      <c r="P151">
        <v>3993</v>
      </c>
      <c r="Q151">
        <v>0</v>
      </c>
      <c r="R151">
        <v>0</v>
      </c>
      <c r="S151">
        <v>13214</v>
      </c>
      <c r="T151">
        <v>0</v>
      </c>
      <c r="U151">
        <v>0</v>
      </c>
      <c r="V151">
        <v>10571</v>
      </c>
      <c r="W151">
        <v>0</v>
      </c>
      <c r="X151" t="s">
        <v>47</v>
      </c>
      <c r="Y151" t="s">
        <v>98</v>
      </c>
      <c r="Z151" t="s">
        <v>1175</v>
      </c>
      <c r="AA151">
        <v>6</v>
      </c>
      <c r="AB151" t="s">
        <v>1171</v>
      </c>
    </row>
    <row r="152" spans="1:28">
      <c r="A152" t="s">
        <v>1181</v>
      </c>
      <c r="B152" t="s">
        <v>1182</v>
      </c>
      <c r="C152" t="s">
        <v>22</v>
      </c>
      <c r="D152" t="s">
        <v>1422</v>
      </c>
      <c r="E152" t="s">
        <v>598</v>
      </c>
      <c r="F152">
        <v>42100</v>
      </c>
      <c r="G152" t="s">
        <v>110</v>
      </c>
      <c r="H152" t="s">
        <v>37</v>
      </c>
      <c r="I152" t="s">
        <v>1171</v>
      </c>
      <c r="J152" t="s">
        <v>1171</v>
      </c>
      <c r="K152" t="s">
        <v>1187</v>
      </c>
      <c r="L152" t="s">
        <v>1171</v>
      </c>
      <c r="M152" t="s">
        <v>1423</v>
      </c>
      <c r="N152">
        <v>20801</v>
      </c>
      <c r="O152">
        <v>1697</v>
      </c>
      <c r="P152">
        <v>4286</v>
      </c>
      <c r="Q152">
        <v>0</v>
      </c>
      <c r="R152">
        <v>0</v>
      </c>
      <c r="S152">
        <v>0</v>
      </c>
      <c r="T152">
        <v>0</v>
      </c>
      <c r="U152">
        <v>14183</v>
      </c>
      <c r="V152">
        <v>11347</v>
      </c>
      <c r="W152">
        <v>0</v>
      </c>
      <c r="X152" t="s">
        <v>98</v>
      </c>
      <c r="Y152" t="s">
        <v>47</v>
      </c>
      <c r="Z152" t="s">
        <v>1175</v>
      </c>
      <c r="AA152">
        <v>6</v>
      </c>
      <c r="AB152" t="s">
        <v>1171</v>
      </c>
    </row>
    <row r="153" spans="1:28">
      <c r="A153" t="s">
        <v>1168</v>
      </c>
      <c r="B153" t="s">
        <v>1176</v>
      </c>
      <c r="C153" t="s">
        <v>22</v>
      </c>
      <c r="D153" t="s">
        <v>926</v>
      </c>
      <c r="E153" t="s">
        <v>694</v>
      </c>
      <c r="F153">
        <v>41400</v>
      </c>
      <c r="G153" t="s">
        <v>98</v>
      </c>
      <c r="H153" t="s">
        <v>42</v>
      </c>
      <c r="I153" t="s">
        <v>110</v>
      </c>
      <c r="J153" t="s">
        <v>1171</v>
      </c>
      <c r="K153" t="s">
        <v>1179</v>
      </c>
      <c r="L153" t="s">
        <v>1173</v>
      </c>
      <c r="M153" t="s">
        <v>1424</v>
      </c>
      <c r="N153">
        <v>20456</v>
      </c>
      <c r="O153">
        <v>0</v>
      </c>
      <c r="P153">
        <v>8149</v>
      </c>
      <c r="Q153">
        <v>16737</v>
      </c>
      <c r="R153">
        <v>6974</v>
      </c>
      <c r="S153">
        <v>0</v>
      </c>
      <c r="T153">
        <v>0</v>
      </c>
      <c r="U153">
        <v>6974</v>
      </c>
      <c r="V153">
        <v>0</v>
      </c>
      <c r="W153">
        <v>0</v>
      </c>
      <c r="X153" t="s">
        <v>32</v>
      </c>
      <c r="Y153" t="s">
        <v>47</v>
      </c>
      <c r="Z153" t="s">
        <v>1175</v>
      </c>
      <c r="AA153">
        <v>6</v>
      </c>
      <c r="AB153" t="s">
        <v>1171</v>
      </c>
    </row>
    <row r="154" spans="1:28">
      <c r="A154" t="s">
        <v>1168</v>
      </c>
      <c r="B154" t="s">
        <v>1169</v>
      </c>
      <c r="C154" t="s">
        <v>22</v>
      </c>
      <c r="D154" t="s">
        <v>926</v>
      </c>
      <c r="E154" t="s">
        <v>694</v>
      </c>
      <c r="F154">
        <v>41400</v>
      </c>
      <c r="G154" t="s">
        <v>98</v>
      </c>
      <c r="H154" t="s">
        <v>37</v>
      </c>
      <c r="I154" t="s">
        <v>1171</v>
      </c>
      <c r="J154" t="s">
        <v>1171</v>
      </c>
      <c r="K154" t="s">
        <v>1184</v>
      </c>
      <c r="L154" t="s">
        <v>1173</v>
      </c>
      <c r="M154" t="s">
        <v>1425</v>
      </c>
      <c r="N154">
        <v>20456</v>
      </c>
      <c r="O154">
        <v>0</v>
      </c>
      <c r="P154">
        <v>2809</v>
      </c>
      <c r="Q154">
        <v>36262</v>
      </c>
      <c r="R154">
        <v>0</v>
      </c>
      <c r="S154">
        <v>0</v>
      </c>
      <c r="T154">
        <v>0</v>
      </c>
      <c r="U154">
        <v>0</v>
      </c>
      <c r="V154">
        <v>11158</v>
      </c>
      <c r="W154">
        <v>0</v>
      </c>
      <c r="X154" t="s">
        <v>47</v>
      </c>
      <c r="Y154" t="s">
        <v>37</v>
      </c>
      <c r="Z154" t="s">
        <v>1175</v>
      </c>
      <c r="AA154">
        <v>6</v>
      </c>
      <c r="AB154" t="s">
        <v>1171</v>
      </c>
    </row>
    <row r="155" spans="1:28">
      <c r="A155" t="s">
        <v>1168</v>
      </c>
      <c r="B155" t="s">
        <v>1205</v>
      </c>
      <c r="C155" t="s">
        <v>22</v>
      </c>
      <c r="D155" t="s">
        <v>926</v>
      </c>
      <c r="E155" t="s">
        <v>694</v>
      </c>
      <c r="F155">
        <v>41400</v>
      </c>
      <c r="G155" t="s">
        <v>98</v>
      </c>
      <c r="H155" t="s">
        <v>110</v>
      </c>
      <c r="I155" t="s">
        <v>32</v>
      </c>
      <c r="J155" t="s">
        <v>37</v>
      </c>
      <c r="K155" t="s">
        <v>1331</v>
      </c>
      <c r="L155" t="s">
        <v>1173</v>
      </c>
      <c r="M155" t="s">
        <v>1426</v>
      </c>
      <c r="N155">
        <v>20456</v>
      </c>
      <c r="O155">
        <v>0</v>
      </c>
      <c r="P155">
        <v>6603</v>
      </c>
      <c r="Q155">
        <v>9297</v>
      </c>
      <c r="R155">
        <v>0</v>
      </c>
      <c r="S155">
        <v>9297</v>
      </c>
      <c r="T155">
        <v>0</v>
      </c>
      <c r="U155">
        <v>9297</v>
      </c>
      <c r="V155">
        <v>9297</v>
      </c>
      <c r="W155">
        <v>0</v>
      </c>
      <c r="X155" t="s">
        <v>98</v>
      </c>
      <c r="Y155" t="s">
        <v>110</v>
      </c>
      <c r="Z155" t="s">
        <v>1175</v>
      </c>
      <c r="AA155">
        <v>6</v>
      </c>
      <c r="AB155" t="s">
        <v>1171</v>
      </c>
    </row>
    <row r="156" spans="1:28">
      <c r="A156" t="s">
        <v>1181</v>
      </c>
      <c r="B156" t="s">
        <v>1182</v>
      </c>
      <c r="C156" t="s">
        <v>22</v>
      </c>
      <c r="D156" t="s">
        <v>1427</v>
      </c>
      <c r="E156" t="s">
        <v>93</v>
      </c>
      <c r="F156">
        <v>41400</v>
      </c>
      <c r="G156" t="s">
        <v>98</v>
      </c>
      <c r="H156" t="s">
        <v>37</v>
      </c>
      <c r="I156" t="s">
        <v>1171</v>
      </c>
      <c r="J156" t="s">
        <v>1171</v>
      </c>
      <c r="K156" t="s">
        <v>1184</v>
      </c>
      <c r="L156" t="s">
        <v>1171</v>
      </c>
      <c r="M156" t="s">
        <v>1428</v>
      </c>
      <c r="N156">
        <v>20456</v>
      </c>
      <c r="O156">
        <v>1669</v>
      </c>
      <c r="P156">
        <v>4215</v>
      </c>
      <c r="Q156">
        <v>13947</v>
      </c>
      <c r="R156">
        <v>0</v>
      </c>
      <c r="S156">
        <v>0</v>
      </c>
      <c r="T156">
        <v>0</v>
      </c>
      <c r="U156">
        <v>0</v>
      </c>
      <c r="V156">
        <v>11158</v>
      </c>
      <c r="W156">
        <v>0</v>
      </c>
      <c r="X156" t="s">
        <v>32</v>
      </c>
      <c r="Y156" t="s">
        <v>37</v>
      </c>
      <c r="Z156" t="s">
        <v>1175</v>
      </c>
      <c r="AA156">
        <v>6</v>
      </c>
      <c r="AB156" t="s">
        <v>1171</v>
      </c>
    </row>
    <row r="157" spans="1:28">
      <c r="A157" t="s">
        <v>1181</v>
      </c>
      <c r="B157" t="s">
        <v>1182</v>
      </c>
      <c r="C157" t="s">
        <v>22</v>
      </c>
      <c r="D157" t="s">
        <v>1429</v>
      </c>
      <c r="E157" t="s">
        <v>93</v>
      </c>
      <c r="F157">
        <v>41400</v>
      </c>
      <c r="G157" t="s">
        <v>24</v>
      </c>
      <c r="H157" t="s">
        <v>37</v>
      </c>
      <c r="I157" t="s">
        <v>1171</v>
      </c>
      <c r="J157" t="s">
        <v>1171</v>
      </c>
      <c r="K157" t="s">
        <v>1191</v>
      </c>
      <c r="L157" t="s">
        <v>1171</v>
      </c>
      <c r="M157" t="s">
        <v>1430</v>
      </c>
      <c r="N157">
        <v>20456</v>
      </c>
      <c r="O157">
        <v>1669</v>
      </c>
      <c r="P157">
        <v>4215</v>
      </c>
      <c r="Q157">
        <v>0</v>
      </c>
      <c r="R157">
        <v>0</v>
      </c>
      <c r="S157">
        <v>0</v>
      </c>
      <c r="T157">
        <v>13947</v>
      </c>
      <c r="U157">
        <v>0</v>
      </c>
      <c r="V157">
        <v>11158</v>
      </c>
      <c r="W157">
        <v>0</v>
      </c>
      <c r="X157" t="s">
        <v>37</v>
      </c>
      <c r="Y157" t="s">
        <v>47</v>
      </c>
      <c r="Z157" t="s">
        <v>1175</v>
      </c>
      <c r="AA157">
        <v>6</v>
      </c>
      <c r="AB157" t="s">
        <v>1171</v>
      </c>
    </row>
    <row r="158" spans="1:28">
      <c r="A158" t="s">
        <v>1181</v>
      </c>
      <c r="B158" t="s">
        <v>1182</v>
      </c>
      <c r="C158" t="s">
        <v>22</v>
      </c>
      <c r="D158" t="s">
        <v>1431</v>
      </c>
      <c r="E158" t="s">
        <v>93</v>
      </c>
      <c r="F158">
        <v>41400</v>
      </c>
      <c r="G158" t="s">
        <v>110</v>
      </c>
      <c r="H158" t="s">
        <v>37</v>
      </c>
      <c r="I158" t="s">
        <v>1171</v>
      </c>
      <c r="J158" t="s">
        <v>1171</v>
      </c>
      <c r="K158" t="s">
        <v>1187</v>
      </c>
      <c r="L158" t="s">
        <v>1171</v>
      </c>
      <c r="M158" t="s">
        <v>1432</v>
      </c>
      <c r="N158">
        <v>20456</v>
      </c>
      <c r="O158">
        <v>1669</v>
      </c>
      <c r="P158">
        <v>4215</v>
      </c>
      <c r="Q158">
        <v>0</v>
      </c>
      <c r="R158">
        <v>0</v>
      </c>
      <c r="S158">
        <v>0</v>
      </c>
      <c r="T158">
        <v>0</v>
      </c>
      <c r="U158">
        <v>13947</v>
      </c>
      <c r="V158">
        <v>11158</v>
      </c>
      <c r="W158">
        <v>0</v>
      </c>
      <c r="X158" t="s">
        <v>98</v>
      </c>
      <c r="Y158" t="s">
        <v>47</v>
      </c>
      <c r="Z158" t="s">
        <v>1175</v>
      </c>
      <c r="AA158">
        <v>6</v>
      </c>
      <c r="AB158" t="s">
        <v>1171</v>
      </c>
    </row>
    <row r="159" spans="1:28">
      <c r="A159" t="s">
        <v>1181</v>
      </c>
      <c r="B159" t="s">
        <v>1182</v>
      </c>
      <c r="C159" t="s">
        <v>22</v>
      </c>
      <c r="D159" t="s">
        <v>1433</v>
      </c>
      <c r="E159" t="s">
        <v>93</v>
      </c>
      <c r="F159">
        <v>41400</v>
      </c>
      <c r="G159" t="s">
        <v>110</v>
      </c>
      <c r="H159" t="s">
        <v>37</v>
      </c>
      <c r="I159" t="s">
        <v>1171</v>
      </c>
      <c r="J159" t="s">
        <v>1171</v>
      </c>
      <c r="K159" t="s">
        <v>1187</v>
      </c>
      <c r="L159" t="s">
        <v>1171</v>
      </c>
      <c r="M159" t="s">
        <v>1434</v>
      </c>
      <c r="N159">
        <v>20456</v>
      </c>
      <c r="O159">
        <v>1669</v>
      </c>
      <c r="P159">
        <v>4215</v>
      </c>
      <c r="Q159">
        <v>0</v>
      </c>
      <c r="R159">
        <v>0</v>
      </c>
      <c r="S159">
        <v>0</v>
      </c>
      <c r="T159">
        <v>0</v>
      </c>
      <c r="U159">
        <v>13947</v>
      </c>
      <c r="V159">
        <v>11158</v>
      </c>
      <c r="W159">
        <v>0</v>
      </c>
      <c r="X159" t="s">
        <v>98</v>
      </c>
      <c r="Y159" t="s">
        <v>47</v>
      </c>
      <c r="Z159" t="s">
        <v>1175</v>
      </c>
      <c r="AA159">
        <v>6</v>
      </c>
      <c r="AB159" t="s">
        <v>1171</v>
      </c>
    </row>
    <row r="160" spans="1:28">
      <c r="A160" t="s">
        <v>1181</v>
      </c>
      <c r="B160" t="s">
        <v>1182</v>
      </c>
      <c r="C160" t="s">
        <v>22</v>
      </c>
      <c r="D160" t="s">
        <v>1435</v>
      </c>
      <c r="E160" t="s">
        <v>787</v>
      </c>
      <c r="F160">
        <v>41400</v>
      </c>
      <c r="G160" t="s">
        <v>32</v>
      </c>
      <c r="H160" t="s">
        <v>37</v>
      </c>
      <c r="I160" t="s">
        <v>1171</v>
      </c>
      <c r="J160" t="s">
        <v>1171</v>
      </c>
      <c r="K160" t="s">
        <v>1172</v>
      </c>
      <c r="L160" t="s">
        <v>1171</v>
      </c>
      <c r="M160" t="s">
        <v>247</v>
      </c>
      <c r="N160">
        <v>20456</v>
      </c>
      <c r="O160">
        <v>1669</v>
      </c>
      <c r="P160">
        <v>4215</v>
      </c>
      <c r="Q160">
        <v>0</v>
      </c>
      <c r="R160">
        <v>0</v>
      </c>
      <c r="S160">
        <v>13947</v>
      </c>
      <c r="T160">
        <v>0</v>
      </c>
      <c r="U160">
        <v>0</v>
      </c>
      <c r="V160">
        <v>11158</v>
      </c>
      <c r="W160">
        <v>0</v>
      </c>
      <c r="X160" t="s">
        <v>91</v>
      </c>
      <c r="Y160" t="s">
        <v>32</v>
      </c>
      <c r="Z160" t="s">
        <v>1175</v>
      </c>
      <c r="AA160">
        <v>6</v>
      </c>
      <c r="AB160" t="s">
        <v>1171</v>
      </c>
    </row>
    <row r="161" spans="1:28">
      <c r="A161" t="s">
        <v>1168</v>
      </c>
      <c r="B161" t="s">
        <v>1169</v>
      </c>
      <c r="C161" t="s">
        <v>22</v>
      </c>
      <c r="D161" t="s">
        <v>926</v>
      </c>
      <c r="E161" t="s">
        <v>106</v>
      </c>
      <c r="F161">
        <v>38100</v>
      </c>
      <c r="G161" t="s">
        <v>32</v>
      </c>
      <c r="H161" t="s">
        <v>37</v>
      </c>
      <c r="I161" t="s">
        <v>1171</v>
      </c>
      <c r="J161" t="s">
        <v>1171</v>
      </c>
      <c r="K161" t="s">
        <v>1172</v>
      </c>
      <c r="L161" t="s">
        <v>1173</v>
      </c>
      <c r="M161" t="s">
        <v>1436</v>
      </c>
      <c r="N161">
        <v>18825</v>
      </c>
      <c r="O161">
        <v>0</v>
      </c>
      <c r="P161">
        <v>2585</v>
      </c>
      <c r="Q161">
        <v>0</v>
      </c>
      <c r="R161">
        <v>0</v>
      </c>
      <c r="S161">
        <v>33371</v>
      </c>
      <c r="T161">
        <v>0</v>
      </c>
      <c r="U161">
        <v>0</v>
      </c>
      <c r="V161">
        <v>10269</v>
      </c>
      <c r="W161">
        <v>0</v>
      </c>
      <c r="X161" t="s">
        <v>47</v>
      </c>
      <c r="Y161" t="s">
        <v>32</v>
      </c>
      <c r="Z161" t="s">
        <v>1175</v>
      </c>
      <c r="AA161">
        <v>6</v>
      </c>
      <c r="AB161" t="s">
        <v>1171</v>
      </c>
    </row>
    <row r="162" spans="1:28">
      <c r="A162" t="s">
        <v>1168</v>
      </c>
      <c r="B162" t="s">
        <v>1176</v>
      </c>
      <c r="C162" t="s">
        <v>22</v>
      </c>
      <c r="D162" t="s">
        <v>926</v>
      </c>
      <c r="E162" t="s">
        <v>106</v>
      </c>
      <c r="F162">
        <v>38100</v>
      </c>
      <c r="G162" t="s">
        <v>98</v>
      </c>
      <c r="H162" t="s">
        <v>42</v>
      </c>
      <c r="I162" t="s">
        <v>37</v>
      </c>
      <c r="J162" t="s">
        <v>1171</v>
      </c>
      <c r="K162" t="s">
        <v>1177</v>
      </c>
      <c r="L162" t="s">
        <v>1173</v>
      </c>
      <c r="M162" t="s">
        <v>1437</v>
      </c>
      <c r="N162">
        <v>18825</v>
      </c>
      <c r="O162">
        <v>0</v>
      </c>
      <c r="P162">
        <v>7499</v>
      </c>
      <c r="Q162">
        <v>15403</v>
      </c>
      <c r="R162">
        <v>6418</v>
      </c>
      <c r="S162">
        <v>0</v>
      </c>
      <c r="T162">
        <v>0</v>
      </c>
      <c r="U162">
        <v>0</v>
      </c>
      <c r="V162">
        <v>6418</v>
      </c>
      <c r="W162">
        <v>0</v>
      </c>
      <c r="X162" t="s">
        <v>37</v>
      </c>
      <c r="Y162" t="s">
        <v>32</v>
      </c>
      <c r="Z162" t="s">
        <v>1175</v>
      </c>
      <c r="AA162">
        <v>6</v>
      </c>
      <c r="AB162" t="s">
        <v>1171</v>
      </c>
    </row>
    <row r="163" spans="1:28">
      <c r="A163" t="s">
        <v>1168</v>
      </c>
      <c r="B163" t="s">
        <v>1193</v>
      </c>
      <c r="C163" t="s">
        <v>22</v>
      </c>
      <c r="D163" t="s">
        <v>926</v>
      </c>
      <c r="E163" t="s">
        <v>106</v>
      </c>
      <c r="F163">
        <v>38100</v>
      </c>
      <c r="G163" t="s">
        <v>110</v>
      </c>
      <c r="H163" t="s">
        <v>37</v>
      </c>
      <c r="I163" t="s">
        <v>1171</v>
      </c>
      <c r="J163" t="s">
        <v>1171</v>
      </c>
      <c r="K163" t="s">
        <v>1187</v>
      </c>
      <c r="L163" t="s">
        <v>1173</v>
      </c>
      <c r="M163" t="s">
        <v>1438</v>
      </c>
      <c r="N163">
        <v>18825</v>
      </c>
      <c r="O163">
        <v>0</v>
      </c>
      <c r="P163">
        <v>2585</v>
      </c>
      <c r="Q163">
        <v>0</v>
      </c>
      <c r="R163">
        <v>0</v>
      </c>
      <c r="S163">
        <v>0</v>
      </c>
      <c r="T163">
        <v>0</v>
      </c>
      <c r="U163">
        <v>34228</v>
      </c>
      <c r="V163">
        <v>10269</v>
      </c>
      <c r="W163">
        <v>0</v>
      </c>
      <c r="X163" t="s">
        <v>37</v>
      </c>
      <c r="Y163" t="s">
        <v>110</v>
      </c>
      <c r="Z163" t="s">
        <v>1175</v>
      </c>
      <c r="AA163">
        <v>6</v>
      </c>
      <c r="AB163" t="s">
        <v>1171</v>
      </c>
    </row>
    <row r="164" spans="1:28">
      <c r="A164" t="s">
        <v>1181</v>
      </c>
      <c r="B164" t="s">
        <v>1182</v>
      </c>
      <c r="C164" t="s">
        <v>22</v>
      </c>
      <c r="D164" t="s">
        <v>1439</v>
      </c>
      <c r="E164" t="s">
        <v>601</v>
      </c>
      <c r="F164">
        <v>35900</v>
      </c>
      <c r="G164" t="s">
        <v>110</v>
      </c>
      <c r="H164" t="s">
        <v>37</v>
      </c>
      <c r="I164" t="s">
        <v>1171</v>
      </c>
      <c r="J164" t="s">
        <v>1171</v>
      </c>
      <c r="K164" t="s">
        <v>1187</v>
      </c>
      <c r="L164" t="s">
        <v>1171</v>
      </c>
      <c r="M164" t="s">
        <v>1440</v>
      </c>
      <c r="N164">
        <v>17738</v>
      </c>
      <c r="O164">
        <v>1447</v>
      </c>
      <c r="P164">
        <v>3655</v>
      </c>
      <c r="Q164">
        <v>0</v>
      </c>
      <c r="R164">
        <v>0</v>
      </c>
      <c r="S164">
        <v>0</v>
      </c>
      <c r="T164">
        <v>0</v>
      </c>
      <c r="U164">
        <v>12094</v>
      </c>
      <c r="V164">
        <v>9676</v>
      </c>
      <c r="W164">
        <v>0</v>
      </c>
      <c r="X164" t="s">
        <v>98</v>
      </c>
      <c r="Y164" t="s">
        <v>47</v>
      </c>
      <c r="Z164" t="s">
        <v>1175</v>
      </c>
      <c r="AA164">
        <v>6</v>
      </c>
      <c r="AB164" t="s">
        <v>1171</v>
      </c>
    </row>
    <row r="165" spans="1:28">
      <c r="A165" t="s">
        <v>1181</v>
      </c>
      <c r="B165" t="s">
        <v>1182</v>
      </c>
      <c r="C165" t="s">
        <v>22</v>
      </c>
      <c r="D165" t="s">
        <v>1441</v>
      </c>
      <c r="E165" t="s">
        <v>93</v>
      </c>
      <c r="F165">
        <v>35300</v>
      </c>
      <c r="G165" t="s">
        <v>98</v>
      </c>
      <c r="H165" t="s">
        <v>37</v>
      </c>
      <c r="I165" t="s">
        <v>1171</v>
      </c>
      <c r="J165" t="s">
        <v>1171</v>
      </c>
      <c r="K165" t="s">
        <v>1184</v>
      </c>
      <c r="L165" t="s">
        <v>1171</v>
      </c>
      <c r="M165" t="s">
        <v>1442</v>
      </c>
      <c r="N165">
        <v>17442</v>
      </c>
      <c r="O165">
        <v>1423</v>
      </c>
      <c r="P165">
        <v>3594</v>
      </c>
      <c r="Q165">
        <v>11892</v>
      </c>
      <c r="R165">
        <v>0</v>
      </c>
      <c r="S165">
        <v>0</v>
      </c>
      <c r="T165">
        <v>0</v>
      </c>
      <c r="U165">
        <v>0</v>
      </c>
      <c r="V165">
        <v>9514</v>
      </c>
      <c r="W165">
        <v>0</v>
      </c>
      <c r="X165" t="s">
        <v>32</v>
      </c>
      <c r="Y165" t="s">
        <v>37</v>
      </c>
      <c r="Z165" t="s">
        <v>1175</v>
      </c>
      <c r="AA165">
        <v>6</v>
      </c>
      <c r="AB165" t="s">
        <v>1171</v>
      </c>
    </row>
    <row r="166" spans="1:28">
      <c r="A166" t="s">
        <v>1181</v>
      </c>
      <c r="B166" t="s">
        <v>1182</v>
      </c>
      <c r="C166" t="s">
        <v>22</v>
      </c>
      <c r="D166" t="s">
        <v>1431</v>
      </c>
      <c r="E166" t="s">
        <v>93</v>
      </c>
      <c r="F166">
        <v>35300</v>
      </c>
      <c r="G166" t="s">
        <v>110</v>
      </c>
      <c r="H166" t="s">
        <v>37</v>
      </c>
      <c r="I166" t="s">
        <v>1171</v>
      </c>
      <c r="J166" t="s">
        <v>1171</v>
      </c>
      <c r="K166" t="s">
        <v>1187</v>
      </c>
      <c r="L166" t="s">
        <v>1171</v>
      </c>
      <c r="M166" t="s">
        <v>1443</v>
      </c>
      <c r="N166">
        <v>17442</v>
      </c>
      <c r="O166">
        <v>1423</v>
      </c>
      <c r="P166">
        <v>3594</v>
      </c>
      <c r="Q166">
        <v>0</v>
      </c>
      <c r="R166">
        <v>0</v>
      </c>
      <c r="S166">
        <v>0</v>
      </c>
      <c r="T166">
        <v>0</v>
      </c>
      <c r="U166">
        <v>11892</v>
      </c>
      <c r="V166">
        <v>9514</v>
      </c>
      <c r="W166">
        <v>0</v>
      </c>
      <c r="X166" t="s">
        <v>98</v>
      </c>
      <c r="Y166" t="s">
        <v>47</v>
      </c>
      <c r="Z166" t="s">
        <v>1175</v>
      </c>
      <c r="AA166">
        <v>6</v>
      </c>
      <c r="AB166" t="s">
        <v>1171</v>
      </c>
    </row>
    <row r="167" spans="1:28">
      <c r="A167" t="s">
        <v>1181</v>
      </c>
      <c r="B167" t="s">
        <v>1182</v>
      </c>
      <c r="C167" t="s">
        <v>22</v>
      </c>
      <c r="D167" t="s">
        <v>1444</v>
      </c>
      <c r="E167" t="s">
        <v>93</v>
      </c>
      <c r="F167">
        <v>35300</v>
      </c>
      <c r="G167" t="s">
        <v>110</v>
      </c>
      <c r="H167" t="s">
        <v>37</v>
      </c>
      <c r="I167" t="s">
        <v>1171</v>
      </c>
      <c r="J167" t="s">
        <v>1171</v>
      </c>
      <c r="K167" t="s">
        <v>1187</v>
      </c>
      <c r="L167" t="s">
        <v>1171</v>
      </c>
      <c r="M167" t="s">
        <v>1445</v>
      </c>
      <c r="N167">
        <v>17442</v>
      </c>
      <c r="O167">
        <v>1423</v>
      </c>
      <c r="P167">
        <v>3594</v>
      </c>
      <c r="Q167">
        <v>0</v>
      </c>
      <c r="R167">
        <v>0</v>
      </c>
      <c r="S167">
        <v>0</v>
      </c>
      <c r="T167">
        <v>0</v>
      </c>
      <c r="U167">
        <v>11892</v>
      </c>
      <c r="V167">
        <v>9514</v>
      </c>
      <c r="W167">
        <v>0</v>
      </c>
      <c r="X167" t="s">
        <v>98</v>
      </c>
      <c r="Y167" t="s">
        <v>47</v>
      </c>
      <c r="Z167" t="s">
        <v>1175</v>
      </c>
      <c r="AA167">
        <v>6</v>
      </c>
      <c r="AB167" t="s">
        <v>1171</v>
      </c>
    </row>
    <row r="168" spans="1:28">
      <c r="A168" t="s">
        <v>1181</v>
      </c>
      <c r="B168" t="s">
        <v>1182</v>
      </c>
      <c r="C168" t="s">
        <v>22</v>
      </c>
      <c r="D168" t="s">
        <v>1446</v>
      </c>
      <c r="E168" t="s">
        <v>93</v>
      </c>
      <c r="F168">
        <v>35300</v>
      </c>
      <c r="G168" t="s">
        <v>24</v>
      </c>
      <c r="H168" t="s">
        <v>37</v>
      </c>
      <c r="I168" t="s">
        <v>1171</v>
      </c>
      <c r="J168" t="s">
        <v>1171</v>
      </c>
      <c r="K168" t="s">
        <v>1191</v>
      </c>
      <c r="L168" t="s">
        <v>1171</v>
      </c>
      <c r="M168" t="s">
        <v>1447</v>
      </c>
      <c r="N168">
        <v>17442</v>
      </c>
      <c r="O168">
        <v>1423</v>
      </c>
      <c r="P168">
        <v>3594</v>
      </c>
      <c r="Q168">
        <v>0</v>
      </c>
      <c r="R168">
        <v>0</v>
      </c>
      <c r="S168">
        <v>0</v>
      </c>
      <c r="T168">
        <v>11892</v>
      </c>
      <c r="U168">
        <v>0</v>
      </c>
      <c r="V168">
        <v>9514</v>
      </c>
      <c r="W168">
        <v>0</v>
      </c>
      <c r="X168" t="s">
        <v>37</v>
      </c>
      <c r="Y168" t="s">
        <v>47</v>
      </c>
      <c r="Z168" t="s">
        <v>1175</v>
      </c>
      <c r="AA168">
        <v>6</v>
      </c>
      <c r="AB168" t="s">
        <v>1171</v>
      </c>
    </row>
    <row r="169" spans="1:28">
      <c r="A169" t="s">
        <v>1181</v>
      </c>
      <c r="B169" t="s">
        <v>1182</v>
      </c>
      <c r="C169" t="s">
        <v>22</v>
      </c>
      <c r="D169" t="s">
        <v>1448</v>
      </c>
      <c r="E169" t="s">
        <v>787</v>
      </c>
      <c r="F169">
        <v>35300</v>
      </c>
      <c r="G169" t="s">
        <v>32</v>
      </c>
      <c r="H169" t="s">
        <v>37</v>
      </c>
      <c r="I169" t="s">
        <v>1171</v>
      </c>
      <c r="J169" t="s">
        <v>1171</v>
      </c>
      <c r="K169" t="s">
        <v>1172</v>
      </c>
      <c r="L169" t="s">
        <v>1171</v>
      </c>
      <c r="M169" t="s">
        <v>1449</v>
      </c>
      <c r="N169">
        <v>17442</v>
      </c>
      <c r="O169">
        <v>1423</v>
      </c>
      <c r="P169">
        <v>3594</v>
      </c>
      <c r="Q169">
        <v>0</v>
      </c>
      <c r="R169">
        <v>0</v>
      </c>
      <c r="S169">
        <v>11892</v>
      </c>
      <c r="T169">
        <v>0</v>
      </c>
      <c r="U169">
        <v>0</v>
      </c>
      <c r="V169">
        <v>9514</v>
      </c>
      <c r="W169">
        <v>0</v>
      </c>
      <c r="X169" t="s">
        <v>91</v>
      </c>
      <c r="Y169" t="s">
        <v>32</v>
      </c>
      <c r="Z169" t="s">
        <v>1175</v>
      </c>
      <c r="AA169">
        <v>6</v>
      </c>
      <c r="AB169" t="s">
        <v>1171</v>
      </c>
    </row>
    <row r="170" spans="1:28">
      <c r="A170" t="s">
        <v>1168</v>
      </c>
      <c r="B170" t="s">
        <v>1176</v>
      </c>
      <c r="C170" t="s">
        <v>22</v>
      </c>
      <c r="D170" t="s">
        <v>926</v>
      </c>
      <c r="E170" t="s">
        <v>693</v>
      </c>
      <c r="F170">
        <v>35300</v>
      </c>
      <c r="G170" t="s">
        <v>98</v>
      </c>
      <c r="H170" t="s">
        <v>37</v>
      </c>
      <c r="I170" t="s">
        <v>1171</v>
      </c>
      <c r="J170" t="s">
        <v>1171</v>
      </c>
      <c r="K170" t="s">
        <v>1184</v>
      </c>
      <c r="L170" t="s">
        <v>1173</v>
      </c>
      <c r="M170" t="s">
        <v>268</v>
      </c>
      <c r="N170">
        <v>17442</v>
      </c>
      <c r="O170">
        <v>0</v>
      </c>
      <c r="P170">
        <v>5749</v>
      </c>
      <c r="Q170">
        <v>18235</v>
      </c>
      <c r="R170">
        <v>0</v>
      </c>
      <c r="S170">
        <v>0</v>
      </c>
      <c r="T170">
        <v>0</v>
      </c>
      <c r="U170">
        <v>0</v>
      </c>
      <c r="V170">
        <v>9513</v>
      </c>
      <c r="W170">
        <v>0</v>
      </c>
      <c r="X170" t="s">
        <v>42</v>
      </c>
      <c r="Y170" t="s">
        <v>37</v>
      </c>
      <c r="Z170" t="s">
        <v>1175</v>
      </c>
      <c r="AA170">
        <v>6</v>
      </c>
      <c r="AB170" t="s">
        <v>1171</v>
      </c>
    </row>
    <row r="171" spans="1:28">
      <c r="A171" t="s">
        <v>1168</v>
      </c>
      <c r="B171" t="s">
        <v>1205</v>
      </c>
      <c r="C171" t="s">
        <v>22</v>
      </c>
      <c r="D171" t="s">
        <v>926</v>
      </c>
      <c r="E171" t="s">
        <v>693</v>
      </c>
      <c r="F171">
        <v>35300</v>
      </c>
      <c r="G171" t="s">
        <v>98</v>
      </c>
      <c r="H171" t="s">
        <v>110</v>
      </c>
      <c r="I171" t="s">
        <v>37</v>
      </c>
      <c r="J171" t="s">
        <v>1171</v>
      </c>
      <c r="K171" t="s">
        <v>1239</v>
      </c>
      <c r="L171" t="s">
        <v>1173</v>
      </c>
      <c r="M171" t="s">
        <v>1450</v>
      </c>
      <c r="N171">
        <v>17442</v>
      </c>
      <c r="O171">
        <v>0</v>
      </c>
      <c r="P171">
        <v>6948</v>
      </c>
      <c r="Q171">
        <v>7927</v>
      </c>
      <c r="R171">
        <v>0</v>
      </c>
      <c r="S171">
        <v>0</v>
      </c>
      <c r="T171">
        <v>0</v>
      </c>
      <c r="U171">
        <v>7927</v>
      </c>
      <c r="V171">
        <v>7927</v>
      </c>
      <c r="W171">
        <v>0</v>
      </c>
      <c r="X171" t="s">
        <v>32</v>
      </c>
      <c r="Y171" t="s">
        <v>37</v>
      </c>
      <c r="Z171" t="s">
        <v>1175</v>
      </c>
      <c r="AA171">
        <v>6</v>
      </c>
      <c r="AB171" t="s">
        <v>1171</v>
      </c>
    </row>
    <row r="172" spans="1:28">
      <c r="A172" t="s">
        <v>1168</v>
      </c>
      <c r="B172" t="s">
        <v>1205</v>
      </c>
      <c r="C172" t="s">
        <v>22</v>
      </c>
      <c r="D172" t="s">
        <v>926</v>
      </c>
      <c r="E172" t="s">
        <v>693</v>
      </c>
      <c r="F172">
        <v>35300</v>
      </c>
      <c r="G172" t="s">
        <v>98</v>
      </c>
      <c r="H172" t="s">
        <v>32</v>
      </c>
      <c r="I172" t="s">
        <v>37</v>
      </c>
      <c r="J172" t="s">
        <v>1171</v>
      </c>
      <c r="K172" t="s">
        <v>1206</v>
      </c>
      <c r="L172" t="s">
        <v>1173</v>
      </c>
      <c r="M172" t="s">
        <v>1451</v>
      </c>
      <c r="N172">
        <v>17442</v>
      </c>
      <c r="O172">
        <v>0</v>
      </c>
      <c r="P172">
        <v>6947</v>
      </c>
      <c r="Q172">
        <v>7928</v>
      </c>
      <c r="R172">
        <v>0</v>
      </c>
      <c r="S172">
        <v>7928</v>
      </c>
      <c r="T172">
        <v>0</v>
      </c>
      <c r="U172">
        <v>0</v>
      </c>
      <c r="V172">
        <v>7928</v>
      </c>
      <c r="W172">
        <v>0</v>
      </c>
      <c r="X172" t="s">
        <v>42</v>
      </c>
      <c r="Y172" t="s">
        <v>47</v>
      </c>
      <c r="Z172" t="s">
        <v>1175</v>
      </c>
      <c r="AA172">
        <v>6</v>
      </c>
      <c r="AB172" t="s">
        <v>1171</v>
      </c>
    </row>
    <row r="173" spans="1:28">
      <c r="A173" t="s">
        <v>1181</v>
      </c>
      <c r="B173" t="s">
        <v>1182</v>
      </c>
      <c r="C173" t="s">
        <v>22</v>
      </c>
      <c r="D173" t="s">
        <v>1452</v>
      </c>
      <c r="E173" t="s">
        <v>93</v>
      </c>
      <c r="F173">
        <v>35300</v>
      </c>
      <c r="G173" t="s">
        <v>98</v>
      </c>
      <c r="H173" t="s">
        <v>37</v>
      </c>
      <c r="I173" t="s">
        <v>1171</v>
      </c>
      <c r="J173" t="s">
        <v>1171</v>
      </c>
      <c r="K173" t="s">
        <v>1184</v>
      </c>
      <c r="L173" t="s">
        <v>1171</v>
      </c>
      <c r="M173" t="s">
        <v>1453</v>
      </c>
      <c r="N173">
        <v>17442</v>
      </c>
      <c r="O173">
        <v>1423</v>
      </c>
      <c r="P173">
        <v>3594</v>
      </c>
      <c r="Q173">
        <v>11892</v>
      </c>
      <c r="R173">
        <v>0</v>
      </c>
      <c r="S173">
        <v>0</v>
      </c>
      <c r="T173">
        <v>0</v>
      </c>
      <c r="U173">
        <v>0</v>
      </c>
      <c r="V173">
        <v>9514</v>
      </c>
      <c r="W173">
        <v>0</v>
      </c>
      <c r="X173" t="s">
        <v>32</v>
      </c>
      <c r="Y173" t="s">
        <v>37</v>
      </c>
      <c r="Z173" t="s">
        <v>1175</v>
      </c>
      <c r="AA173">
        <v>6</v>
      </c>
      <c r="AB173" t="s">
        <v>1171</v>
      </c>
    </row>
    <row r="174" spans="1:28">
      <c r="A174" t="s">
        <v>1181</v>
      </c>
      <c r="B174" t="s">
        <v>1182</v>
      </c>
      <c r="C174" t="s">
        <v>22</v>
      </c>
      <c r="D174" t="s">
        <v>1454</v>
      </c>
      <c r="E174" t="s">
        <v>93</v>
      </c>
      <c r="F174">
        <v>35300</v>
      </c>
      <c r="G174" t="s">
        <v>98</v>
      </c>
      <c r="H174" t="s">
        <v>37</v>
      </c>
      <c r="I174" t="s">
        <v>1171</v>
      </c>
      <c r="J174" t="s">
        <v>1171</v>
      </c>
      <c r="K174" t="s">
        <v>1184</v>
      </c>
      <c r="L174" t="s">
        <v>1171</v>
      </c>
      <c r="M174" t="s">
        <v>1455</v>
      </c>
      <c r="N174">
        <v>17442</v>
      </c>
      <c r="O174">
        <v>1423</v>
      </c>
      <c r="P174">
        <v>3594</v>
      </c>
      <c r="Q174">
        <v>11892</v>
      </c>
      <c r="R174">
        <v>0</v>
      </c>
      <c r="S174">
        <v>0</v>
      </c>
      <c r="T174">
        <v>0</v>
      </c>
      <c r="U174">
        <v>0</v>
      </c>
      <c r="V174">
        <v>9514</v>
      </c>
      <c r="W174">
        <v>0</v>
      </c>
      <c r="X174" t="s">
        <v>32</v>
      </c>
      <c r="Y174" t="s">
        <v>37</v>
      </c>
      <c r="Z174" t="s">
        <v>1175</v>
      </c>
      <c r="AA174">
        <v>6</v>
      </c>
      <c r="AB174" t="s">
        <v>1171</v>
      </c>
    </row>
    <row r="175" spans="1:28">
      <c r="A175" t="s">
        <v>1181</v>
      </c>
      <c r="B175" t="s">
        <v>631</v>
      </c>
      <c r="C175" t="s">
        <v>64</v>
      </c>
      <c r="D175" t="s">
        <v>1456</v>
      </c>
      <c r="E175" t="s">
        <v>648</v>
      </c>
      <c r="F175">
        <v>42500</v>
      </c>
      <c r="G175" t="s">
        <v>98</v>
      </c>
      <c r="H175" t="s">
        <v>32</v>
      </c>
      <c r="I175" t="s">
        <v>24</v>
      </c>
      <c r="J175" t="s">
        <v>1171</v>
      </c>
      <c r="K175" t="s">
        <v>1457</v>
      </c>
      <c r="L175" t="s">
        <v>1171</v>
      </c>
      <c r="M175" t="s">
        <v>287</v>
      </c>
      <c r="N175">
        <v>31110</v>
      </c>
      <c r="O175">
        <v>2538</v>
      </c>
      <c r="P175">
        <v>14115</v>
      </c>
      <c r="Q175">
        <v>14849</v>
      </c>
      <c r="R175">
        <v>0</v>
      </c>
      <c r="S175">
        <v>15555</v>
      </c>
      <c r="T175">
        <v>7778</v>
      </c>
      <c r="U175">
        <v>0</v>
      </c>
      <c r="V175">
        <v>0</v>
      </c>
      <c r="W175">
        <v>0</v>
      </c>
      <c r="X175" t="s">
        <v>47</v>
      </c>
      <c r="Y175" t="s">
        <v>91</v>
      </c>
      <c r="Z175" t="s">
        <v>32</v>
      </c>
      <c r="AA175">
        <v>8</v>
      </c>
      <c r="AB175" t="s">
        <v>1171</v>
      </c>
    </row>
    <row r="176" spans="1:28">
      <c r="A176" t="s">
        <v>1181</v>
      </c>
      <c r="B176" t="s">
        <v>1458</v>
      </c>
      <c r="C176" t="s">
        <v>64</v>
      </c>
      <c r="D176" t="s">
        <v>1459</v>
      </c>
      <c r="E176" t="s">
        <v>93</v>
      </c>
      <c r="F176">
        <v>42100</v>
      </c>
      <c r="G176" t="s">
        <v>98</v>
      </c>
      <c r="H176" t="s">
        <v>37</v>
      </c>
      <c r="I176" t="s">
        <v>1171</v>
      </c>
      <c r="J176" t="s">
        <v>1171</v>
      </c>
      <c r="K176" t="s">
        <v>1184</v>
      </c>
      <c r="L176" t="s">
        <v>1171</v>
      </c>
      <c r="M176" t="s">
        <v>1460</v>
      </c>
      <c r="N176">
        <v>27736</v>
      </c>
      <c r="O176">
        <v>2263</v>
      </c>
      <c r="P176">
        <v>12584</v>
      </c>
      <c r="Q176">
        <v>18911</v>
      </c>
      <c r="R176">
        <v>0</v>
      </c>
      <c r="S176">
        <v>0</v>
      </c>
      <c r="T176">
        <v>0</v>
      </c>
      <c r="U176">
        <v>0</v>
      </c>
      <c r="V176">
        <v>18280</v>
      </c>
      <c r="W176">
        <v>0</v>
      </c>
      <c r="X176" t="s">
        <v>42</v>
      </c>
      <c r="Y176" t="s">
        <v>98</v>
      </c>
      <c r="Z176" t="s">
        <v>91</v>
      </c>
      <c r="AA176">
        <v>6</v>
      </c>
      <c r="AB176" t="s">
        <v>1171</v>
      </c>
    </row>
    <row r="177" spans="1:28">
      <c r="A177" t="s">
        <v>1181</v>
      </c>
      <c r="B177" t="s">
        <v>1458</v>
      </c>
      <c r="C177" t="s">
        <v>64</v>
      </c>
      <c r="D177" t="s">
        <v>1461</v>
      </c>
      <c r="E177" t="s">
        <v>93</v>
      </c>
      <c r="F177">
        <v>41400</v>
      </c>
      <c r="G177" t="s">
        <v>110</v>
      </c>
      <c r="H177" t="s">
        <v>37</v>
      </c>
      <c r="I177" t="s">
        <v>1171</v>
      </c>
      <c r="J177" t="s">
        <v>1171</v>
      </c>
      <c r="K177" t="s">
        <v>1187</v>
      </c>
      <c r="L177" t="s">
        <v>1171</v>
      </c>
      <c r="M177" t="s">
        <v>1462</v>
      </c>
      <c r="N177">
        <v>27274</v>
      </c>
      <c r="O177">
        <v>2225</v>
      </c>
      <c r="P177">
        <v>12375</v>
      </c>
      <c r="Q177">
        <v>0</v>
      </c>
      <c r="R177">
        <v>0</v>
      </c>
      <c r="S177">
        <v>0</v>
      </c>
      <c r="T177">
        <v>0</v>
      </c>
      <c r="U177">
        <v>18596</v>
      </c>
      <c r="V177">
        <v>17976</v>
      </c>
      <c r="W177">
        <v>0</v>
      </c>
      <c r="X177" t="s">
        <v>47</v>
      </c>
      <c r="Y177" t="s">
        <v>91</v>
      </c>
      <c r="Z177" t="s">
        <v>32</v>
      </c>
      <c r="AA177">
        <v>6</v>
      </c>
      <c r="AB177" t="s">
        <v>1171</v>
      </c>
    </row>
    <row r="178" spans="1:28">
      <c r="A178" t="s">
        <v>1181</v>
      </c>
      <c r="B178" t="s">
        <v>1458</v>
      </c>
      <c r="C178" t="s">
        <v>64</v>
      </c>
      <c r="D178" t="s">
        <v>1463</v>
      </c>
      <c r="E178" t="s">
        <v>647</v>
      </c>
      <c r="F178">
        <v>41400</v>
      </c>
      <c r="G178" t="s">
        <v>32</v>
      </c>
      <c r="H178" t="s">
        <v>37</v>
      </c>
      <c r="I178" t="s">
        <v>1171</v>
      </c>
      <c r="J178" t="s">
        <v>1171</v>
      </c>
      <c r="K178" t="s">
        <v>1172</v>
      </c>
      <c r="L178" t="s">
        <v>1173</v>
      </c>
      <c r="M178" t="s">
        <v>1464</v>
      </c>
      <c r="N178">
        <v>27274</v>
      </c>
      <c r="O178">
        <v>2225</v>
      </c>
      <c r="P178">
        <v>12375</v>
      </c>
      <c r="Q178">
        <v>0</v>
      </c>
      <c r="R178">
        <v>0</v>
      </c>
      <c r="S178">
        <v>18596</v>
      </c>
      <c r="T178">
        <v>0</v>
      </c>
      <c r="U178">
        <v>0</v>
      </c>
      <c r="V178">
        <v>17976</v>
      </c>
      <c r="W178">
        <v>0</v>
      </c>
      <c r="X178" t="s">
        <v>47</v>
      </c>
      <c r="Y178" t="s">
        <v>91</v>
      </c>
      <c r="Z178" t="s">
        <v>32</v>
      </c>
      <c r="AA178">
        <v>6</v>
      </c>
      <c r="AB178" t="s">
        <v>1171</v>
      </c>
    </row>
    <row r="179" spans="1:28">
      <c r="A179" t="s">
        <v>1181</v>
      </c>
      <c r="B179" t="s">
        <v>1458</v>
      </c>
      <c r="C179" t="s">
        <v>64</v>
      </c>
      <c r="D179" t="s">
        <v>1465</v>
      </c>
      <c r="E179" t="s">
        <v>93</v>
      </c>
      <c r="F179">
        <v>41400</v>
      </c>
      <c r="G179" t="s">
        <v>110</v>
      </c>
      <c r="H179" t="s">
        <v>37</v>
      </c>
      <c r="I179" t="s">
        <v>1171</v>
      </c>
      <c r="J179" t="s">
        <v>1171</v>
      </c>
      <c r="K179" t="s">
        <v>1187</v>
      </c>
      <c r="L179" t="s">
        <v>1171</v>
      </c>
      <c r="M179" t="s">
        <v>1466</v>
      </c>
      <c r="N179">
        <v>27274</v>
      </c>
      <c r="O179">
        <v>2225</v>
      </c>
      <c r="P179">
        <v>12375</v>
      </c>
      <c r="Q179">
        <v>0</v>
      </c>
      <c r="R179">
        <v>0</v>
      </c>
      <c r="S179">
        <v>0</v>
      </c>
      <c r="T179">
        <v>0</v>
      </c>
      <c r="U179">
        <v>18596</v>
      </c>
      <c r="V179">
        <v>17976</v>
      </c>
      <c r="W179">
        <v>0</v>
      </c>
      <c r="X179" t="s">
        <v>47</v>
      </c>
      <c r="Y179" t="s">
        <v>91</v>
      </c>
      <c r="Z179" t="s">
        <v>32</v>
      </c>
      <c r="AA179">
        <v>6</v>
      </c>
      <c r="AB179" t="s">
        <v>1171</v>
      </c>
    </row>
    <row r="180" spans="1:28">
      <c r="A180" t="s">
        <v>1181</v>
      </c>
      <c r="B180" t="s">
        <v>1458</v>
      </c>
      <c r="C180" t="s">
        <v>64</v>
      </c>
      <c r="D180" t="s">
        <v>1467</v>
      </c>
      <c r="E180" t="s">
        <v>93</v>
      </c>
      <c r="F180">
        <v>41400</v>
      </c>
      <c r="G180" t="s">
        <v>98</v>
      </c>
      <c r="H180" t="s">
        <v>37</v>
      </c>
      <c r="I180" t="s">
        <v>1171</v>
      </c>
      <c r="J180" t="s">
        <v>1171</v>
      </c>
      <c r="K180" t="s">
        <v>1184</v>
      </c>
      <c r="L180" t="s">
        <v>1171</v>
      </c>
      <c r="M180" t="s">
        <v>1468</v>
      </c>
      <c r="N180">
        <v>27274</v>
      </c>
      <c r="O180">
        <v>2225</v>
      </c>
      <c r="P180">
        <v>12375</v>
      </c>
      <c r="Q180">
        <v>18596</v>
      </c>
      <c r="R180">
        <v>0</v>
      </c>
      <c r="S180">
        <v>0</v>
      </c>
      <c r="T180">
        <v>0</v>
      </c>
      <c r="U180">
        <v>0</v>
      </c>
      <c r="V180">
        <v>17976</v>
      </c>
      <c r="W180">
        <v>0</v>
      </c>
      <c r="X180" t="s">
        <v>42</v>
      </c>
      <c r="Y180" t="s">
        <v>98</v>
      </c>
      <c r="Z180" t="s">
        <v>91</v>
      </c>
      <c r="AA180">
        <v>6</v>
      </c>
      <c r="AB180" t="s">
        <v>1171</v>
      </c>
    </row>
    <row r="181" spans="1:28">
      <c r="A181" t="s">
        <v>1181</v>
      </c>
      <c r="B181" t="s">
        <v>631</v>
      </c>
      <c r="C181" t="s">
        <v>64</v>
      </c>
      <c r="D181" t="s">
        <v>1469</v>
      </c>
      <c r="E181" t="s">
        <v>100</v>
      </c>
      <c r="F181">
        <v>39750</v>
      </c>
      <c r="G181" t="s">
        <v>98</v>
      </c>
      <c r="H181" t="s">
        <v>32</v>
      </c>
      <c r="I181" t="s">
        <v>24</v>
      </c>
      <c r="J181" t="s">
        <v>1171</v>
      </c>
      <c r="K181" t="s">
        <v>1457</v>
      </c>
      <c r="L181" t="s">
        <v>1171</v>
      </c>
      <c r="M181" t="s">
        <v>65</v>
      </c>
      <c r="N181">
        <v>29097</v>
      </c>
      <c r="O181">
        <v>2373</v>
      </c>
      <c r="P181">
        <v>13201</v>
      </c>
      <c r="Q181">
        <v>13888</v>
      </c>
      <c r="R181">
        <v>0</v>
      </c>
      <c r="S181">
        <v>14549</v>
      </c>
      <c r="T181">
        <v>7274</v>
      </c>
      <c r="U181">
        <v>0</v>
      </c>
      <c r="V181">
        <v>0</v>
      </c>
      <c r="W181">
        <v>0</v>
      </c>
      <c r="X181" t="s">
        <v>47</v>
      </c>
      <c r="Y181" t="s">
        <v>91</v>
      </c>
      <c r="Z181" t="s">
        <v>32</v>
      </c>
      <c r="AA181">
        <v>8</v>
      </c>
      <c r="AB181" t="s">
        <v>1171</v>
      </c>
    </row>
    <row r="182" spans="1:28">
      <c r="A182" t="s">
        <v>1181</v>
      </c>
      <c r="B182" t="s">
        <v>1458</v>
      </c>
      <c r="C182" t="s">
        <v>64</v>
      </c>
      <c r="D182" t="s">
        <v>1470</v>
      </c>
      <c r="E182" t="s">
        <v>93</v>
      </c>
      <c r="F182">
        <v>38100</v>
      </c>
      <c r="G182" t="s">
        <v>98</v>
      </c>
      <c r="H182" t="s">
        <v>37</v>
      </c>
      <c r="I182" t="s">
        <v>1171</v>
      </c>
      <c r="J182" t="s">
        <v>1171</v>
      </c>
      <c r="K182" t="s">
        <v>1184</v>
      </c>
      <c r="L182" t="s">
        <v>1171</v>
      </c>
      <c r="M182" t="s">
        <v>1471</v>
      </c>
      <c r="N182">
        <v>25100</v>
      </c>
      <c r="O182">
        <v>2048</v>
      </c>
      <c r="P182">
        <v>11389</v>
      </c>
      <c r="Q182">
        <v>17114</v>
      </c>
      <c r="R182">
        <v>0</v>
      </c>
      <c r="S182">
        <v>0</v>
      </c>
      <c r="T182">
        <v>0</v>
      </c>
      <c r="U182">
        <v>0</v>
      </c>
      <c r="V182">
        <v>16543</v>
      </c>
      <c r="W182">
        <v>0</v>
      </c>
      <c r="X182" t="s">
        <v>42</v>
      </c>
      <c r="Y182" t="s">
        <v>98</v>
      </c>
      <c r="Z182" t="s">
        <v>91</v>
      </c>
      <c r="AA182">
        <v>6</v>
      </c>
      <c r="AB182" t="s">
        <v>1171</v>
      </c>
    </row>
    <row r="183" spans="1:28">
      <c r="A183" t="s">
        <v>1181</v>
      </c>
      <c r="B183" t="s">
        <v>631</v>
      </c>
      <c r="C183" t="s">
        <v>64</v>
      </c>
      <c r="D183" t="s">
        <v>1456</v>
      </c>
      <c r="E183" t="s">
        <v>648</v>
      </c>
      <c r="F183">
        <v>37125</v>
      </c>
      <c r="G183" t="s">
        <v>98</v>
      </c>
      <c r="H183" t="s">
        <v>32</v>
      </c>
      <c r="I183" t="s">
        <v>24</v>
      </c>
      <c r="J183" t="s">
        <v>1171</v>
      </c>
      <c r="K183" t="s">
        <v>1457</v>
      </c>
      <c r="L183" t="s">
        <v>1171</v>
      </c>
      <c r="M183" t="s">
        <v>1472</v>
      </c>
      <c r="N183">
        <v>27176</v>
      </c>
      <c r="O183">
        <v>2217</v>
      </c>
      <c r="P183">
        <v>12330</v>
      </c>
      <c r="Q183">
        <v>12971</v>
      </c>
      <c r="R183">
        <v>0</v>
      </c>
      <c r="S183">
        <v>13588</v>
      </c>
      <c r="T183">
        <v>6794</v>
      </c>
      <c r="U183">
        <v>0</v>
      </c>
      <c r="V183">
        <v>0</v>
      </c>
      <c r="W183">
        <v>0</v>
      </c>
      <c r="X183" t="s">
        <v>47</v>
      </c>
      <c r="Y183" t="s">
        <v>91</v>
      </c>
      <c r="Z183" t="s">
        <v>32</v>
      </c>
      <c r="AA183">
        <v>8</v>
      </c>
      <c r="AB183" t="s">
        <v>1171</v>
      </c>
    </row>
    <row r="184" spans="1:28">
      <c r="A184" t="s">
        <v>1181</v>
      </c>
      <c r="B184" t="s">
        <v>1458</v>
      </c>
      <c r="C184" t="s">
        <v>64</v>
      </c>
      <c r="D184" t="s">
        <v>1473</v>
      </c>
      <c r="E184" t="s">
        <v>93</v>
      </c>
      <c r="F184">
        <v>35900</v>
      </c>
      <c r="G184" t="s">
        <v>98</v>
      </c>
      <c r="H184" t="s">
        <v>37</v>
      </c>
      <c r="I184" t="s">
        <v>1171</v>
      </c>
      <c r="J184" t="s">
        <v>1171</v>
      </c>
      <c r="K184" t="s">
        <v>1184</v>
      </c>
      <c r="L184" t="s">
        <v>1171</v>
      </c>
      <c r="M184" t="s">
        <v>1474</v>
      </c>
      <c r="N184">
        <v>23651</v>
      </c>
      <c r="O184">
        <v>1929</v>
      </c>
      <c r="P184">
        <v>10731</v>
      </c>
      <c r="Q184">
        <v>16126</v>
      </c>
      <c r="R184">
        <v>0</v>
      </c>
      <c r="S184">
        <v>0</v>
      </c>
      <c r="T184">
        <v>0</v>
      </c>
      <c r="U184">
        <v>0</v>
      </c>
      <c r="V184">
        <v>15588</v>
      </c>
      <c r="W184">
        <v>0</v>
      </c>
      <c r="X184" t="s">
        <v>42</v>
      </c>
      <c r="Y184" t="s">
        <v>98</v>
      </c>
      <c r="Z184" t="s">
        <v>91</v>
      </c>
      <c r="AA184">
        <v>6</v>
      </c>
      <c r="AB184" t="s">
        <v>1171</v>
      </c>
    </row>
    <row r="185" spans="1:28">
      <c r="A185" t="s">
        <v>1181</v>
      </c>
      <c r="B185" t="s">
        <v>1458</v>
      </c>
      <c r="C185" t="s">
        <v>64</v>
      </c>
      <c r="D185" t="s">
        <v>1475</v>
      </c>
      <c r="E185" t="s">
        <v>93</v>
      </c>
      <c r="F185">
        <v>35300</v>
      </c>
      <c r="G185" t="s">
        <v>32</v>
      </c>
      <c r="H185" t="s">
        <v>37</v>
      </c>
      <c r="I185" t="s">
        <v>1171</v>
      </c>
      <c r="J185" t="s">
        <v>1171</v>
      </c>
      <c r="K185" t="s">
        <v>1172</v>
      </c>
      <c r="L185" t="s">
        <v>1171</v>
      </c>
      <c r="M185" t="s">
        <v>1476</v>
      </c>
      <c r="N185">
        <v>23256</v>
      </c>
      <c r="O185">
        <v>1897</v>
      </c>
      <c r="P185">
        <v>10552</v>
      </c>
      <c r="Q185">
        <v>0</v>
      </c>
      <c r="R185">
        <v>0</v>
      </c>
      <c r="S185">
        <v>15856</v>
      </c>
      <c r="T185">
        <v>0</v>
      </c>
      <c r="U185">
        <v>0</v>
      </c>
      <c r="V185">
        <v>15328</v>
      </c>
      <c r="W185">
        <v>0</v>
      </c>
      <c r="X185" t="s">
        <v>47</v>
      </c>
      <c r="Y185" t="s">
        <v>91</v>
      </c>
      <c r="Z185" t="s">
        <v>32</v>
      </c>
      <c r="AA185">
        <v>6</v>
      </c>
      <c r="AB185" t="s">
        <v>1171</v>
      </c>
    </row>
    <row r="186" spans="1:28">
      <c r="A186" t="s">
        <v>1181</v>
      </c>
      <c r="B186" t="s">
        <v>1458</v>
      </c>
      <c r="C186" t="s">
        <v>64</v>
      </c>
      <c r="D186" t="s">
        <v>1477</v>
      </c>
      <c r="E186" t="s">
        <v>93</v>
      </c>
      <c r="F186">
        <v>35300</v>
      </c>
      <c r="G186" t="s">
        <v>110</v>
      </c>
      <c r="H186" t="s">
        <v>37</v>
      </c>
      <c r="I186" t="s">
        <v>1171</v>
      </c>
      <c r="J186" t="s">
        <v>1171</v>
      </c>
      <c r="K186" t="s">
        <v>1187</v>
      </c>
      <c r="L186" t="s">
        <v>1171</v>
      </c>
      <c r="M186" t="s">
        <v>1478</v>
      </c>
      <c r="N186">
        <v>23256</v>
      </c>
      <c r="O186">
        <v>1897</v>
      </c>
      <c r="P186">
        <v>10552</v>
      </c>
      <c r="Q186">
        <v>0</v>
      </c>
      <c r="R186">
        <v>0</v>
      </c>
      <c r="S186">
        <v>0</v>
      </c>
      <c r="T186">
        <v>0</v>
      </c>
      <c r="U186">
        <v>15856</v>
      </c>
      <c r="V186">
        <v>15328</v>
      </c>
      <c r="W186">
        <v>0</v>
      </c>
      <c r="X186" t="s">
        <v>47</v>
      </c>
      <c r="Y186" t="s">
        <v>91</v>
      </c>
      <c r="Z186" t="s">
        <v>32</v>
      </c>
      <c r="AA186">
        <v>6</v>
      </c>
      <c r="AB186" t="s">
        <v>1171</v>
      </c>
    </row>
    <row r="187" spans="1:28">
      <c r="A187" t="s">
        <v>1181</v>
      </c>
      <c r="B187" t="s">
        <v>1458</v>
      </c>
      <c r="C187" t="s">
        <v>64</v>
      </c>
      <c r="D187" t="s">
        <v>1479</v>
      </c>
      <c r="E187" t="s">
        <v>93</v>
      </c>
      <c r="F187">
        <v>35300</v>
      </c>
      <c r="G187" t="s">
        <v>98</v>
      </c>
      <c r="H187" t="s">
        <v>37</v>
      </c>
      <c r="I187" t="s">
        <v>1171</v>
      </c>
      <c r="J187" t="s">
        <v>1171</v>
      </c>
      <c r="K187" t="s">
        <v>1184</v>
      </c>
      <c r="L187" t="s">
        <v>1171</v>
      </c>
      <c r="M187" t="s">
        <v>1480</v>
      </c>
      <c r="N187">
        <v>23256</v>
      </c>
      <c r="O187">
        <v>1897</v>
      </c>
      <c r="P187">
        <v>10552</v>
      </c>
      <c r="Q187">
        <v>15856</v>
      </c>
      <c r="R187">
        <v>0</v>
      </c>
      <c r="S187">
        <v>0</v>
      </c>
      <c r="T187">
        <v>0</v>
      </c>
      <c r="U187">
        <v>0</v>
      </c>
      <c r="V187">
        <v>15328</v>
      </c>
      <c r="W187">
        <v>0</v>
      </c>
      <c r="X187" t="s">
        <v>42</v>
      </c>
      <c r="Y187" t="s">
        <v>98</v>
      </c>
      <c r="Z187" t="s">
        <v>91</v>
      </c>
      <c r="AA187">
        <v>6</v>
      </c>
      <c r="AB187" t="s">
        <v>1171</v>
      </c>
    </row>
    <row r="188" spans="1:28">
      <c r="A188" t="s">
        <v>1181</v>
      </c>
      <c r="B188" t="s">
        <v>1458</v>
      </c>
      <c r="C188" t="s">
        <v>64</v>
      </c>
      <c r="D188" t="s">
        <v>1461</v>
      </c>
      <c r="E188" t="s">
        <v>93</v>
      </c>
      <c r="F188">
        <v>35300</v>
      </c>
      <c r="G188" t="s">
        <v>110</v>
      </c>
      <c r="H188" t="s">
        <v>37</v>
      </c>
      <c r="I188" t="s">
        <v>1171</v>
      </c>
      <c r="J188" t="s">
        <v>1171</v>
      </c>
      <c r="K188" t="s">
        <v>1187</v>
      </c>
      <c r="L188" t="s">
        <v>1171</v>
      </c>
      <c r="M188" t="s">
        <v>1481</v>
      </c>
      <c r="N188">
        <v>23256</v>
      </c>
      <c r="O188">
        <v>1897</v>
      </c>
      <c r="P188">
        <v>10552</v>
      </c>
      <c r="Q188">
        <v>0</v>
      </c>
      <c r="R188">
        <v>0</v>
      </c>
      <c r="S188">
        <v>0</v>
      </c>
      <c r="T188">
        <v>0</v>
      </c>
      <c r="U188">
        <v>15856</v>
      </c>
      <c r="V188">
        <v>15328</v>
      </c>
      <c r="W188">
        <v>0</v>
      </c>
      <c r="X188" t="s">
        <v>47</v>
      </c>
      <c r="Y188" t="s">
        <v>91</v>
      </c>
      <c r="Z188" t="s">
        <v>32</v>
      </c>
      <c r="AA188">
        <v>6</v>
      </c>
      <c r="AB188" t="s">
        <v>1171</v>
      </c>
    </row>
    <row r="189" spans="1:28">
      <c r="A189" t="s">
        <v>1181</v>
      </c>
      <c r="B189" t="s">
        <v>1458</v>
      </c>
      <c r="C189" t="s">
        <v>64</v>
      </c>
      <c r="D189" t="s">
        <v>1482</v>
      </c>
      <c r="E189" t="s">
        <v>646</v>
      </c>
      <c r="F189">
        <v>35300</v>
      </c>
      <c r="G189" t="s">
        <v>32</v>
      </c>
      <c r="H189" t="s">
        <v>37</v>
      </c>
      <c r="I189" t="s">
        <v>1171</v>
      </c>
      <c r="J189" t="s">
        <v>1171</v>
      </c>
      <c r="K189" t="s">
        <v>1172</v>
      </c>
      <c r="L189" t="s">
        <v>1173</v>
      </c>
      <c r="M189" t="s">
        <v>1483</v>
      </c>
      <c r="N189">
        <v>23256</v>
      </c>
      <c r="O189">
        <v>1897</v>
      </c>
      <c r="P189">
        <v>10552</v>
      </c>
      <c r="Q189">
        <v>0</v>
      </c>
      <c r="R189">
        <v>0</v>
      </c>
      <c r="S189">
        <v>15856</v>
      </c>
      <c r="T189">
        <v>0</v>
      </c>
      <c r="U189">
        <v>0</v>
      </c>
      <c r="V189">
        <v>15328</v>
      </c>
      <c r="W189">
        <v>0</v>
      </c>
      <c r="X189" t="s">
        <v>47</v>
      </c>
      <c r="Y189" t="s">
        <v>91</v>
      </c>
      <c r="Z189" t="s">
        <v>32</v>
      </c>
      <c r="AA189">
        <v>6</v>
      </c>
      <c r="AB189" t="s">
        <v>1171</v>
      </c>
    </row>
    <row r="190" spans="1:28">
      <c r="A190" t="s">
        <v>1181</v>
      </c>
      <c r="B190" t="s">
        <v>1458</v>
      </c>
      <c r="C190" t="s">
        <v>64</v>
      </c>
      <c r="D190" t="s">
        <v>1484</v>
      </c>
      <c r="E190" t="s">
        <v>93</v>
      </c>
      <c r="F190">
        <v>35300</v>
      </c>
      <c r="G190" t="s">
        <v>110</v>
      </c>
      <c r="H190" t="s">
        <v>37</v>
      </c>
      <c r="I190" t="s">
        <v>1171</v>
      </c>
      <c r="J190" t="s">
        <v>1171</v>
      </c>
      <c r="K190" t="s">
        <v>1187</v>
      </c>
      <c r="L190" t="s">
        <v>1171</v>
      </c>
      <c r="M190" t="s">
        <v>1485</v>
      </c>
      <c r="N190">
        <v>23256</v>
      </c>
      <c r="O190">
        <v>1897</v>
      </c>
      <c r="P190">
        <v>10552</v>
      </c>
      <c r="Q190">
        <v>0</v>
      </c>
      <c r="R190">
        <v>0</v>
      </c>
      <c r="S190">
        <v>0</v>
      </c>
      <c r="T190">
        <v>0</v>
      </c>
      <c r="U190">
        <v>15856</v>
      </c>
      <c r="V190">
        <v>15328</v>
      </c>
      <c r="W190">
        <v>0</v>
      </c>
      <c r="X190" t="s">
        <v>47</v>
      </c>
      <c r="Y190" t="s">
        <v>91</v>
      </c>
      <c r="Z190" t="s">
        <v>32</v>
      </c>
      <c r="AA190">
        <v>6</v>
      </c>
      <c r="AB190" t="s">
        <v>1171</v>
      </c>
    </row>
    <row r="191" spans="1:28">
      <c r="A191" t="s">
        <v>1181</v>
      </c>
      <c r="B191" t="s">
        <v>631</v>
      </c>
      <c r="C191" t="s">
        <v>64</v>
      </c>
      <c r="D191" t="s">
        <v>1469</v>
      </c>
      <c r="E191" t="s">
        <v>100</v>
      </c>
      <c r="F191">
        <v>35000</v>
      </c>
      <c r="G191" t="s">
        <v>98</v>
      </c>
      <c r="H191" t="s">
        <v>32</v>
      </c>
      <c r="I191" t="s">
        <v>24</v>
      </c>
      <c r="J191" t="s">
        <v>1171</v>
      </c>
      <c r="K191" t="s">
        <v>1457</v>
      </c>
      <c r="L191" t="s">
        <v>1171</v>
      </c>
      <c r="M191" t="s">
        <v>1486</v>
      </c>
      <c r="N191">
        <v>25620</v>
      </c>
      <c r="O191">
        <v>2090</v>
      </c>
      <c r="P191">
        <v>11624</v>
      </c>
      <c r="Q191">
        <v>12228</v>
      </c>
      <c r="R191">
        <v>0</v>
      </c>
      <c r="S191">
        <v>12810</v>
      </c>
      <c r="T191">
        <v>6405</v>
      </c>
      <c r="U191">
        <v>0</v>
      </c>
      <c r="V191">
        <v>0</v>
      </c>
      <c r="W191">
        <v>0</v>
      </c>
      <c r="X191" t="s">
        <v>47</v>
      </c>
      <c r="Y191" t="s">
        <v>91</v>
      </c>
      <c r="Z191" t="s">
        <v>32</v>
      </c>
      <c r="AA191">
        <v>8</v>
      </c>
      <c r="AB191" t="s">
        <v>1171</v>
      </c>
    </row>
    <row r="192" spans="1:28">
      <c r="A192" t="s">
        <v>1181</v>
      </c>
      <c r="B192" t="s">
        <v>1458</v>
      </c>
      <c r="C192" t="s">
        <v>64</v>
      </c>
      <c r="D192" t="s">
        <v>651</v>
      </c>
      <c r="E192" t="s">
        <v>651</v>
      </c>
      <c r="F192">
        <v>33400</v>
      </c>
      <c r="G192" t="s">
        <v>110</v>
      </c>
      <c r="H192" t="s">
        <v>37</v>
      </c>
      <c r="I192" t="s">
        <v>1171</v>
      </c>
      <c r="J192" t="s">
        <v>1171</v>
      </c>
      <c r="K192" t="s">
        <v>1187</v>
      </c>
      <c r="L192" t="s">
        <v>1173</v>
      </c>
      <c r="M192" t="s">
        <v>1487</v>
      </c>
      <c r="N192">
        <v>22004</v>
      </c>
      <c r="O192">
        <v>1795</v>
      </c>
      <c r="P192">
        <v>9984</v>
      </c>
      <c r="Q192">
        <v>0</v>
      </c>
      <c r="R192">
        <v>0</v>
      </c>
      <c r="S192">
        <v>0</v>
      </c>
      <c r="T192">
        <v>0</v>
      </c>
      <c r="U192">
        <v>15003</v>
      </c>
      <c r="V192">
        <v>14503</v>
      </c>
      <c r="W192">
        <v>0</v>
      </c>
      <c r="X192" t="s">
        <v>47</v>
      </c>
      <c r="Y192" t="s">
        <v>91</v>
      </c>
      <c r="Z192" t="s">
        <v>32</v>
      </c>
      <c r="AA192">
        <v>6</v>
      </c>
      <c r="AB192" t="s">
        <v>1171</v>
      </c>
    </row>
    <row r="193" spans="1:28">
      <c r="A193" t="s">
        <v>1181</v>
      </c>
      <c r="B193" t="s">
        <v>631</v>
      </c>
      <c r="C193" t="s">
        <v>64</v>
      </c>
      <c r="D193" t="s">
        <v>1469</v>
      </c>
      <c r="E193" t="s">
        <v>100</v>
      </c>
      <c r="F193">
        <v>32000</v>
      </c>
      <c r="G193" t="s">
        <v>98</v>
      </c>
      <c r="H193" t="s">
        <v>32</v>
      </c>
      <c r="I193" t="s">
        <v>24</v>
      </c>
      <c r="J193" t="s">
        <v>1171</v>
      </c>
      <c r="K193" t="s">
        <v>1457</v>
      </c>
      <c r="L193" t="s">
        <v>1171</v>
      </c>
      <c r="M193" t="s">
        <v>264</v>
      </c>
      <c r="N193">
        <v>23424</v>
      </c>
      <c r="O193">
        <v>1911</v>
      </c>
      <c r="P193">
        <v>10627</v>
      </c>
      <c r="Q193">
        <v>11180</v>
      </c>
      <c r="R193">
        <v>0</v>
      </c>
      <c r="S193">
        <v>11712</v>
      </c>
      <c r="T193">
        <v>5856</v>
      </c>
      <c r="U193">
        <v>0</v>
      </c>
      <c r="V193">
        <v>0</v>
      </c>
      <c r="W193">
        <v>0</v>
      </c>
      <c r="X193" t="s">
        <v>47</v>
      </c>
      <c r="Y193" t="s">
        <v>91</v>
      </c>
      <c r="Z193" t="s">
        <v>32</v>
      </c>
      <c r="AA193">
        <v>8</v>
      </c>
      <c r="AB193" t="s">
        <v>1171</v>
      </c>
    </row>
    <row r="194" spans="1:28">
      <c r="A194" t="s">
        <v>1181</v>
      </c>
      <c r="B194" t="s">
        <v>1458</v>
      </c>
      <c r="C194" t="s">
        <v>64</v>
      </c>
      <c r="D194" t="s">
        <v>1488</v>
      </c>
      <c r="E194" t="s">
        <v>653</v>
      </c>
      <c r="F194">
        <v>30700</v>
      </c>
      <c r="G194" t="s">
        <v>98</v>
      </c>
      <c r="H194" t="s">
        <v>37</v>
      </c>
      <c r="I194" t="s">
        <v>1171</v>
      </c>
      <c r="J194" t="s">
        <v>1171</v>
      </c>
      <c r="K194" t="s">
        <v>1184</v>
      </c>
      <c r="L194" t="s">
        <v>1171</v>
      </c>
      <c r="M194" t="s">
        <v>1489</v>
      </c>
      <c r="N194">
        <v>20225</v>
      </c>
      <c r="O194">
        <v>1650</v>
      </c>
      <c r="P194">
        <v>9177</v>
      </c>
      <c r="Q194">
        <v>13790</v>
      </c>
      <c r="R194">
        <v>0</v>
      </c>
      <c r="S194">
        <v>0</v>
      </c>
      <c r="T194">
        <v>0</v>
      </c>
      <c r="U194">
        <v>0</v>
      </c>
      <c r="V194">
        <v>13330</v>
      </c>
      <c r="W194">
        <v>0</v>
      </c>
      <c r="X194" t="s">
        <v>42</v>
      </c>
      <c r="Y194" t="s">
        <v>98</v>
      </c>
      <c r="Z194" t="s">
        <v>91</v>
      </c>
      <c r="AA194">
        <v>6</v>
      </c>
      <c r="AB194" t="s">
        <v>1171</v>
      </c>
    </row>
    <row r="195" spans="1:28">
      <c r="A195" t="s">
        <v>1181</v>
      </c>
      <c r="B195" t="s">
        <v>631</v>
      </c>
      <c r="C195" t="s">
        <v>64</v>
      </c>
      <c r="D195" t="s">
        <v>1469</v>
      </c>
      <c r="E195" t="s">
        <v>100</v>
      </c>
      <c r="F195">
        <v>29500</v>
      </c>
      <c r="G195" t="s">
        <v>98</v>
      </c>
      <c r="H195" t="s">
        <v>32</v>
      </c>
      <c r="I195" t="s">
        <v>24</v>
      </c>
      <c r="J195" t="s">
        <v>1171</v>
      </c>
      <c r="K195" t="s">
        <v>1457</v>
      </c>
      <c r="L195" t="s">
        <v>1171</v>
      </c>
      <c r="M195" t="s">
        <v>1490</v>
      </c>
      <c r="N195">
        <v>21594</v>
      </c>
      <c r="O195">
        <v>1761</v>
      </c>
      <c r="P195">
        <v>9797</v>
      </c>
      <c r="Q195">
        <v>10307</v>
      </c>
      <c r="R195">
        <v>0</v>
      </c>
      <c r="S195">
        <v>10797</v>
      </c>
      <c r="T195">
        <v>5399</v>
      </c>
      <c r="U195">
        <v>0</v>
      </c>
      <c r="V195">
        <v>0</v>
      </c>
      <c r="W195">
        <v>0</v>
      </c>
      <c r="X195" t="s">
        <v>47</v>
      </c>
      <c r="Y195" t="s">
        <v>91</v>
      </c>
      <c r="Z195" t="s">
        <v>32</v>
      </c>
      <c r="AA195">
        <v>8</v>
      </c>
      <c r="AB195" t="s">
        <v>1171</v>
      </c>
    </row>
    <row r="196" spans="1:28">
      <c r="A196" t="s">
        <v>1181</v>
      </c>
      <c r="B196" t="s">
        <v>631</v>
      </c>
      <c r="C196" t="s">
        <v>64</v>
      </c>
      <c r="D196" t="s">
        <v>1456</v>
      </c>
      <c r="E196" t="s">
        <v>648</v>
      </c>
      <c r="F196">
        <v>27500</v>
      </c>
      <c r="G196" t="s">
        <v>98</v>
      </c>
      <c r="H196" t="s">
        <v>32</v>
      </c>
      <c r="I196" t="s">
        <v>24</v>
      </c>
      <c r="J196" t="s">
        <v>1171</v>
      </c>
      <c r="K196" t="s">
        <v>1457</v>
      </c>
      <c r="L196" t="s">
        <v>1171</v>
      </c>
      <c r="M196" t="s">
        <v>1491</v>
      </c>
      <c r="N196">
        <v>20130</v>
      </c>
      <c r="O196">
        <v>1642</v>
      </c>
      <c r="P196">
        <v>9133</v>
      </c>
      <c r="Q196">
        <v>9608</v>
      </c>
      <c r="R196">
        <v>0</v>
      </c>
      <c r="S196">
        <v>10065</v>
      </c>
      <c r="T196">
        <v>5033</v>
      </c>
      <c r="U196">
        <v>0</v>
      </c>
      <c r="V196">
        <v>0</v>
      </c>
      <c r="W196">
        <v>0</v>
      </c>
      <c r="X196" t="s">
        <v>47</v>
      </c>
      <c r="Y196" t="s">
        <v>91</v>
      </c>
      <c r="Z196" t="s">
        <v>32</v>
      </c>
      <c r="AA196">
        <v>8</v>
      </c>
      <c r="AB196" t="s">
        <v>1171</v>
      </c>
    </row>
    <row r="197" spans="1:28">
      <c r="A197" t="s">
        <v>1181</v>
      </c>
      <c r="B197" t="s">
        <v>1182</v>
      </c>
      <c r="C197" t="s">
        <v>50</v>
      </c>
      <c r="D197" t="s">
        <v>1492</v>
      </c>
      <c r="E197" t="s">
        <v>93</v>
      </c>
      <c r="F197">
        <v>42100</v>
      </c>
      <c r="G197" t="s">
        <v>110</v>
      </c>
      <c r="H197" t="s">
        <v>37</v>
      </c>
      <c r="I197" t="s">
        <v>1171</v>
      </c>
      <c r="J197" t="s">
        <v>1171</v>
      </c>
      <c r="K197" t="s">
        <v>1187</v>
      </c>
      <c r="L197" t="s">
        <v>1171</v>
      </c>
      <c r="M197" t="s">
        <v>1493</v>
      </c>
      <c r="N197">
        <v>11556</v>
      </c>
      <c r="O197">
        <v>943</v>
      </c>
      <c r="P197">
        <v>2381</v>
      </c>
      <c r="Q197">
        <v>0</v>
      </c>
      <c r="R197">
        <v>0</v>
      </c>
      <c r="S197">
        <v>0</v>
      </c>
      <c r="T197">
        <v>0</v>
      </c>
      <c r="U197">
        <v>7879</v>
      </c>
      <c r="V197">
        <v>6303</v>
      </c>
      <c r="W197">
        <v>0</v>
      </c>
      <c r="X197" t="s">
        <v>47</v>
      </c>
      <c r="Y197" t="s">
        <v>1175</v>
      </c>
      <c r="Z197" t="s">
        <v>1175</v>
      </c>
      <c r="AA197">
        <v>6</v>
      </c>
      <c r="AB197" t="s">
        <v>1171</v>
      </c>
    </row>
    <row r="198" spans="1:28">
      <c r="A198" t="s">
        <v>1168</v>
      </c>
      <c r="B198" t="s">
        <v>1169</v>
      </c>
      <c r="C198" t="s">
        <v>50</v>
      </c>
      <c r="D198" t="s">
        <v>928</v>
      </c>
      <c r="E198" t="s">
        <v>701</v>
      </c>
      <c r="F198">
        <v>41400</v>
      </c>
      <c r="G198" t="s">
        <v>32</v>
      </c>
      <c r="H198" t="s">
        <v>37</v>
      </c>
      <c r="I198" t="s">
        <v>1171</v>
      </c>
      <c r="J198" t="s">
        <v>1171</v>
      </c>
      <c r="K198" t="s">
        <v>1172</v>
      </c>
      <c r="L198" t="s">
        <v>1173</v>
      </c>
      <c r="M198" t="s">
        <v>1494</v>
      </c>
      <c r="N198">
        <v>11364</v>
      </c>
      <c r="O198">
        <v>0</v>
      </c>
      <c r="P198">
        <v>1561</v>
      </c>
      <c r="Q198">
        <v>0</v>
      </c>
      <c r="R198">
        <v>0</v>
      </c>
      <c r="S198">
        <v>20145</v>
      </c>
      <c r="T198">
        <v>0</v>
      </c>
      <c r="U198">
        <v>0</v>
      </c>
      <c r="V198">
        <v>6199</v>
      </c>
      <c r="W198">
        <v>0</v>
      </c>
      <c r="X198" t="s">
        <v>32</v>
      </c>
      <c r="Y198" t="s">
        <v>1175</v>
      </c>
      <c r="Z198" t="s">
        <v>1175</v>
      </c>
      <c r="AA198">
        <v>6</v>
      </c>
      <c r="AB198" t="s">
        <v>1171</v>
      </c>
    </row>
    <row r="199" spans="1:28">
      <c r="A199" t="s">
        <v>1168</v>
      </c>
      <c r="B199" t="s">
        <v>1169</v>
      </c>
      <c r="C199" t="s">
        <v>50</v>
      </c>
      <c r="D199" t="s">
        <v>928</v>
      </c>
      <c r="E199" t="s">
        <v>704</v>
      </c>
      <c r="F199">
        <v>41400</v>
      </c>
      <c r="G199" t="s">
        <v>98</v>
      </c>
      <c r="H199" t="s">
        <v>37</v>
      </c>
      <c r="I199" t="s">
        <v>1171</v>
      </c>
      <c r="J199" t="s">
        <v>1171</v>
      </c>
      <c r="K199" t="s">
        <v>1184</v>
      </c>
      <c r="L199" t="s">
        <v>1173</v>
      </c>
      <c r="M199" t="s">
        <v>1495</v>
      </c>
      <c r="N199">
        <v>11364</v>
      </c>
      <c r="O199">
        <v>0</v>
      </c>
      <c r="P199">
        <v>1561</v>
      </c>
      <c r="Q199">
        <v>20145</v>
      </c>
      <c r="R199">
        <v>0</v>
      </c>
      <c r="S199">
        <v>0</v>
      </c>
      <c r="T199">
        <v>0</v>
      </c>
      <c r="U199">
        <v>0</v>
      </c>
      <c r="V199">
        <v>6199</v>
      </c>
      <c r="W199">
        <v>0</v>
      </c>
      <c r="X199" t="s">
        <v>47</v>
      </c>
      <c r="Y199" t="s">
        <v>1175</v>
      </c>
      <c r="Z199" t="s">
        <v>1175</v>
      </c>
      <c r="AA199">
        <v>6</v>
      </c>
      <c r="AB199" t="s">
        <v>1171</v>
      </c>
    </row>
    <row r="200" spans="1:28">
      <c r="A200" t="s">
        <v>1168</v>
      </c>
      <c r="B200" t="s">
        <v>1193</v>
      </c>
      <c r="C200" t="s">
        <v>50</v>
      </c>
      <c r="D200" t="s">
        <v>928</v>
      </c>
      <c r="E200" t="s">
        <v>701</v>
      </c>
      <c r="F200">
        <v>41400</v>
      </c>
      <c r="G200" t="s">
        <v>110</v>
      </c>
      <c r="H200" t="s">
        <v>37</v>
      </c>
      <c r="I200" t="s">
        <v>1171</v>
      </c>
      <c r="J200" t="s">
        <v>1171</v>
      </c>
      <c r="K200" t="s">
        <v>1187</v>
      </c>
      <c r="L200" t="s">
        <v>1173</v>
      </c>
      <c r="M200" t="s">
        <v>1496</v>
      </c>
      <c r="N200">
        <v>11364</v>
      </c>
      <c r="O200">
        <v>0</v>
      </c>
      <c r="P200">
        <v>1561</v>
      </c>
      <c r="Q200">
        <v>0</v>
      </c>
      <c r="R200">
        <v>0</v>
      </c>
      <c r="S200">
        <v>0</v>
      </c>
      <c r="T200">
        <v>0</v>
      </c>
      <c r="U200">
        <v>20662</v>
      </c>
      <c r="V200">
        <v>6199</v>
      </c>
      <c r="W200">
        <v>0</v>
      </c>
      <c r="X200" t="s">
        <v>47</v>
      </c>
      <c r="Y200" t="s">
        <v>1175</v>
      </c>
      <c r="Z200" t="s">
        <v>1175</v>
      </c>
      <c r="AA200">
        <v>6</v>
      </c>
      <c r="AB200" t="s">
        <v>1171</v>
      </c>
    </row>
    <row r="201" spans="1:28">
      <c r="A201" t="s">
        <v>1181</v>
      </c>
      <c r="B201" t="s">
        <v>1182</v>
      </c>
      <c r="C201" t="s">
        <v>50</v>
      </c>
      <c r="D201" t="s">
        <v>1497</v>
      </c>
      <c r="E201" t="s">
        <v>93</v>
      </c>
      <c r="F201">
        <v>41400</v>
      </c>
      <c r="G201" t="s">
        <v>32</v>
      </c>
      <c r="H201" t="s">
        <v>37</v>
      </c>
      <c r="I201" t="s">
        <v>1171</v>
      </c>
      <c r="J201" t="s">
        <v>1171</v>
      </c>
      <c r="K201" t="s">
        <v>1172</v>
      </c>
      <c r="L201" t="s">
        <v>1171</v>
      </c>
      <c r="M201" t="s">
        <v>51</v>
      </c>
      <c r="N201">
        <v>11364</v>
      </c>
      <c r="O201">
        <v>927</v>
      </c>
      <c r="P201">
        <v>2342</v>
      </c>
      <c r="Q201">
        <v>0</v>
      </c>
      <c r="R201">
        <v>0</v>
      </c>
      <c r="S201">
        <v>7748</v>
      </c>
      <c r="T201">
        <v>0</v>
      </c>
      <c r="U201">
        <v>0</v>
      </c>
      <c r="V201">
        <v>6199</v>
      </c>
      <c r="W201">
        <v>0</v>
      </c>
      <c r="X201" t="s">
        <v>37</v>
      </c>
      <c r="Y201" t="s">
        <v>1175</v>
      </c>
      <c r="Z201" t="s">
        <v>1175</v>
      </c>
      <c r="AA201">
        <v>6</v>
      </c>
      <c r="AB201" t="s">
        <v>1171</v>
      </c>
    </row>
    <row r="202" spans="1:28">
      <c r="A202" t="s">
        <v>1181</v>
      </c>
      <c r="B202" t="s">
        <v>1182</v>
      </c>
      <c r="C202" t="s">
        <v>50</v>
      </c>
      <c r="D202" t="s">
        <v>1498</v>
      </c>
      <c r="E202" t="s">
        <v>93</v>
      </c>
      <c r="F202">
        <v>41400</v>
      </c>
      <c r="G202" t="s">
        <v>98</v>
      </c>
      <c r="H202" t="s">
        <v>37</v>
      </c>
      <c r="I202" t="s">
        <v>1171</v>
      </c>
      <c r="J202" t="s">
        <v>1171</v>
      </c>
      <c r="K202" t="s">
        <v>1184</v>
      </c>
      <c r="L202" t="s">
        <v>1171</v>
      </c>
      <c r="M202" t="s">
        <v>1499</v>
      </c>
      <c r="N202">
        <v>11364</v>
      </c>
      <c r="O202">
        <v>927</v>
      </c>
      <c r="P202">
        <v>2342</v>
      </c>
      <c r="Q202">
        <v>7748</v>
      </c>
      <c r="R202">
        <v>0</v>
      </c>
      <c r="S202">
        <v>0</v>
      </c>
      <c r="T202">
        <v>0</v>
      </c>
      <c r="U202">
        <v>0</v>
      </c>
      <c r="V202">
        <v>6199</v>
      </c>
      <c r="W202">
        <v>0</v>
      </c>
      <c r="X202" t="s">
        <v>32</v>
      </c>
      <c r="Y202" t="s">
        <v>1175</v>
      </c>
      <c r="Z202" t="s">
        <v>1175</v>
      </c>
      <c r="AA202">
        <v>6</v>
      </c>
      <c r="AB202" t="s">
        <v>1171</v>
      </c>
    </row>
    <row r="203" spans="1:28">
      <c r="A203" t="s">
        <v>1181</v>
      </c>
      <c r="B203" t="s">
        <v>1182</v>
      </c>
      <c r="C203" t="s">
        <v>50</v>
      </c>
      <c r="D203" t="s">
        <v>1500</v>
      </c>
      <c r="E203" t="s">
        <v>93</v>
      </c>
      <c r="F203">
        <v>41400</v>
      </c>
      <c r="G203" t="s">
        <v>98</v>
      </c>
      <c r="H203" t="s">
        <v>37</v>
      </c>
      <c r="I203" t="s">
        <v>1171</v>
      </c>
      <c r="J203" t="s">
        <v>1171</v>
      </c>
      <c r="K203" t="s">
        <v>1184</v>
      </c>
      <c r="L203" t="s">
        <v>1171</v>
      </c>
      <c r="M203" t="s">
        <v>1501</v>
      </c>
      <c r="N203">
        <v>11364</v>
      </c>
      <c r="O203">
        <v>927</v>
      </c>
      <c r="P203">
        <v>2342</v>
      </c>
      <c r="Q203">
        <v>7748</v>
      </c>
      <c r="R203">
        <v>0</v>
      </c>
      <c r="S203">
        <v>0</v>
      </c>
      <c r="T203">
        <v>0</v>
      </c>
      <c r="U203">
        <v>0</v>
      </c>
      <c r="V203">
        <v>6199</v>
      </c>
      <c r="W203">
        <v>0</v>
      </c>
      <c r="X203" t="s">
        <v>32</v>
      </c>
      <c r="Y203" t="s">
        <v>1175</v>
      </c>
      <c r="Z203" t="s">
        <v>1175</v>
      </c>
      <c r="AA203">
        <v>6</v>
      </c>
      <c r="AB203" t="s">
        <v>1171</v>
      </c>
    </row>
    <row r="204" spans="1:28">
      <c r="A204" t="s">
        <v>1181</v>
      </c>
      <c r="B204" t="s">
        <v>1182</v>
      </c>
      <c r="C204" t="s">
        <v>50</v>
      </c>
      <c r="D204" t="s">
        <v>1502</v>
      </c>
      <c r="E204" t="s">
        <v>93</v>
      </c>
      <c r="F204">
        <v>41400</v>
      </c>
      <c r="G204" t="s">
        <v>24</v>
      </c>
      <c r="H204" t="s">
        <v>37</v>
      </c>
      <c r="I204" t="s">
        <v>1171</v>
      </c>
      <c r="J204" t="s">
        <v>1171</v>
      </c>
      <c r="K204" t="s">
        <v>1191</v>
      </c>
      <c r="L204" t="s">
        <v>1171</v>
      </c>
      <c r="M204" t="s">
        <v>1503</v>
      </c>
      <c r="N204">
        <v>11364</v>
      </c>
      <c r="O204">
        <v>927</v>
      </c>
      <c r="P204">
        <v>2342</v>
      </c>
      <c r="Q204">
        <v>0</v>
      </c>
      <c r="R204">
        <v>0</v>
      </c>
      <c r="S204">
        <v>0</v>
      </c>
      <c r="T204">
        <v>7748</v>
      </c>
      <c r="U204">
        <v>0</v>
      </c>
      <c r="V204">
        <v>6199</v>
      </c>
      <c r="W204">
        <v>0</v>
      </c>
      <c r="X204" t="s">
        <v>37</v>
      </c>
      <c r="Y204" t="s">
        <v>1175</v>
      </c>
      <c r="Z204" t="s">
        <v>1175</v>
      </c>
      <c r="AA204">
        <v>6</v>
      </c>
      <c r="AB204" t="s">
        <v>1171</v>
      </c>
    </row>
    <row r="205" spans="1:28">
      <c r="A205" t="s">
        <v>1168</v>
      </c>
      <c r="B205" t="s">
        <v>1205</v>
      </c>
      <c r="C205" t="s">
        <v>50</v>
      </c>
      <c r="D205" t="s">
        <v>928</v>
      </c>
      <c r="E205" t="s">
        <v>702</v>
      </c>
      <c r="F205">
        <v>38100</v>
      </c>
      <c r="G205" t="s">
        <v>98</v>
      </c>
      <c r="H205" t="s">
        <v>110</v>
      </c>
      <c r="I205" t="s">
        <v>32</v>
      </c>
      <c r="J205" t="s">
        <v>37</v>
      </c>
      <c r="K205" t="s">
        <v>1331</v>
      </c>
      <c r="L205" t="s">
        <v>1173</v>
      </c>
      <c r="M205" t="s">
        <v>1504</v>
      </c>
      <c r="N205">
        <v>10458</v>
      </c>
      <c r="O205">
        <v>0</v>
      </c>
      <c r="P205">
        <v>3376</v>
      </c>
      <c r="Q205">
        <v>4753</v>
      </c>
      <c r="R205">
        <v>0</v>
      </c>
      <c r="S205">
        <v>4753</v>
      </c>
      <c r="T205">
        <v>0</v>
      </c>
      <c r="U205">
        <v>4753</v>
      </c>
      <c r="V205">
        <v>4753</v>
      </c>
      <c r="W205">
        <v>0</v>
      </c>
      <c r="X205" t="s">
        <v>98</v>
      </c>
      <c r="Y205" t="s">
        <v>1175</v>
      </c>
      <c r="Z205" t="s">
        <v>1175</v>
      </c>
      <c r="AA205">
        <v>6</v>
      </c>
      <c r="AB205" t="s">
        <v>1171</v>
      </c>
    </row>
    <row r="206" spans="1:28">
      <c r="A206" t="s">
        <v>1168</v>
      </c>
      <c r="B206" t="s">
        <v>1176</v>
      </c>
      <c r="C206" t="s">
        <v>50</v>
      </c>
      <c r="D206" t="s">
        <v>928</v>
      </c>
      <c r="E206" t="s">
        <v>702</v>
      </c>
      <c r="F206">
        <v>38100</v>
      </c>
      <c r="G206" t="s">
        <v>110</v>
      </c>
      <c r="H206" t="s">
        <v>1171</v>
      </c>
      <c r="I206" t="s">
        <v>1171</v>
      </c>
      <c r="J206" t="s">
        <v>1171</v>
      </c>
      <c r="K206" t="s">
        <v>110</v>
      </c>
      <c r="L206" t="s">
        <v>1173</v>
      </c>
      <c r="M206" t="s">
        <v>1505</v>
      </c>
      <c r="N206">
        <v>10458</v>
      </c>
      <c r="O206">
        <v>0</v>
      </c>
      <c r="P206">
        <v>4022</v>
      </c>
      <c r="Q206">
        <v>0</v>
      </c>
      <c r="R206">
        <v>0</v>
      </c>
      <c r="S206">
        <v>0</v>
      </c>
      <c r="T206">
        <v>0</v>
      </c>
      <c r="U206">
        <v>14737</v>
      </c>
      <c r="V206">
        <v>0</v>
      </c>
      <c r="W206">
        <v>0</v>
      </c>
      <c r="X206" t="s">
        <v>98</v>
      </c>
      <c r="Y206" t="s">
        <v>1175</v>
      </c>
      <c r="Z206" t="s">
        <v>1175</v>
      </c>
      <c r="AA206">
        <v>6</v>
      </c>
      <c r="AB206" t="s">
        <v>1171</v>
      </c>
    </row>
    <row r="207" spans="1:28">
      <c r="A207" t="s">
        <v>1168</v>
      </c>
      <c r="B207" t="s">
        <v>1176</v>
      </c>
      <c r="C207" t="s">
        <v>50</v>
      </c>
      <c r="D207" t="s">
        <v>928</v>
      </c>
      <c r="E207" t="s">
        <v>705</v>
      </c>
      <c r="F207">
        <v>38100</v>
      </c>
      <c r="G207" t="s">
        <v>98</v>
      </c>
      <c r="H207" t="s">
        <v>42</v>
      </c>
      <c r="I207" t="s">
        <v>110</v>
      </c>
      <c r="J207" t="s">
        <v>1171</v>
      </c>
      <c r="K207" t="s">
        <v>1179</v>
      </c>
      <c r="L207" t="s">
        <v>1173</v>
      </c>
      <c r="M207" t="s">
        <v>1506</v>
      </c>
      <c r="N207">
        <v>10458</v>
      </c>
      <c r="O207">
        <v>0</v>
      </c>
      <c r="P207">
        <v>4166</v>
      </c>
      <c r="Q207">
        <v>8557</v>
      </c>
      <c r="R207">
        <v>3566</v>
      </c>
      <c r="S207">
        <v>0</v>
      </c>
      <c r="T207">
        <v>0</v>
      </c>
      <c r="U207">
        <v>3566</v>
      </c>
      <c r="V207">
        <v>0</v>
      </c>
      <c r="W207">
        <v>0</v>
      </c>
      <c r="X207" t="s">
        <v>32</v>
      </c>
      <c r="Y207" t="s">
        <v>1175</v>
      </c>
      <c r="Z207" t="s">
        <v>1175</v>
      </c>
      <c r="AA207">
        <v>6</v>
      </c>
      <c r="AB207" t="s">
        <v>1171</v>
      </c>
    </row>
    <row r="208" spans="1:28">
      <c r="A208" t="s">
        <v>1181</v>
      </c>
      <c r="B208" t="s">
        <v>1182</v>
      </c>
      <c r="C208" t="s">
        <v>50</v>
      </c>
      <c r="D208" t="s">
        <v>1492</v>
      </c>
      <c r="E208" t="s">
        <v>93</v>
      </c>
      <c r="F208">
        <v>35900</v>
      </c>
      <c r="G208" t="s">
        <v>110</v>
      </c>
      <c r="H208" t="s">
        <v>37</v>
      </c>
      <c r="I208" t="s">
        <v>1171</v>
      </c>
      <c r="J208" t="s">
        <v>1171</v>
      </c>
      <c r="K208" t="s">
        <v>1187</v>
      </c>
      <c r="L208" t="s">
        <v>1171</v>
      </c>
      <c r="M208" t="s">
        <v>256</v>
      </c>
      <c r="N208">
        <v>9854</v>
      </c>
      <c r="O208">
        <v>804</v>
      </c>
      <c r="P208">
        <v>2031</v>
      </c>
      <c r="Q208">
        <v>0</v>
      </c>
      <c r="R208">
        <v>0</v>
      </c>
      <c r="S208">
        <v>0</v>
      </c>
      <c r="T208">
        <v>0</v>
      </c>
      <c r="U208">
        <v>6719</v>
      </c>
      <c r="V208">
        <v>5375</v>
      </c>
      <c r="W208">
        <v>0</v>
      </c>
      <c r="X208" t="s">
        <v>47</v>
      </c>
      <c r="Y208" t="s">
        <v>1175</v>
      </c>
      <c r="Z208" t="s">
        <v>1175</v>
      </c>
      <c r="AA208">
        <v>6</v>
      </c>
      <c r="AB208" t="s">
        <v>1171</v>
      </c>
    </row>
    <row r="209" spans="1:28">
      <c r="A209" t="s">
        <v>1181</v>
      </c>
      <c r="B209" t="s">
        <v>1182</v>
      </c>
      <c r="C209" t="s">
        <v>50</v>
      </c>
      <c r="D209" t="s">
        <v>1507</v>
      </c>
      <c r="E209" t="s">
        <v>93</v>
      </c>
      <c r="F209">
        <v>35300</v>
      </c>
      <c r="G209" t="s">
        <v>98</v>
      </c>
      <c r="H209" t="s">
        <v>37</v>
      </c>
      <c r="I209" t="s">
        <v>1171</v>
      </c>
      <c r="J209" t="s">
        <v>1171</v>
      </c>
      <c r="K209" t="s">
        <v>1184</v>
      </c>
      <c r="L209" t="s">
        <v>1171</v>
      </c>
      <c r="M209" t="s">
        <v>1508</v>
      </c>
      <c r="N209">
        <v>9690</v>
      </c>
      <c r="O209">
        <v>790</v>
      </c>
      <c r="P209">
        <v>1997</v>
      </c>
      <c r="Q209">
        <v>6607</v>
      </c>
      <c r="R209">
        <v>0</v>
      </c>
      <c r="S209">
        <v>0</v>
      </c>
      <c r="T209">
        <v>0</v>
      </c>
      <c r="U209">
        <v>0</v>
      </c>
      <c r="V209">
        <v>5285</v>
      </c>
      <c r="W209">
        <v>0</v>
      </c>
      <c r="X209" t="s">
        <v>32</v>
      </c>
      <c r="Y209" t="s">
        <v>1175</v>
      </c>
      <c r="Z209" t="s">
        <v>1175</v>
      </c>
      <c r="AA209">
        <v>6</v>
      </c>
      <c r="AB209" t="s">
        <v>1171</v>
      </c>
    </row>
    <row r="210" spans="1:28">
      <c r="A210" t="s">
        <v>1181</v>
      </c>
      <c r="B210" t="s">
        <v>1182</v>
      </c>
      <c r="C210" t="s">
        <v>50</v>
      </c>
      <c r="D210" t="s">
        <v>1500</v>
      </c>
      <c r="E210" t="s">
        <v>93</v>
      </c>
      <c r="F210">
        <v>35300</v>
      </c>
      <c r="G210" t="s">
        <v>98</v>
      </c>
      <c r="H210" t="s">
        <v>37</v>
      </c>
      <c r="I210" t="s">
        <v>1171</v>
      </c>
      <c r="J210" t="s">
        <v>1171</v>
      </c>
      <c r="K210" t="s">
        <v>1184</v>
      </c>
      <c r="L210" t="s">
        <v>1171</v>
      </c>
      <c r="M210" t="s">
        <v>1509</v>
      </c>
      <c r="N210">
        <v>9690</v>
      </c>
      <c r="O210">
        <v>790</v>
      </c>
      <c r="P210">
        <v>1997</v>
      </c>
      <c r="Q210">
        <v>6607</v>
      </c>
      <c r="R210">
        <v>0</v>
      </c>
      <c r="S210">
        <v>0</v>
      </c>
      <c r="T210">
        <v>0</v>
      </c>
      <c r="U210">
        <v>0</v>
      </c>
      <c r="V210">
        <v>5285</v>
      </c>
      <c r="W210">
        <v>0</v>
      </c>
      <c r="X210" t="s">
        <v>32</v>
      </c>
      <c r="Y210" t="s">
        <v>1175</v>
      </c>
      <c r="Z210" t="s">
        <v>1175</v>
      </c>
      <c r="AA210">
        <v>6</v>
      </c>
      <c r="AB210" t="s">
        <v>1171</v>
      </c>
    </row>
    <row r="211" spans="1:28">
      <c r="A211" t="s">
        <v>1181</v>
      </c>
      <c r="B211" t="s">
        <v>1182</v>
      </c>
      <c r="C211" t="s">
        <v>50</v>
      </c>
      <c r="D211" t="s">
        <v>1510</v>
      </c>
      <c r="E211" t="s">
        <v>93</v>
      </c>
      <c r="F211">
        <v>35300</v>
      </c>
      <c r="G211" t="s">
        <v>32</v>
      </c>
      <c r="H211" t="s">
        <v>37</v>
      </c>
      <c r="I211" t="s">
        <v>1171</v>
      </c>
      <c r="J211" t="s">
        <v>1171</v>
      </c>
      <c r="K211" t="s">
        <v>1172</v>
      </c>
      <c r="L211" t="s">
        <v>1171</v>
      </c>
      <c r="M211" t="s">
        <v>1511</v>
      </c>
      <c r="N211">
        <v>9690</v>
      </c>
      <c r="O211">
        <v>790</v>
      </c>
      <c r="P211">
        <v>1997</v>
      </c>
      <c r="Q211">
        <v>0</v>
      </c>
      <c r="R211">
        <v>0</v>
      </c>
      <c r="S211">
        <v>6607</v>
      </c>
      <c r="T211">
        <v>0</v>
      </c>
      <c r="U211">
        <v>0</v>
      </c>
      <c r="V211">
        <v>5285</v>
      </c>
      <c r="W211">
        <v>0</v>
      </c>
      <c r="X211" t="s">
        <v>37</v>
      </c>
      <c r="Y211" t="s">
        <v>1175</v>
      </c>
      <c r="Z211" t="s">
        <v>1175</v>
      </c>
      <c r="AA211">
        <v>6</v>
      </c>
      <c r="AB211" t="s">
        <v>1171</v>
      </c>
    </row>
    <row r="212" spans="1:28">
      <c r="A212" t="s">
        <v>1181</v>
      </c>
      <c r="B212" t="s">
        <v>1182</v>
      </c>
      <c r="C212" t="s">
        <v>50</v>
      </c>
      <c r="D212" t="s">
        <v>1512</v>
      </c>
      <c r="E212" t="s">
        <v>93</v>
      </c>
      <c r="F212">
        <v>35300</v>
      </c>
      <c r="G212" t="s">
        <v>24</v>
      </c>
      <c r="H212" t="s">
        <v>37</v>
      </c>
      <c r="I212" t="s">
        <v>1171</v>
      </c>
      <c r="J212" t="s">
        <v>1171</v>
      </c>
      <c r="K212" t="s">
        <v>1191</v>
      </c>
      <c r="L212" t="s">
        <v>1171</v>
      </c>
      <c r="M212" t="s">
        <v>1513</v>
      </c>
      <c r="N212">
        <v>9690</v>
      </c>
      <c r="O212">
        <v>790</v>
      </c>
      <c r="P212">
        <v>1997</v>
      </c>
      <c r="Q212">
        <v>0</v>
      </c>
      <c r="R212">
        <v>0</v>
      </c>
      <c r="S212">
        <v>0</v>
      </c>
      <c r="T212">
        <v>6607</v>
      </c>
      <c r="U212">
        <v>0</v>
      </c>
      <c r="V212">
        <v>5285</v>
      </c>
      <c r="W212">
        <v>0</v>
      </c>
      <c r="X212" t="s">
        <v>37</v>
      </c>
      <c r="Y212" t="s">
        <v>1175</v>
      </c>
      <c r="Z212" t="s">
        <v>1175</v>
      </c>
      <c r="AA212">
        <v>6</v>
      </c>
      <c r="AB212" t="s">
        <v>1171</v>
      </c>
    </row>
    <row r="213" spans="1:28">
      <c r="A213" t="s">
        <v>1168</v>
      </c>
      <c r="B213" t="s">
        <v>1205</v>
      </c>
      <c r="C213" t="s">
        <v>50</v>
      </c>
      <c r="D213" t="s">
        <v>928</v>
      </c>
      <c r="E213" t="s">
        <v>700</v>
      </c>
      <c r="F213">
        <v>35300</v>
      </c>
      <c r="G213" t="s">
        <v>37</v>
      </c>
      <c r="H213" t="s">
        <v>1171</v>
      </c>
      <c r="I213" t="s">
        <v>1171</v>
      </c>
      <c r="J213" t="s">
        <v>1171</v>
      </c>
      <c r="K213" t="s">
        <v>37</v>
      </c>
      <c r="L213" t="s">
        <v>1173</v>
      </c>
      <c r="M213" t="s">
        <v>1514</v>
      </c>
      <c r="N213">
        <v>9690</v>
      </c>
      <c r="O213">
        <v>0</v>
      </c>
      <c r="P213">
        <v>4525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9689</v>
      </c>
      <c r="W213">
        <v>0</v>
      </c>
      <c r="X213" t="s">
        <v>98</v>
      </c>
      <c r="Y213" t="s">
        <v>1175</v>
      </c>
      <c r="Z213" t="s">
        <v>1175</v>
      </c>
      <c r="AA213">
        <v>6</v>
      </c>
      <c r="AB213" t="s">
        <v>1171</v>
      </c>
    </row>
    <row r="214" spans="1:28">
      <c r="A214" t="s">
        <v>1168</v>
      </c>
      <c r="B214" t="s">
        <v>1205</v>
      </c>
      <c r="C214" t="s">
        <v>50</v>
      </c>
      <c r="D214" t="s">
        <v>928</v>
      </c>
      <c r="E214" t="s">
        <v>703</v>
      </c>
      <c r="F214">
        <v>35300</v>
      </c>
      <c r="G214" t="s">
        <v>98</v>
      </c>
      <c r="H214" t="s">
        <v>110</v>
      </c>
      <c r="I214" t="s">
        <v>37</v>
      </c>
      <c r="J214" t="s">
        <v>1171</v>
      </c>
      <c r="K214" t="s">
        <v>1239</v>
      </c>
      <c r="L214" t="s">
        <v>1173</v>
      </c>
      <c r="M214" t="s">
        <v>279</v>
      </c>
      <c r="N214">
        <v>9690</v>
      </c>
      <c r="O214">
        <v>0</v>
      </c>
      <c r="P214">
        <v>3860</v>
      </c>
      <c r="Q214">
        <v>4404</v>
      </c>
      <c r="R214">
        <v>0</v>
      </c>
      <c r="S214">
        <v>0</v>
      </c>
      <c r="T214">
        <v>0</v>
      </c>
      <c r="U214">
        <v>4404</v>
      </c>
      <c r="V214">
        <v>4404</v>
      </c>
      <c r="W214">
        <v>0</v>
      </c>
      <c r="X214" t="s">
        <v>32</v>
      </c>
      <c r="Y214" t="s">
        <v>1175</v>
      </c>
      <c r="Z214" t="s">
        <v>1175</v>
      </c>
      <c r="AA214">
        <v>6</v>
      </c>
      <c r="AB214" t="s">
        <v>1171</v>
      </c>
    </row>
    <row r="215" spans="1:28">
      <c r="A215" t="s">
        <v>1168</v>
      </c>
      <c r="B215" t="s">
        <v>1205</v>
      </c>
      <c r="C215" t="s">
        <v>50</v>
      </c>
      <c r="D215" t="s">
        <v>928</v>
      </c>
      <c r="E215" t="s">
        <v>700</v>
      </c>
      <c r="F215">
        <v>35300</v>
      </c>
      <c r="G215" t="s">
        <v>32</v>
      </c>
      <c r="H215" t="s">
        <v>37</v>
      </c>
      <c r="I215" t="s">
        <v>1171</v>
      </c>
      <c r="J215" t="s">
        <v>1171</v>
      </c>
      <c r="K215" t="s">
        <v>1172</v>
      </c>
      <c r="L215" t="s">
        <v>1173</v>
      </c>
      <c r="M215" t="s">
        <v>277</v>
      </c>
      <c r="N215">
        <v>9690</v>
      </c>
      <c r="O215">
        <v>0</v>
      </c>
      <c r="P215">
        <v>3194</v>
      </c>
      <c r="Q215">
        <v>0</v>
      </c>
      <c r="R215">
        <v>0</v>
      </c>
      <c r="S215">
        <v>4845</v>
      </c>
      <c r="T215">
        <v>0</v>
      </c>
      <c r="U215">
        <v>0</v>
      </c>
      <c r="V215">
        <v>9690</v>
      </c>
      <c r="W215">
        <v>0</v>
      </c>
      <c r="X215" t="s">
        <v>110</v>
      </c>
      <c r="Y215" t="s">
        <v>1175</v>
      </c>
      <c r="Z215" t="s">
        <v>1175</v>
      </c>
      <c r="AA215">
        <v>6</v>
      </c>
      <c r="AB215" t="s">
        <v>1171</v>
      </c>
    </row>
    <row r="216" spans="1:28">
      <c r="A216" t="s">
        <v>1181</v>
      </c>
      <c r="B216" t="s">
        <v>1182</v>
      </c>
      <c r="C216" t="s">
        <v>45</v>
      </c>
      <c r="D216" t="s">
        <v>1515</v>
      </c>
      <c r="E216" t="s">
        <v>598</v>
      </c>
      <c r="F216">
        <v>42100</v>
      </c>
      <c r="G216" t="s">
        <v>110</v>
      </c>
      <c r="H216" t="s">
        <v>37</v>
      </c>
      <c r="I216" t="s">
        <v>1171</v>
      </c>
      <c r="J216" t="s">
        <v>1171</v>
      </c>
      <c r="K216" t="s">
        <v>1187</v>
      </c>
      <c r="L216" t="s">
        <v>1171</v>
      </c>
      <c r="M216" t="s">
        <v>1516</v>
      </c>
      <c r="N216">
        <v>16179</v>
      </c>
      <c r="O216">
        <v>1320</v>
      </c>
      <c r="P216">
        <v>3334</v>
      </c>
      <c r="Q216">
        <v>0</v>
      </c>
      <c r="R216">
        <v>0</v>
      </c>
      <c r="S216">
        <v>0</v>
      </c>
      <c r="T216">
        <v>0</v>
      </c>
      <c r="U216">
        <v>11031</v>
      </c>
      <c r="V216">
        <v>8825</v>
      </c>
      <c r="W216">
        <v>0</v>
      </c>
      <c r="X216" t="s">
        <v>91</v>
      </c>
      <c r="Y216" t="s">
        <v>47</v>
      </c>
      <c r="Z216" t="s">
        <v>1175</v>
      </c>
      <c r="AA216">
        <v>6</v>
      </c>
      <c r="AB216" t="s">
        <v>1171</v>
      </c>
    </row>
    <row r="217" spans="1:28">
      <c r="A217" t="s">
        <v>1168</v>
      </c>
      <c r="B217" t="s">
        <v>1169</v>
      </c>
      <c r="C217" t="s">
        <v>45</v>
      </c>
      <c r="D217" t="s">
        <v>927</v>
      </c>
      <c r="E217" t="s">
        <v>698</v>
      </c>
      <c r="F217">
        <v>41400</v>
      </c>
      <c r="G217" t="s">
        <v>32</v>
      </c>
      <c r="H217" t="s">
        <v>37</v>
      </c>
      <c r="I217" t="s">
        <v>1171</v>
      </c>
      <c r="J217" t="s">
        <v>1171</v>
      </c>
      <c r="K217" t="s">
        <v>1172</v>
      </c>
      <c r="L217" t="s">
        <v>1173</v>
      </c>
      <c r="M217" t="s">
        <v>1517</v>
      </c>
      <c r="N217">
        <v>15910</v>
      </c>
      <c r="O217">
        <v>0</v>
      </c>
      <c r="P217">
        <v>2185</v>
      </c>
      <c r="Q217">
        <v>0</v>
      </c>
      <c r="R217">
        <v>0</v>
      </c>
      <c r="S217">
        <v>28203</v>
      </c>
      <c r="T217">
        <v>0</v>
      </c>
      <c r="U217">
        <v>0</v>
      </c>
      <c r="V217">
        <v>8679</v>
      </c>
      <c r="W217">
        <v>0</v>
      </c>
      <c r="X217" t="s">
        <v>32</v>
      </c>
      <c r="Y217" t="s">
        <v>47</v>
      </c>
      <c r="Z217" t="s">
        <v>1175</v>
      </c>
      <c r="AA217">
        <v>6</v>
      </c>
      <c r="AB217" t="s">
        <v>1171</v>
      </c>
    </row>
    <row r="218" spans="1:28">
      <c r="A218" t="s">
        <v>1168</v>
      </c>
      <c r="B218" t="s">
        <v>1205</v>
      </c>
      <c r="C218" t="s">
        <v>45</v>
      </c>
      <c r="D218" t="s">
        <v>927</v>
      </c>
      <c r="E218" t="s">
        <v>698</v>
      </c>
      <c r="F218">
        <v>41400</v>
      </c>
      <c r="G218" t="s">
        <v>98</v>
      </c>
      <c r="H218" t="s">
        <v>110</v>
      </c>
      <c r="I218" t="s">
        <v>32</v>
      </c>
      <c r="J218" t="s">
        <v>37</v>
      </c>
      <c r="K218" t="s">
        <v>1331</v>
      </c>
      <c r="L218" t="s">
        <v>1173</v>
      </c>
      <c r="M218" t="s">
        <v>1518</v>
      </c>
      <c r="N218">
        <v>15910</v>
      </c>
      <c r="O218">
        <v>0</v>
      </c>
      <c r="P218">
        <v>5135</v>
      </c>
      <c r="Q218">
        <v>7231</v>
      </c>
      <c r="R218">
        <v>0</v>
      </c>
      <c r="S218">
        <v>7231</v>
      </c>
      <c r="T218">
        <v>0</v>
      </c>
      <c r="U218">
        <v>7231</v>
      </c>
      <c r="V218">
        <v>7231</v>
      </c>
      <c r="W218">
        <v>0</v>
      </c>
      <c r="X218" t="s">
        <v>98</v>
      </c>
      <c r="Y218" t="s">
        <v>110</v>
      </c>
      <c r="Z218" t="s">
        <v>1175</v>
      </c>
      <c r="AA218">
        <v>6</v>
      </c>
      <c r="AB218" t="s">
        <v>1171</v>
      </c>
    </row>
    <row r="219" spans="1:28">
      <c r="A219" t="s">
        <v>1168</v>
      </c>
      <c r="B219" t="s">
        <v>1176</v>
      </c>
      <c r="C219" t="s">
        <v>45</v>
      </c>
      <c r="D219" t="s">
        <v>927</v>
      </c>
      <c r="E219" t="s">
        <v>695</v>
      </c>
      <c r="F219">
        <v>41400</v>
      </c>
      <c r="G219" t="s">
        <v>98</v>
      </c>
      <c r="H219" t="s">
        <v>42</v>
      </c>
      <c r="I219" t="s">
        <v>37</v>
      </c>
      <c r="J219" t="s">
        <v>1171</v>
      </c>
      <c r="K219" t="s">
        <v>1177</v>
      </c>
      <c r="L219" t="s">
        <v>1173</v>
      </c>
      <c r="M219" t="s">
        <v>1519</v>
      </c>
      <c r="N219">
        <v>15910</v>
      </c>
      <c r="O219">
        <v>0</v>
      </c>
      <c r="P219">
        <v>6338</v>
      </c>
      <c r="Q219">
        <v>13018</v>
      </c>
      <c r="R219">
        <v>5424</v>
      </c>
      <c r="S219">
        <v>0</v>
      </c>
      <c r="T219">
        <v>0</v>
      </c>
      <c r="U219">
        <v>0</v>
      </c>
      <c r="V219">
        <v>5424</v>
      </c>
      <c r="W219">
        <v>0</v>
      </c>
      <c r="X219" t="s">
        <v>32</v>
      </c>
      <c r="Y219" t="s">
        <v>37</v>
      </c>
      <c r="Z219" t="s">
        <v>1175</v>
      </c>
      <c r="AA219">
        <v>6</v>
      </c>
      <c r="AB219" t="s">
        <v>1171</v>
      </c>
    </row>
    <row r="220" spans="1:28">
      <c r="A220" t="s">
        <v>1181</v>
      </c>
      <c r="B220" t="s">
        <v>1182</v>
      </c>
      <c r="C220" t="s">
        <v>45</v>
      </c>
      <c r="D220" t="s">
        <v>1520</v>
      </c>
      <c r="E220" t="s">
        <v>93</v>
      </c>
      <c r="F220">
        <v>41400</v>
      </c>
      <c r="G220" t="s">
        <v>24</v>
      </c>
      <c r="H220" t="s">
        <v>37</v>
      </c>
      <c r="I220" t="s">
        <v>1171</v>
      </c>
      <c r="J220" t="s">
        <v>1171</v>
      </c>
      <c r="K220" t="s">
        <v>1191</v>
      </c>
      <c r="L220" t="s">
        <v>1171</v>
      </c>
      <c r="M220" t="s">
        <v>1521</v>
      </c>
      <c r="N220">
        <v>15910</v>
      </c>
      <c r="O220">
        <v>1298</v>
      </c>
      <c r="P220">
        <v>3278</v>
      </c>
      <c r="Q220">
        <v>0</v>
      </c>
      <c r="R220">
        <v>0</v>
      </c>
      <c r="S220">
        <v>0</v>
      </c>
      <c r="T220">
        <v>10848</v>
      </c>
      <c r="U220">
        <v>0</v>
      </c>
      <c r="V220">
        <v>8678</v>
      </c>
      <c r="W220">
        <v>0</v>
      </c>
      <c r="X220" t="s">
        <v>32</v>
      </c>
      <c r="Y220" t="s">
        <v>37</v>
      </c>
      <c r="Z220" t="s">
        <v>1175</v>
      </c>
      <c r="AA220">
        <v>6</v>
      </c>
      <c r="AB220" t="s">
        <v>1171</v>
      </c>
    </row>
    <row r="221" spans="1:28">
      <c r="A221" t="s">
        <v>1181</v>
      </c>
      <c r="B221" t="s">
        <v>1182</v>
      </c>
      <c r="C221" t="s">
        <v>45</v>
      </c>
      <c r="D221" t="s">
        <v>1522</v>
      </c>
      <c r="E221" t="s">
        <v>93</v>
      </c>
      <c r="F221">
        <v>41400</v>
      </c>
      <c r="G221" t="s">
        <v>98</v>
      </c>
      <c r="H221" t="s">
        <v>37</v>
      </c>
      <c r="I221" t="s">
        <v>1171</v>
      </c>
      <c r="J221" t="s">
        <v>1171</v>
      </c>
      <c r="K221" t="s">
        <v>1184</v>
      </c>
      <c r="L221" t="s">
        <v>1171</v>
      </c>
      <c r="M221" t="s">
        <v>1523</v>
      </c>
      <c r="N221">
        <v>15910</v>
      </c>
      <c r="O221">
        <v>1298</v>
      </c>
      <c r="P221">
        <v>3278</v>
      </c>
      <c r="Q221">
        <v>10848</v>
      </c>
      <c r="R221">
        <v>0</v>
      </c>
      <c r="S221">
        <v>0</v>
      </c>
      <c r="T221">
        <v>0</v>
      </c>
      <c r="U221">
        <v>0</v>
      </c>
      <c r="V221">
        <v>8678</v>
      </c>
      <c r="W221">
        <v>0</v>
      </c>
      <c r="X221" t="s">
        <v>91</v>
      </c>
      <c r="Y221" t="s">
        <v>37</v>
      </c>
      <c r="Z221" t="s">
        <v>1175</v>
      </c>
      <c r="AA221">
        <v>6</v>
      </c>
      <c r="AB221" t="s">
        <v>1171</v>
      </c>
    </row>
    <row r="222" spans="1:28">
      <c r="A222" t="s">
        <v>1181</v>
      </c>
      <c r="B222" t="s">
        <v>1182</v>
      </c>
      <c r="C222" t="s">
        <v>45</v>
      </c>
      <c r="D222" t="s">
        <v>1524</v>
      </c>
      <c r="E222" t="s">
        <v>93</v>
      </c>
      <c r="F222">
        <v>41400</v>
      </c>
      <c r="G222" t="s">
        <v>98</v>
      </c>
      <c r="H222" t="s">
        <v>37</v>
      </c>
      <c r="I222" t="s">
        <v>1171</v>
      </c>
      <c r="J222" t="s">
        <v>1171</v>
      </c>
      <c r="K222" t="s">
        <v>1184</v>
      </c>
      <c r="L222" t="s">
        <v>1171</v>
      </c>
      <c r="M222" t="s">
        <v>1525</v>
      </c>
      <c r="N222">
        <v>15910</v>
      </c>
      <c r="O222">
        <v>1298</v>
      </c>
      <c r="P222">
        <v>3278</v>
      </c>
      <c r="Q222">
        <v>10848</v>
      </c>
      <c r="R222">
        <v>0</v>
      </c>
      <c r="S222">
        <v>0</v>
      </c>
      <c r="T222">
        <v>0</v>
      </c>
      <c r="U222">
        <v>0</v>
      </c>
      <c r="V222">
        <v>8678</v>
      </c>
      <c r="W222">
        <v>0</v>
      </c>
      <c r="X222" t="s">
        <v>91</v>
      </c>
      <c r="Y222" t="s">
        <v>37</v>
      </c>
      <c r="Z222" t="s">
        <v>1175</v>
      </c>
      <c r="AA222">
        <v>6</v>
      </c>
      <c r="AB222" t="s">
        <v>1171</v>
      </c>
    </row>
    <row r="223" spans="1:28">
      <c r="A223" t="s">
        <v>1181</v>
      </c>
      <c r="B223" t="s">
        <v>1182</v>
      </c>
      <c r="C223" t="s">
        <v>45</v>
      </c>
      <c r="D223" t="s">
        <v>1526</v>
      </c>
      <c r="E223" t="s">
        <v>787</v>
      </c>
      <c r="F223">
        <v>41400</v>
      </c>
      <c r="G223" t="s">
        <v>32</v>
      </c>
      <c r="H223" t="s">
        <v>37</v>
      </c>
      <c r="I223" t="s">
        <v>1171</v>
      </c>
      <c r="J223" t="s">
        <v>1171</v>
      </c>
      <c r="K223" t="s">
        <v>1172</v>
      </c>
      <c r="L223" t="s">
        <v>1171</v>
      </c>
      <c r="M223" t="s">
        <v>254</v>
      </c>
      <c r="N223">
        <v>15910</v>
      </c>
      <c r="O223">
        <v>1298</v>
      </c>
      <c r="P223">
        <v>3278</v>
      </c>
      <c r="Q223">
        <v>0</v>
      </c>
      <c r="R223">
        <v>0</v>
      </c>
      <c r="S223">
        <v>10848</v>
      </c>
      <c r="T223">
        <v>0</v>
      </c>
      <c r="U223">
        <v>0</v>
      </c>
      <c r="V223">
        <v>8678</v>
      </c>
      <c r="W223">
        <v>0</v>
      </c>
      <c r="X223" t="s">
        <v>47</v>
      </c>
      <c r="Y223" t="s">
        <v>32</v>
      </c>
      <c r="Z223" t="s">
        <v>1175</v>
      </c>
      <c r="AA223">
        <v>6</v>
      </c>
      <c r="AB223" t="s">
        <v>1171</v>
      </c>
    </row>
    <row r="224" spans="1:28">
      <c r="A224" t="s">
        <v>1168</v>
      </c>
      <c r="B224" t="s">
        <v>1169</v>
      </c>
      <c r="C224" t="s">
        <v>45</v>
      </c>
      <c r="D224" t="s">
        <v>927</v>
      </c>
      <c r="E224" t="s">
        <v>696</v>
      </c>
      <c r="F224">
        <v>38100</v>
      </c>
      <c r="G224" t="s">
        <v>98</v>
      </c>
      <c r="H224" t="s">
        <v>37</v>
      </c>
      <c r="I224" t="s">
        <v>1171</v>
      </c>
      <c r="J224" t="s">
        <v>1171</v>
      </c>
      <c r="K224" t="s">
        <v>1184</v>
      </c>
      <c r="L224" t="s">
        <v>1173</v>
      </c>
      <c r="M224" t="s">
        <v>255</v>
      </c>
      <c r="N224">
        <v>14642</v>
      </c>
      <c r="O224">
        <v>0</v>
      </c>
      <c r="P224">
        <v>2011</v>
      </c>
      <c r="Q224">
        <v>25955</v>
      </c>
      <c r="R224">
        <v>0</v>
      </c>
      <c r="S224">
        <v>0</v>
      </c>
      <c r="T224">
        <v>0</v>
      </c>
      <c r="U224">
        <v>0</v>
      </c>
      <c r="V224">
        <v>7987</v>
      </c>
      <c r="W224">
        <v>0</v>
      </c>
      <c r="X224" t="s">
        <v>47</v>
      </c>
      <c r="Y224" t="s">
        <v>37</v>
      </c>
      <c r="Z224" t="s">
        <v>1175</v>
      </c>
      <c r="AA224">
        <v>6</v>
      </c>
      <c r="AB224" t="s">
        <v>1171</v>
      </c>
    </row>
    <row r="225" spans="1:28">
      <c r="A225" t="s">
        <v>1168</v>
      </c>
      <c r="B225" t="s">
        <v>1176</v>
      </c>
      <c r="C225" t="s">
        <v>45</v>
      </c>
      <c r="D225" t="s">
        <v>927</v>
      </c>
      <c r="E225" t="s">
        <v>696</v>
      </c>
      <c r="F225">
        <v>38100</v>
      </c>
      <c r="G225" t="s">
        <v>98</v>
      </c>
      <c r="H225" t="s">
        <v>42</v>
      </c>
      <c r="I225" t="s">
        <v>110</v>
      </c>
      <c r="J225" t="s">
        <v>1171</v>
      </c>
      <c r="K225" t="s">
        <v>1179</v>
      </c>
      <c r="L225" t="s">
        <v>1173</v>
      </c>
      <c r="M225" t="s">
        <v>1527</v>
      </c>
      <c r="N225">
        <v>14642</v>
      </c>
      <c r="O225">
        <v>0</v>
      </c>
      <c r="P225">
        <v>5833</v>
      </c>
      <c r="Q225">
        <v>11980</v>
      </c>
      <c r="R225">
        <v>4992</v>
      </c>
      <c r="S225">
        <v>0</v>
      </c>
      <c r="T225">
        <v>0</v>
      </c>
      <c r="U225">
        <v>4992</v>
      </c>
      <c r="V225">
        <v>0</v>
      </c>
      <c r="W225">
        <v>0</v>
      </c>
      <c r="X225" t="s">
        <v>32</v>
      </c>
      <c r="Y225" t="s">
        <v>47</v>
      </c>
      <c r="Z225" t="s">
        <v>1175</v>
      </c>
      <c r="AA225">
        <v>6</v>
      </c>
      <c r="AB225" t="s">
        <v>1171</v>
      </c>
    </row>
    <row r="226" spans="1:28">
      <c r="A226" t="s">
        <v>1168</v>
      </c>
      <c r="B226" t="s">
        <v>1169</v>
      </c>
      <c r="C226" t="s">
        <v>45</v>
      </c>
      <c r="D226" t="s">
        <v>927</v>
      </c>
      <c r="E226" t="s">
        <v>699</v>
      </c>
      <c r="F226">
        <v>38100</v>
      </c>
      <c r="G226" t="s">
        <v>32</v>
      </c>
      <c r="H226" t="s">
        <v>37</v>
      </c>
      <c r="I226" t="s">
        <v>1171</v>
      </c>
      <c r="J226" t="s">
        <v>1171</v>
      </c>
      <c r="K226" t="s">
        <v>1172</v>
      </c>
      <c r="L226" t="s">
        <v>1173</v>
      </c>
      <c r="M226" t="s">
        <v>1528</v>
      </c>
      <c r="N226">
        <v>14642</v>
      </c>
      <c r="O226">
        <v>0</v>
      </c>
      <c r="P226">
        <v>2011</v>
      </c>
      <c r="Q226">
        <v>0</v>
      </c>
      <c r="R226">
        <v>0</v>
      </c>
      <c r="S226">
        <v>25955</v>
      </c>
      <c r="T226">
        <v>0</v>
      </c>
      <c r="U226">
        <v>0</v>
      </c>
      <c r="V226">
        <v>7987</v>
      </c>
      <c r="W226">
        <v>0</v>
      </c>
      <c r="X226" t="s">
        <v>32</v>
      </c>
      <c r="Y226" t="s">
        <v>47</v>
      </c>
      <c r="Z226" t="s">
        <v>1175</v>
      </c>
      <c r="AA226">
        <v>6</v>
      </c>
      <c r="AB226" t="s">
        <v>1171</v>
      </c>
    </row>
    <row r="227" spans="1:28">
      <c r="A227" t="s">
        <v>1181</v>
      </c>
      <c r="B227" t="s">
        <v>1182</v>
      </c>
      <c r="C227" t="s">
        <v>45</v>
      </c>
      <c r="D227" t="s">
        <v>1529</v>
      </c>
      <c r="E227" t="s">
        <v>601</v>
      </c>
      <c r="F227">
        <v>35900</v>
      </c>
      <c r="G227" t="s">
        <v>110</v>
      </c>
      <c r="H227" t="s">
        <v>37</v>
      </c>
      <c r="I227" t="s">
        <v>1171</v>
      </c>
      <c r="J227" t="s">
        <v>1171</v>
      </c>
      <c r="K227" t="s">
        <v>1187</v>
      </c>
      <c r="L227" t="s">
        <v>1171</v>
      </c>
      <c r="M227" t="s">
        <v>1530</v>
      </c>
      <c r="N227">
        <v>13796</v>
      </c>
      <c r="O227">
        <v>1126</v>
      </c>
      <c r="P227">
        <v>2843</v>
      </c>
      <c r="Q227">
        <v>0</v>
      </c>
      <c r="R227">
        <v>0</v>
      </c>
      <c r="S227">
        <v>0</v>
      </c>
      <c r="T227">
        <v>0</v>
      </c>
      <c r="U227">
        <v>9407</v>
      </c>
      <c r="V227">
        <v>7525</v>
      </c>
      <c r="W227">
        <v>0</v>
      </c>
      <c r="X227" t="s">
        <v>91</v>
      </c>
      <c r="Y227" t="s">
        <v>47</v>
      </c>
      <c r="Z227" t="s">
        <v>1175</v>
      </c>
      <c r="AA227">
        <v>6</v>
      </c>
      <c r="AB227" t="s">
        <v>1171</v>
      </c>
    </row>
    <row r="228" spans="1:28">
      <c r="A228" t="s">
        <v>1181</v>
      </c>
      <c r="B228" t="s">
        <v>1182</v>
      </c>
      <c r="C228" t="s">
        <v>45</v>
      </c>
      <c r="D228" t="s">
        <v>1531</v>
      </c>
      <c r="E228" t="s">
        <v>93</v>
      </c>
      <c r="F228">
        <v>35300</v>
      </c>
      <c r="G228" t="s">
        <v>24</v>
      </c>
      <c r="H228" t="s">
        <v>37</v>
      </c>
      <c r="I228" t="s">
        <v>1171</v>
      </c>
      <c r="J228" t="s">
        <v>1171</v>
      </c>
      <c r="K228" t="s">
        <v>1191</v>
      </c>
      <c r="L228" t="s">
        <v>1171</v>
      </c>
      <c r="M228" t="s">
        <v>1532</v>
      </c>
      <c r="N228">
        <v>13566</v>
      </c>
      <c r="O228">
        <v>1107</v>
      </c>
      <c r="P228">
        <v>2795</v>
      </c>
      <c r="Q228">
        <v>0</v>
      </c>
      <c r="R228">
        <v>0</v>
      </c>
      <c r="S228">
        <v>0</v>
      </c>
      <c r="T228">
        <v>9249</v>
      </c>
      <c r="U228">
        <v>0</v>
      </c>
      <c r="V228">
        <v>7400</v>
      </c>
      <c r="W228">
        <v>0</v>
      </c>
      <c r="X228" t="s">
        <v>32</v>
      </c>
      <c r="Y228" t="s">
        <v>37</v>
      </c>
      <c r="Z228" t="s">
        <v>1175</v>
      </c>
      <c r="AA228">
        <v>6</v>
      </c>
      <c r="AB228" t="s">
        <v>1171</v>
      </c>
    </row>
    <row r="229" spans="1:28">
      <c r="A229" t="s">
        <v>1181</v>
      </c>
      <c r="B229" t="s">
        <v>1182</v>
      </c>
      <c r="C229" t="s">
        <v>45</v>
      </c>
      <c r="D229" t="s">
        <v>1524</v>
      </c>
      <c r="E229" t="s">
        <v>93</v>
      </c>
      <c r="F229">
        <v>35300</v>
      </c>
      <c r="G229" t="s">
        <v>98</v>
      </c>
      <c r="H229" t="s">
        <v>37</v>
      </c>
      <c r="I229" t="s">
        <v>1171</v>
      </c>
      <c r="J229" t="s">
        <v>1171</v>
      </c>
      <c r="K229" t="s">
        <v>1184</v>
      </c>
      <c r="L229" t="s">
        <v>1171</v>
      </c>
      <c r="M229" t="s">
        <v>1533</v>
      </c>
      <c r="N229">
        <v>13566</v>
      </c>
      <c r="O229">
        <v>1107</v>
      </c>
      <c r="P229">
        <v>2795</v>
      </c>
      <c r="Q229">
        <v>9249</v>
      </c>
      <c r="R229">
        <v>0</v>
      </c>
      <c r="S229">
        <v>0</v>
      </c>
      <c r="T229">
        <v>0</v>
      </c>
      <c r="U229">
        <v>0</v>
      </c>
      <c r="V229">
        <v>7400</v>
      </c>
      <c r="W229">
        <v>0</v>
      </c>
      <c r="X229" t="s">
        <v>91</v>
      </c>
      <c r="Y229" t="s">
        <v>37</v>
      </c>
      <c r="Z229" t="s">
        <v>1175</v>
      </c>
      <c r="AA229">
        <v>6</v>
      </c>
      <c r="AB229" t="s">
        <v>1171</v>
      </c>
    </row>
    <row r="230" spans="1:28">
      <c r="A230" t="s">
        <v>1181</v>
      </c>
      <c r="B230" t="s">
        <v>1182</v>
      </c>
      <c r="C230" t="s">
        <v>45</v>
      </c>
      <c r="D230" t="s">
        <v>1534</v>
      </c>
      <c r="E230" t="s">
        <v>93</v>
      </c>
      <c r="F230">
        <v>35300</v>
      </c>
      <c r="G230" t="s">
        <v>98</v>
      </c>
      <c r="H230" t="s">
        <v>37</v>
      </c>
      <c r="I230" t="s">
        <v>1171</v>
      </c>
      <c r="J230" t="s">
        <v>1171</v>
      </c>
      <c r="K230" t="s">
        <v>1184</v>
      </c>
      <c r="L230" t="s">
        <v>1171</v>
      </c>
      <c r="M230" t="s">
        <v>1535</v>
      </c>
      <c r="N230">
        <v>13566</v>
      </c>
      <c r="O230">
        <v>1107</v>
      </c>
      <c r="P230">
        <v>2795</v>
      </c>
      <c r="Q230">
        <v>9249</v>
      </c>
      <c r="R230">
        <v>0</v>
      </c>
      <c r="S230">
        <v>0</v>
      </c>
      <c r="T230">
        <v>0</v>
      </c>
      <c r="U230">
        <v>0</v>
      </c>
      <c r="V230">
        <v>7400</v>
      </c>
      <c r="W230">
        <v>0</v>
      </c>
      <c r="X230" t="s">
        <v>91</v>
      </c>
      <c r="Y230" t="s">
        <v>37</v>
      </c>
      <c r="Z230" t="s">
        <v>1175</v>
      </c>
      <c r="AA230">
        <v>6</v>
      </c>
      <c r="AB230" t="s">
        <v>1171</v>
      </c>
    </row>
    <row r="231" spans="1:28">
      <c r="A231" t="s">
        <v>1181</v>
      </c>
      <c r="B231" t="s">
        <v>1182</v>
      </c>
      <c r="C231" t="s">
        <v>45</v>
      </c>
      <c r="D231" t="s">
        <v>1536</v>
      </c>
      <c r="E231" t="s">
        <v>787</v>
      </c>
      <c r="F231">
        <v>35300</v>
      </c>
      <c r="G231" t="s">
        <v>32</v>
      </c>
      <c r="H231" t="s">
        <v>37</v>
      </c>
      <c r="I231" t="s">
        <v>1171</v>
      </c>
      <c r="J231" t="s">
        <v>1171</v>
      </c>
      <c r="K231" t="s">
        <v>1172</v>
      </c>
      <c r="L231" t="s">
        <v>1171</v>
      </c>
      <c r="M231" t="s">
        <v>275</v>
      </c>
      <c r="N231">
        <v>13566</v>
      </c>
      <c r="O231">
        <v>1107</v>
      </c>
      <c r="P231">
        <v>2795</v>
      </c>
      <c r="Q231">
        <v>0</v>
      </c>
      <c r="R231">
        <v>0</v>
      </c>
      <c r="S231">
        <v>9249</v>
      </c>
      <c r="T231">
        <v>0</v>
      </c>
      <c r="U231">
        <v>0</v>
      </c>
      <c r="V231">
        <v>7400</v>
      </c>
      <c r="W231">
        <v>0</v>
      </c>
      <c r="X231" t="s">
        <v>47</v>
      </c>
      <c r="Y231" t="s">
        <v>32</v>
      </c>
      <c r="Z231" t="s">
        <v>1175</v>
      </c>
      <c r="AA231">
        <v>6</v>
      </c>
      <c r="AB231" t="s">
        <v>1171</v>
      </c>
    </row>
    <row r="232" spans="1:28">
      <c r="A232" t="s">
        <v>1168</v>
      </c>
      <c r="B232" t="s">
        <v>1205</v>
      </c>
      <c r="C232" t="s">
        <v>45</v>
      </c>
      <c r="D232" t="s">
        <v>927</v>
      </c>
      <c r="E232" t="s">
        <v>107</v>
      </c>
      <c r="F232">
        <v>35300</v>
      </c>
      <c r="G232" t="s">
        <v>98</v>
      </c>
      <c r="H232" t="s">
        <v>42</v>
      </c>
      <c r="I232" t="s">
        <v>37</v>
      </c>
      <c r="J232" t="s">
        <v>1171</v>
      </c>
      <c r="K232" t="s">
        <v>1177</v>
      </c>
      <c r="L232" t="s">
        <v>1173</v>
      </c>
      <c r="M232" t="s">
        <v>276</v>
      </c>
      <c r="N232">
        <v>13566</v>
      </c>
      <c r="O232">
        <v>0</v>
      </c>
      <c r="P232">
        <v>5404</v>
      </c>
      <c r="Q232">
        <v>9250</v>
      </c>
      <c r="R232">
        <v>4625</v>
      </c>
      <c r="S232">
        <v>0</v>
      </c>
      <c r="T232">
        <v>0</v>
      </c>
      <c r="U232">
        <v>0</v>
      </c>
      <c r="V232">
        <v>4625</v>
      </c>
      <c r="W232">
        <v>0</v>
      </c>
      <c r="X232" t="s">
        <v>32</v>
      </c>
      <c r="Y232" t="s">
        <v>37</v>
      </c>
      <c r="Z232" t="s">
        <v>1175</v>
      </c>
      <c r="AA232">
        <v>6</v>
      </c>
      <c r="AB232" t="s">
        <v>1171</v>
      </c>
    </row>
    <row r="233" spans="1:28">
      <c r="A233" t="s">
        <v>1168</v>
      </c>
      <c r="B233" t="s">
        <v>1205</v>
      </c>
      <c r="C233" t="s">
        <v>45</v>
      </c>
      <c r="D233" t="s">
        <v>927</v>
      </c>
      <c r="E233" t="s">
        <v>697</v>
      </c>
      <c r="F233">
        <v>35300</v>
      </c>
      <c r="G233" t="s">
        <v>110</v>
      </c>
      <c r="H233" t="s">
        <v>37</v>
      </c>
      <c r="I233" t="s">
        <v>1171</v>
      </c>
      <c r="J233" t="s">
        <v>1171</v>
      </c>
      <c r="K233" t="s">
        <v>1187</v>
      </c>
      <c r="L233" t="s">
        <v>1173</v>
      </c>
      <c r="M233" t="s">
        <v>1537</v>
      </c>
      <c r="N233">
        <v>13566</v>
      </c>
      <c r="O233">
        <v>0</v>
      </c>
      <c r="P233">
        <v>3726</v>
      </c>
      <c r="Q233">
        <v>0</v>
      </c>
      <c r="R233">
        <v>0</v>
      </c>
      <c r="S233">
        <v>0</v>
      </c>
      <c r="T233">
        <v>0</v>
      </c>
      <c r="U233">
        <v>14183</v>
      </c>
      <c r="V233">
        <v>9249</v>
      </c>
      <c r="W233">
        <v>0</v>
      </c>
      <c r="X233" t="s">
        <v>98</v>
      </c>
      <c r="Y233" t="s">
        <v>37</v>
      </c>
      <c r="Z233" t="s">
        <v>1175</v>
      </c>
      <c r="AA233">
        <v>6</v>
      </c>
      <c r="AB233" t="s">
        <v>1171</v>
      </c>
    </row>
    <row r="234" spans="1:28">
      <c r="A234" t="s">
        <v>1168</v>
      </c>
      <c r="B234" t="s">
        <v>1176</v>
      </c>
      <c r="C234" t="s">
        <v>45</v>
      </c>
      <c r="D234" t="s">
        <v>927</v>
      </c>
      <c r="E234" t="s">
        <v>706</v>
      </c>
      <c r="F234">
        <v>35300</v>
      </c>
      <c r="G234" t="s">
        <v>32</v>
      </c>
      <c r="H234" t="s">
        <v>37</v>
      </c>
      <c r="I234" t="s">
        <v>1171</v>
      </c>
      <c r="J234" t="s">
        <v>1171</v>
      </c>
      <c r="K234" t="s">
        <v>1172</v>
      </c>
      <c r="L234" t="s">
        <v>1173</v>
      </c>
      <c r="M234" t="s">
        <v>1538</v>
      </c>
      <c r="N234">
        <v>13566</v>
      </c>
      <c r="O234">
        <v>0</v>
      </c>
      <c r="P234">
        <v>4472</v>
      </c>
      <c r="Q234">
        <v>0</v>
      </c>
      <c r="R234">
        <v>0</v>
      </c>
      <c r="S234">
        <v>14183</v>
      </c>
      <c r="T234">
        <v>0</v>
      </c>
      <c r="U234">
        <v>0</v>
      </c>
      <c r="V234">
        <v>7399</v>
      </c>
      <c r="W234">
        <v>0</v>
      </c>
      <c r="X234" t="s">
        <v>110</v>
      </c>
      <c r="Y234" t="s">
        <v>47</v>
      </c>
      <c r="Z234" t="s">
        <v>1175</v>
      </c>
      <c r="AA234">
        <v>6</v>
      </c>
      <c r="AB234" t="s">
        <v>1171</v>
      </c>
    </row>
    <row r="235" spans="1:28">
      <c r="A235" t="s">
        <v>1181</v>
      </c>
      <c r="B235" t="s">
        <v>1182</v>
      </c>
      <c r="C235" t="s">
        <v>45</v>
      </c>
      <c r="D235" t="s">
        <v>1539</v>
      </c>
      <c r="E235" t="s">
        <v>93</v>
      </c>
      <c r="F235">
        <v>35300</v>
      </c>
      <c r="G235" t="s">
        <v>98</v>
      </c>
      <c r="H235" t="s">
        <v>37</v>
      </c>
      <c r="I235" t="s">
        <v>1171</v>
      </c>
      <c r="J235" t="s">
        <v>1171</v>
      </c>
      <c r="K235" t="s">
        <v>1184</v>
      </c>
      <c r="L235" t="s">
        <v>1171</v>
      </c>
      <c r="M235" t="s">
        <v>1540</v>
      </c>
      <c r="N235">
        <v>13566</v>
      </c>
      <c r="O235">
        <v>1107</v>
      </c>
      <c r="P235">
        <v>2795</v>
      </c>
      <c r="Q235">
        <v>9249</v>
      </c>
      <c r="R235">
        <v>0</v>
      </c>
      <c r="S235">
        <v>0</v>
      </c>
      <c r="T235">
        <v>0</v>
      </c>
      <c r="U235">
        <v>0</v>
      </c>
      <c r="V235">
        <v>7400</v>
      </c>
      <c r="W235">
        <v>0</v>
      </c>
      <c r="X235" t="s">
        <v>91</v>
      </c>
      <c r="Y235" t="s">
        <v>37</v>
      </c>
      <c r="Z235" t="s">
        <v>1175</v>
      </c>
      <c r="AA235">
        <v>6</v>
      </c>
      <c r="AB235" t="s">
        <v>1171</v>
      </c>
    </row>
    <row r="236" spans="1:28">
      <c r="A236" t="s">
        <v>1181</v>
      </c>
      <c r="B236" t="s">
        <v>1182</v>
      </c>
      <c r="C236" t="s">
        <v>45</v>
      </c>
      <c r="D236" t="s">
        <v>1541</v>
      </c>
      <c r="E236" t="s">
        <v>93</v>
      </c>
      <c r="F236">
        <v>35300</v>
      </c>
      <c r="G236" t="s">
        <v>98</v>
      </c>
      <c r="H236" t="s">
        <v>37</v>
      </c>
      <c r="I236" t="s">
        <v>1171</v>
      </c>
      <c r="J236" t="s">
        <v>1171</v>
      </c>
      <c r="K236" t="s">
        <v>1184</v>
      </c>
      <c r="L236" t="s">
        <v>1171</v>
      </c>
      <c r="M236" t="s">
        <v>1542</v>
      </c>
      <c r="N236">
        <v>13566</v>
      </c>
      <c r="O236">
        <v>1107</v>
      </c>
      <c r="P236">
        <v>2795</v>
      </c>
      <c r="Q236">
        <v>9249</v>
      </c>
      <c r="R236">
        <v>0</v>
      </c>
      <c r="S236">
        <v>0</v>
      </c>
      <c r="T236">
        <v>0</v>
      </c>
      <c r="U236">
        <v>0</v>
      </c>
      <c r="V236">
        <v>7400</v>
      </c>
      <c r="W236">
        <v>0</v>
      </c>
      <c r="X236" t="s">
        <v>91</v>
      </c>
      <c r="Y236" t="s">
        <v>37</v>
      </c>
      <c r="Z236" t="s">
        <v>1175</v>
      </c>
      <c r="AA236">
        <v>6</v>
      </c>
      <c r="AB236" t="s">
        <v>1171</v>
      </c>
    </row>
    <row r="237" spans="1:28">
      <c r="A237" t="s">
        <v>1181</v>
      </c>
      <c r="B237" t="s">
        <v>1182</v>
      </c>
      <c r="C237" t="s">
        <v>33</v>
      </c>
      <c r="D237" t="s">
        <v>1543</v>
      </c>
      <c r="E237" t="s">
        <v>598</v>
      </c>
      <c r="F237">
        <v>42100</v>
      </c>
      <c r="G237" t="s">
        <v>98</v>
      </c>
      <c r="H237" t="s">
        <v>37</v>
      </c>
      <c r="I237" t="s">
        <v>1171</v>
      </c>
      <c r="J237" t="s">
        <v>1171</v>
      </c>
      <c r="K237" t="s">
        <v>1184</v>
      </c>
      <c r="L237" t="s">
        <v>1171</v>
      </c>
      <c r="M237" t="s">
        <v>1544</v>
      </c>
      <c r="N237">
        <v>16179</v>
      </c>
      <c r="O237">
        <v>1320</v>
      </c>
      <c r="P237">
        <v>3334</v>
      </c>
      <c r="Q237">
        <v>11031</v>
      </c>
      <c r="R237">
        <v>0</v>
      </c>
      <c r="S237">
        <v>0</v>
      </c>
      <c r="T237">
        <v>0</v>
      </c>
      <c r="U237">
        <v>0</v>
      </c>
      <c r="V237">
        <v>8825</v>
      </c>
      <c r="W237">
        <v>0</v>
      </c>
      <c r="X237" t="s">
        <v>98</v>
      </c>
      <c r="Y237" t="s">
        <v>47</v>
      </c>
      <c r="Z237" t="s">
        <v>1175</v>
      </c>
      <c r="AA237">
        <v>6</v>
      </c>
      <c r="AB237" t="s">
        <v>1171</v>
      </c>
    </row>
    <row r="238" spans="1:28">
      <c r="A238" t="s">
        <v>1181</v>
      </c>
      <c r="B238" t="s">
        <v>1182</v>
      </c>
      <c r="C238" t="s">
        <v>33</v>
      </c>
      <c r="D238" t="s">
        <v>1545</v>
      </c>
      <c r="E238" t="s">
        <v>93</v>
      </c>
      <c r="F238">
        <v>41400</v>
      </c>
      <c r="G238" t="s">
        <v>32</v>
      </c>
      <c r="H238" t="s">
        <v>37</v>
      </c>
      <c r="I238" t="s">
        <v>1171</v>
      </c>
      <c r="J238" t="s">
        <v>1171</v>
      </c>
      <c r="K238" t="s">
        <v>1172</v>
      </c>
      <c r="L238" t="s">
        <v>1171</v>
      </c>
      <c r="M238" t="s">
        <v>1546</v>
      </c>
      <c r="N238">
        <v>15910</v>
      </c>
      <c r="O238">
        <v>1298</v>
      </c>
      <c r="P238">
        <v>3278</v>
      </c>
      <c r="Q238">
        <v>0</v>
      </c>
      <c r="R238">
        <v>0</v>
      </c>
      <c r="S238">
        <v>10848</v>
      </c>
      <c r="T238">
        <v>0</v>
      </c>
      <c r="U238">
        <v>0</v>
      </c>
      <c r="V238">
        <v>8678</v>
      </c>
      <c r="W238">
        <v>0</v>
      </c>
      <c r="X238" t="s">
        <v>37</v>
      </c>
      <c r="Y238" t="s">
        <v>98</v>
      </c>
      <c r="Z238" t="s">
        <v>1175</v>
      </c>
      <c r="AA238">
        <v>6</v>
      </c>
      <c r="AB238" t="s">
        <v>1171</v>
      </c>
    </row>
    <row r="239" spans="1:28">
      <c r="A239" t="s">
        <v>1181</v>
      </c>
      <c r="B239" t="s">
        <v>1182</v>
      </c>
      <c r="C239" t="s">
        <v>33</v>
      </c>
      <c r="D239" t="s">
        <v>1547</v>
      </c>
      <c r="E239" t="s">
        <v>93</v>
      </c>
      <c r="F239">
        <v>41400</v>
      </c>
      <c r="G239" t="s">
        <v>24</v>
      </c>
      <c r="H239" t="s">
        <v>37</v>
      </c>
      <c r="I239" t="s">
        <v>1171</v>
      </c>
      <c r="J239" t="s">
        <v>1171</v>
      </c>
      <c r="K239" t="s">
        <v>1191</v>
      </c>
      <c r="L239" t="s">
        <v>1171</v>
      </c>
      <c r="M239" t="s">
        <v>1548</v>
      </c>
      <c r="N239">
        <v>15910</v>
      </c>
      <c r="O239">
        <v>1298</v>
      </c>
      <c r="P239">
        <v>3278</v>
      </c>
      <c r="Q239">
        <v>0</v>
      </c>
      <c r="R239">
        <v>0</v>
      </c>
      <c r="S239">
        <v>0</v>
      </c>
      <c r="T239">
        <v>10848</v>
      </c>
      <c r="U239">
        <v>0</v>
      </c>
      <c r="V239">
        <v>8678</v>
      </c>
      <c r="W239">
        <v>0</v>
      </c>
      <c r="X239" t="s">
        <v>47</v>
      </c>
      <c r="Y239" t="s">
        <v>91</v>
      </c>
      <c r="Z239" t="s">
        <v>1175</v>
      </c>
      <c r="AA239">
        <v>6</v>
      </c>
      <c r="AB239" t="s">
        <v>1171</v>
      </c>
    </row>
    <row r="240" spans="1:28">
      <c r="A240" t="s">
        <v>1181</v>
      </c>
      <c r="B240" t="s">
        <v>1182</v>
      </c>
      <c r="C240" t="s">
        <v>33</v>
      </c>
      <c r="D240" t="s">
        <v>1549</v>
      </c>
      <c r="E240" t="s">
        <v>93</v>
      </c>
      <c r="F240">
        <v>41400</v>
      </c>
      <c r="G240" t="s">
        <v>32</v>
      </c>
      <c r="H240" t="s">
        <v>37</v>
      </c>
      <c r="I240" t="s">
        <v>1171</v>
      </c>
      <c r="J240" t="s">
        <v>1171</v>
      </c>
      <c r="K240" t="s">
        <v>1172</v>
      </c>
      <c r="L240" t="s">
        <v>1171</v>
      </c>
      <c r="M240" t="s">
        <v>1550</v>
      </c>
      <c r="N240">
        <v>15910</v>
      </c>
      <c r="O240">
        <v>1298</v>
      </c>
      <c r="P240">
        <v>3278</v>
      </c>
      <c r="Q240">
        <v>0</v>
      </c>
      <c r="R240">
        <v>0</v>
      </c>
      <c r="S240">
        <v>10848</v>
      </c>
      <c r="T240">
        <v>0</v>
      </c>
      <c r="U240">
        <v>0</v>
      </c>
      <c r="V240">
        <v>8678</v>
      </c>
      <c r="W240">
        <v>0</v>
      </c>
      <c r="X240" t="s">
        <v>37</v>
      </c>
      <c r="Y240" t="s">
        <v>98</v>
      </c>
      <c r="Z240" t="s">
        <v>1175</v>
      </c>
      <c r="AA240">
        <v>6</v>
      </c>
      <c r="AB240" t="s">
        <v>1171</v>
      </c>
    </row>
    <row r="241" spans="1:28">
      <c r="A241" t="s">
        <v>1181</v>
      </c>
      <c r="B241" t="s">
        <v>1182</v>
      </c>
      <c r="C241" t="s">
        <v>33</v>
      </c>
      <c r="D241" t="s">
        <v>1551</v>
      </c>
      <c r="E241" t="s">
        <v>787</v>
      </c>
      <c r="F241">
        <v>41400</v>
      </c>
      <c r="G241" t="s">
        <v>98</v>
      </c>
      <c r="H241" t="s">
        <v>37</v>
      </c>
      <c r="I241" t="s">
        <v>1171</v>
      </c>
      <c r="J241" t="s">
        <v>1171</v>
      </c>
      <c r="K241" t="s">
        <v>1184</v>
      </c>
      <c r="L241" t="s">
        <v>1171</v>
      </c>
      <c r="M241" t="s">
        <v>251</v>
      </c>
      <c r="N241">
        <v>15910</v>
      </c>
      <c r="O241">
        <v>1298</v>
      </c>
      <c r="P241">
        <v>3278</v>
      </c>
      <c r="Q241">
        <v>10848</v>
      </c>
      <c r="R241">
        <v>0</v>
      </c>
      <c r="S241">
        <v>0</v>
      </c>
      <c r="T241">
        <v>0</v>
      </c>
      <c r="U241">
        <v>0</v>
      </c>
      <c r="V241">
        <v>8678</v>
      </c>
      <c r="W241">
        <v>0</v>
      </c>
      <c r="X241" t="s">
        <v>98</v>
      </c>
      <c r="Y241" t="s">
        <v>47</v>
      </c>
      <c r="Z241" t="s">
        <v>1175</v>
      </c>
      <c r="AA241">
        <v>6</v>
      </c>
      <c r="AB241" t="s">
        <v>1171</v>
      </c>
    </row>
    <row r="242" spans="1:28">
      <c r="A242" t="s">
        <v>1168</v>
      </c>
      <c r="B242" t="s">
        <v>1176</v>
      </c>
      <c r="C242" t="s">
        <v>33</v>
      </c>
      <c r="D242" t="s">
        <v>1552</v>
      </c>
      <c r="E242" t="s">
        <v>93</v>
      </c>
      <c r="F242">
        <v>41400</v>
      </c>
      <c r="G242" t="s">
        <v>37</v>
      </c>
      <c r="H242" t="s">
        <v>1171</v>
      </c>
      <c r="I242" t="s">
        <v>1171</v>
      </c>
      <c r="J242" t="s">
        <v>1171</v>
      </c>
      <c r="K242" t="s">
        <v>37</v>
      </c>
      <c r="L242" t="s">
        <v>1226</v>
      </c>
      <c r="M242" t="s">
        <v>1553</v>
      </c>
      <c r="N242">
        <v>15910</v>
      </c>
      <c r="O242">
        <v>0</v>
      </c>
      <c r="P242">
        <v>7430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18803</v>
      </c>
      <c r="W242">
        <v>0</v>
      </c>
      <c r="X242" t="s">
        <v>98</v>
      </c>
      <c r="Y242" t="s">
        <v>37</v>
      </c>
      <c r="Z242" t="s">
        <v>1175</v>
      </c>
      <c r="AA242">
        <v>6</v>
      </c>
      <c r="AB242" t="s">
        <v>1171</v>
      </c>
    </row>
    <row r="243" spans="1:28">
      <c r="A243" t="s">
        <v>1168</v>
      </c>
      <c r="B243" t="s">
        <v>1233</v>
      </c>
      <c r="C243" t="s">
        <v>33</v>
      </c>
      <c r="D243" t="s">
        <v>1554</v>
      </c>
      <c r="E243" t="s">
        <v>93</v>
      </c>
      <c r="F243">
        <v>41400</v>
      </c>
      <c r="G243" t="s">
        <v>98</v>
      </c>
      <c r="H243" t="s">
        <v>37</v>
      </c>
      <c r="I243" t="s">
        <v>1171</v>
      </c>
      <c r="J243" t="s">
        <v>1171</v>
      </c>
      <c r="K243" t="s">
        <v>1184</v>
      </c>
      <c r="L243" t="s">
        <v>1226</v>
      </c>
      <c r="M243" t="s">
        <v>1555</v>
      </c>
      <c r="N243">
        <v>15910</v>
      </c>
      <c r="O243">
        <v>0</v>
      </c>
      <c r="P243">
        <v>5245</v>
      </c>
      <c r="Q243">
        <v>10125</v>
      </c>
      <c r="R243">
        <v>0</v>
      </c>
      <c r="S243">
        <v>0</v>
      </c>
      <c r="T243">
        <v>0</v>
      </c>
      <c r="U243">
        <v>0</v>
      </c>
      <c r="V243">
        <v>15910</v>
      </c>
      <c r="W243">
        <v>0</v>
      </c>
      <c r="X243" t="s">
        <v>47</v>
      </c>
      <c r="Y243" t="s">
        <v>37</v>
      </c>
      <c r="Z243" t="s">
        <v>1175</v>
      </c>
      <c r="AA243">
        <v>6</v>
      </c>
      <c r="AB243" t="s">
        <v>1171</v>
      </c>
    </row>
    <row r="244" spans="1:28">
      <c r="A244" t="s">
        <v>1168</v>
      </c>
      <c r="B244" t="s">
        <v>1233</v>
      </c>
      <c r="C244" t="s">
        <v>33</v>
      </c>
      <c r="D244" t="s">
        <v>1556</v>
      </c>
      <c r="E244" t="s">
        <v>93</v>
      </c>
      <c r="F244">
        <v>41400</v>
      </c>
      <c r="G244" t="s">
        <v>32</v>
      </c>
      <c r="H244" t="s">
        <v>37</v>
      </c>
      <c r="I244" t="s">
        <v>1171</v>
      </c>
      <c r="J244" t="s">
        <v>1171</v>
      </c>
      <c r="K244" t="s">
        <v>1172</v>
      </c>
      <c r="L244" t="s">
        <v>1226</v>
      </c>
      <c r="M244" t="s">
        <v>1557</v>
      </c>
      <c r="N244">
        <v>15910</v>
      </c>
      <c r="O244">
        <v>0</v>
      </c>
      <c r="P244">
        <v>5245</v>
      </c>
      <c r="Q244">
        <v>0</v>
      </c>
      <c r="R244">
        <v>0</v>
      </c>
      <c r="S244">
        <v>10125</v>
      </c>
      <c r="T244">
        <v>0</v>
      </c>
      <c r="U244">
        <v>0</v>
      </c>
      <c r="V244">
        <v>15910</v>
      </c>
      <c r="W244">
        <v>0</v>
      </c>
      <c r="X244" t="s">
        <v>32</v>
      </c>
      <c r="Y244" t="s">
        <v>47</v>
      </c>
      <c r="Z244" t="s">
        <v>1175</v>
      </c>
      <c r="AA244">
        <v>6</v>
      </c>
      <c r="AB244" t="s">
        <v>1171</v>
      </c>
    </row>
    <row r="245" spans="1:28">
      <c r="A245" t="s">
        <v>1168</v>
      </c>
      <c r="B245" t="s">
        <v>1233</v>
      </c>
      <c r="C245" t="s">
        <v>33</v>
      </c>
      <c r="D245" t="s">
        <v>1558</v>
      </c>
      <c r="E245" t="s">
        <v>93</v>
      </c>
      <c r="F245">
        <v>41400</v>
      </c>
      <c r="G245" t="s">
        <v>110</v>
      </c>
      <c r="H245" t="s">
        <v>37</v>
      </c>
      <c r="I245" t="s">
        <v>1171</v>
      </c>
      <c r="J245" t="s">
        <v>1171</v>
      </c>
      <c r="K245" t="s">
        <v>1187</v>
      </c>
      <c r="L245" t="s">
        <v>1226</v>
      </c>
      <c r="M245" t="s">
        <v>1559</v>
      </c>
      <c r="N245">
        <v>15910</v>
      </c>
      <c r="O245">
        <v>0</v>
      </c>
      <c r="P245">
        <v>4371</v>
      </c>
      <c r="Q245">
        <v>0</v>
      </c>
      <c r="R245">
        <v>0</v>
      </c>
      <c r="S245">
        <v>0</v>
      </c>
      <c r="T245">
        <v>0</v>
      </c>
      <c r="U245">
        <v>20611</v>
      </c>
      <c r="V245">
        <v>10848</v>
      </c>
      <c r="W245">
        <v>0</v>
      </c>
      <c r="X245" t="s">
        <v>110</v>
      </c>
      <c r="Y245" t="s">
        <v>37</v>
      </c>
      <c r="Z245" t="s">
        <v>1175</v>
      </c>
      <c r="AA245">
        <v>6</v>
      </c>
      <c r="AB245" t="s">
        <v>1171</v>
      </c>
    </row>
    <row r="246" spans="1:28">
      <c r="A246" t="s">
        <v>1168</v>
      </c>
      <c r="B246" t="s">
        <v>1176</v>
      </c>
      <c r="C246" t="s">
        <v>33</v>
      </c>
      <c r="D246" t="s">
        <v>1560</v>
      </c>
      <c r="E246" t="s">
        <v>93</v>
      </c>
      <c r="F246">
        <v>41400</v>
      </c>
      <c r="G246" t="s">
        <v>98</v>
      </c>
      <c r="H246" t="s">
        <v>32</v>
      </c>
      <c r="I246" t="s">
        <v>37</v>
      </c>
      <c r="J246" t="s">
        <v>1171</v>
      </c>
      <c r="K246" t="s">
        <v>1206</v>
      </c>
      <c r="L246" t="s">
        <v>1226</v>
      </c>
      <c r="M246" t="s">
        <v>1561</v>
      </c>
      <c r="N246">
        <v>15910</v>
      </c>
      <c r="O246">
        <v>0</v>
      </c>
      <c r="P246">
        <v>6337</v>
      </c>
      <c r="Q246">
        <v>7955</v>
      </c>
      <c r="R246">
        <v>0</v>
      </c>
      <c r="S246">
        <v>7955</v>
      </c>
      <c r="T246">
        <v>0</v>
      </c>
      <c r="U246">
        <v>0</v>
      </c>
      <c r="V246">
        <v>7955</v>
      </c>
      <c r="W246">
        <v>0</v>
      </c>
      <c r="X246" t="s">
        <v>42</v>
      </c>
      <c r="Y246" t="s">
        <v>47</v>
      </c>
      <c r="Z246" t="s">
        <v>1175</v>
      </c>
      <c r="AA246">
        <v>6</v>
      </c>
      <c r="AB246" t="s">
        <v>1171</v>
      </c>
    </row>
    <row r="247" spans="1:28">
      <c r="A247" t="s">
        <v>1168</v>
      </c>
      <c r="B247" t="s">
        <v>1176</v>
      </c>
      <c r="C247" t="s">
        <v>33</v>
      </c>
      <c r="D247" t="s">
        <v>1562</v>
      </c>
      <c r="E247" t="s">
        <v>93</v>
      </c>
      <c r="F247">
        <v>41400</v>
      </c>
      <c r="G247" t="s">
        <v>98</v>
      </c>
      <c r="H247" t="s">
        <v>110</v>
      </c>
      <c r="I247" t="s">
        <v>37</v>
      </c>
      <c r="J247" t="s">
        <v>1171</v>
      </c>
      <c r="K247" t="s">
        <v>1239</v>
      </c>
      <c r="L247" t="s">
        <v>1226</v>
      </c>
      <c r="M247" t="s">
        <v>1563</v>
      </c>
      <c r="N247">
        <v>15910</v>
      </c>
      <c r="O247">
        <v>0</v>
      </c>
      <c r="P247">
        <v>6337</v>
      </c>
      <c r="Q247">
        <v>7955</v>
      </c>
      <c r="R247">
        <v>0</v>
      </c>
      <c r="S247">
        <v>0</v>
      </c>
      <c r="T247">
        <v>0</v>
      </c>
      <c r="U247">
        <v>7955</v>
      </c>
      <c r="V247">
        <v>7955</v>
      </c>
      <c r="W247">
        <v>0</v>
      </c>
      <c r="X247" t="s">
        <v>98</v>
      </c>
      <c r="Y247" t="s">
        <v>37</v>
      </c>
      <c r="Z247" t="s">
        <v>1175</v>
      </c>
      <c r="AA247">
        <v>6</v>
      </c>
      <c r="AB247" t="s">
        <v>1171</v>
      </c>
    </row>
    <row r="248" spans="1:28">
      <c r="A248" t="s">
        <v>1168</v>
      </c>
      <c r="B248" t="s">
        <v>1176</v>
      </c>
      <c r="C248" t="s">
        <v>33</v>
      </c>
      <c r="D248" t="s">
        <v>1564</v>
      </c>
      <c r="E248" t="s">
        <v>93</v>
      </c>
      <c r="F248">
        <v>41400</v>
      </c>
      <c r="G248" t="s">
        <v>32</v>
      </c>
      <c r="H248" t="s">
        <v>110</v>
      </c>
      <c r="I248" t="s">
        <v>37</v>
      </c>
      <c r="J248" t="s">
        <v>1171</v>
      </c>
      <c r="K248" t="s">
        <v>1207</v>
      </c>
      <c r="L248" t="s">
        <v>1226</v>
      </c>
      <c r="M248" t="s">
        <v>270</v>
      </c>
      <c r="N248">
        <v>15910</v>
      </c>
      <c r="O248">
        <v>0</v>
      </c>
      <c r="P248">
        <v>6337</v>
      </c>
      <c r="Q248">
        <v>0</v>
      </c>
      <c r="R248">
        <v>0</v>
      </c>
      <c r="S248">
        <v>7955</v>
      </c>
      <c r="T248">
        <v>0</v>
      </c>
      <c r="U248">
        <v>7955</v>
      </c>
      <c r="V248">
        <v>7955</v>
      </c>
      <c r="W248">
        <v>0</v>
      </c>
      <c r="X248" t="s">
        <v>32</v>
      </c>
      <c r="Y248" t="s">
        <v>37</v>
      </c>
      <c r="Z248" t="s">
        <v>1175</v>
      </c>
      <c r="AA248">
        <v>6</v>
      </c>
      <c r="AB248" t="s">
        <v>1171</v>
      </c>
    </row>
    <row r="249" spans="1:28">
      <c r="A249" t="s">
        <v>1168</v>
      </c>
      <c r="B249" t="s">
        <v>1228</v>
      </c>
      <c r="C249" t="s">
        <v>33</v>
      </c>
      <c r="D249" t="s">
        <v>1565</v>
      </c>
      <c r="E249" t="s">
        <v>93</v>
      </c>
      <c r="F249">
        <v>41400</v>
      </c>
      <c r="G249" t="s">
        <v>24</v>
      </c>
      <c r="H249" t="s">
        <v>37</v>
      </c>
      <c r="I249" t="s">
        <v>1171</v>
      </c>
      <c r="J249" t="s">
        <v>1171</v>
      </c>
      <c r="K249" t="s">
        <v>1191</v>
      </c>
      <c r="L249" t="s">
        <v>1226</v>
      </c>
      <c r="M249" t="s">
        <v>1566</v>
      </c>
      <c r="N249">
        <v>15910</v>
      </c>
      <c r="O249">
        <v>0</v>
      </c>
      <c r="P249">
        <v>7452</v>
      </c>
      <c r="Q249">
        <v>0</v>
      </c>
      <c r="R249">
        <v>0</v>
      </c>
      <c r="S249">
        <v>0</v>
      </c>
      <c r="T249">
        <v>8967</v>
      </c>
      <c r="U249">
        <v>0</v>
      </c>
      <c r="V249">
        <v>11209</v>
      </c>
      <c r="W249">
        <v>0</v>
      </c>
      <c r="X249" t="s">
        <v>98</v>
      </c>
      <c r="Y249" t="s">
        <v>110</v>
      </c>
      <c r="Z249" t="s">
        <v>1175</v>
      </c>
      <c r="AA249">
        <v>6</v>
      </c>
      <c r="AB249" t="s">
        <v>1171</v>
      </c>
    </row>
    <row r="250" spans="1:28">
      <c r="A250" t="s">
        <v>1168</v>
      </c>
      <c r="B250" t="s">
        <v>1205</v>
      </c>
      <c r="C250" t="s">
        <v>33</v>
      </c>
      <c r="D250" t="s">
        <v>1567</v>
      </c>
      <c r="E250" t="s">
        <v>655</v>
      </c>
      <c r="F250">
        <v>41400</v>
      </c>
      <c r="G250" t="s">
        <v>98</v>
      </c>
      <c r="H250" t="s">
        <v>110</v>
      </c>
      <c r="I250" t="s">
        <v>32</v>
      </c>
      <c r="J250" t="s">
        <v>37</v>
      </c>
      <c r="K250" t="s">
        <v>1331</v>
      </c>
      <c r="L250" t="s">
        <v>1173</v>
      </c>
      <c r="M250" t="s">
        <v>1568</v>
      </c>
      <c r="N250">
        <v>15910</v>
      </c>
      <c r="O250">
        <v>0</v>
      </c>
      <c r="P250">
        <v>5135</v>
      </c>
      <c r="Q250">
        <v>7231</v>
      </c>
      <c r="R250">
        <v>0</v>
      </c>
      <c r="S250">
        <v>7231</v>
      </c>
      <c r="T250">
        <v>0</v>
      </c>
      <c r="U250">
        <v>7231</v>
      </c>
      <c r="V250">
        <v>7231</v>
      </c>
      <c r="W250">
        <v>0</v>
      </c>
      <c r="X250" t="s">
        <v>98</v>
      </c>
      <c r="Y250" t="s">
        <v>110</v>
      </c>
      <c r="Z250" t="s">
        <v>1175</v>
      </c>
      <c r="AA250">
        <v>6</v>
      </c>
      <c r="AB250" t="s">
        <v>1171</v>
      </c>
    </row>
    <row r="251" spans="1:28">
      <c r="A251" t="s">
        <v>1168</v>
      </c>
      <c r="B251" t="s">
        <v>1176</v>
      </c>
      <c r="C251" t="s">
        <v>33</v>
      </c>
      <c r="D251" t="s">
        <v>1569</v>
      </c>
      <c r="E251" t="s">
        <v>655</v>
      </c>
      <c r="F251">
        <v>41400</v>
      </c>
      <c r="G251" t="s">
        <v>110</v>
      </c>
      <c r="H251" t="s">
        <v>1171</v>
      </c>
      <c r="I251" t="s">
        <v>1171</v>
      </c>
      <c r="J251" t="s">
        <v>1171</v>
      </c>
      <c r="K251" t="s">
        <v>110</v>
      </c>
      <c r="L251" t="s">
        <v>1173</v>
      </c>
      <c r="M251" t="s">
        <v>1570</v>
      </c>
      <c r="N251">
        <v>15910</v>
      </c>
      <c r="O251">
        <v>0</v>
      </c>
      <c r="P251">
        <v>6118</v>
      </c>
      <c r="Q251">
        <v>0</v>
      </c>
      <c r="R251">
        <v>0</v>
      </c>
      <c r="S251">
        <v>0</v>
      </c>
      <c r="T251">
        <v>0</v>
      </c>
      <c r="U251">
        <v>22419</v>
      </c>
      <c r="V251">
        <v>0</v>
      </c>
      <c r="W251">
        <v>0</v>
      </c>
      <c r="X251" t="s">
        <v>98</v>
      </c>
      <c r="Y251" t="s">
        <v>110</v>
      </c>
      <c r="Z251" t="s">
        <v>1175</v>
      </c>
      <c r="AA251">
        <v>6</v>
      </c>
      <c r="AB251" t="s">
        <v>1171</v>
      </c>
    </row>
    <row r="252" spans="1:28">
      <c r="A252" t="s">
        <v>1168</v>
      </c>
      <c r="B252" t="s">
        <v>1248</v>
      </c>
      <c r="C252" t="s">
        <v>33</v>
      </c>
      <c r="D252" t="s">
        <v>1571</v>
      </c>
      <c r="E252" t="s">
        <v>655</v>
      </c>
      <c r="F252">
        <v>41400</v>
      </c>
      <c r="G252" t="s">
        <v>98</v>
      </c>
      <c r="H252" t="s">
        <v>37</v>
      </c>
      <c r="I252" t="s">
        <v>1171</v>
      </c>
      <c r="J252" t="s">
        <v>1171</v>
      </c>
      <c r="K252" t="s">
        <v>1184</v>
      </c>
      <c r="L252" t="s">
        <v>1173</v>
      </c>
      <c r="M252" t="s">
        <v>1572</v>
      </c>
      <c r="N252">
        <v>15910</v>
      </c>
      <c r="O252">
        <v>0</v>
      </c>
      <c r="P252">
        <v>2185</v>
      </c>
      <c r="Q252">
        <v>28203</v>
      </c>
      <c r="R252">
        <v>0</v>
      </c>
      <c r="S252">
        <v>0</v>
      </c>
      <c r="T252">
        <v>0</v>
      </c>
      <c r="U252">
        <v>0</v>
      </c>
      <c r="V252">
        <v>8679</v>
      </c>
      <c r="W252">
        <v>0</v>
      </c>
      <c r="X252" t="s">
        <v>47</v>
      </c>
      <c r="Y252" t="s">
        <v>37</v>
      </c>
      <c r="Z252" t="s">
        <v>1175</v>
      </c>
      <c r="AA252">
        <v>6</v>
      </c>
      <c r="AB252" t="s">
        <v>1171</v>
      </c>
    </row>
    <row r="253" spans="1:28">
      <c r="A253" t="s">
        <v>1168</v>
      </c>
      <c r="B253" t="s">
        <v>1248</v>
      </c>
      <c r="C253" t="s">
        <v>33</v>
      </c>
      <c r="D253" t="s">
        <v>1573</v>
      </c>
      <c r="E253" t="s">
        <v>655</v>
      </c>
      <c r="F253">
        <v>41400</v>
      </c>
      <c r="G253" t="s">
        <v>32</v>
      </c>
      <c r="H253" t="s">
        <v>37</v>
      </c>
      <c r="I253" t="s">
        <v>1171</v>
      </c>
      <c r="J253" t="s">
        <v>1171</v>
      </c>
      <c r="K253" t="s">
        <v>1172</v>
      </c>
      <c r="L253" t="s">
        <v>1173</v>
      </c>
      <c r="M253" t="s">
        <v>1574</v>
      </c>
      <c r="N253">
        <v>15910</v>
      </c>
      <c r="O253">
        <v>0</v>
      </c>
      <c r="P253">
        <v>2185</v>
      </c>
      <c r="Q253">
        <v>0</v>
      </c>
      <c r="R253">
        <v>0</v>
      </c>
      <c r="S253">
        <v>28203</v>
      </c>
      <c r="T253">
        <v>0</v>
      </c>
      <c r="U253">
        <v>0</v>
      </c>
      <c r="V253">
        <v>8679</v>
      </c>
      <c r="W253">
        <v>0</v>
      </c>
      <c r="X253" t="s">
        <v>32</v>
      </c>
      <c r="Y253" t="s">
        <v>47</v>
      </c>
      <c r="Z253" t="s">
        <v>1175</v>
      </c>
      <c r="AA253">
        <v>6</v>
      </c>
      <c r="AB253" t="s">
        <v>1171</v>
      </c>
    </row>
    <row r="254" spans="1:28">
      <c r="A254" t="s">
        <v>1168</v>
      </c>
      <c r="B254" t="s">
        <v>1205</v>
      </c>
      <c r="C254" t="s">
        <v>33</v>
      </c>
      <c r="D254" t="s">
        <v>1575</v>
      </c>
      <c r="E254" t="s">
        <v>656</v>
      </c>
      <c r="F254">
        <v>41400</v>
      </c>
      <c r="G254" t="s">
        <v>98</v>
      </c>
      <c r="H254" t="s">
        <v>1171</v>
      </c>
      <c r="I254" t="s">
        <v>1171</v>
      </c>
      <c r="J254" t="s">
        <v>1171</v>
      </c>
      <c r="K254" t="s">
        <v>98</v>
      </c>
      <c r="L254" t="s">
        <v>1173</v>
      </c>
      <c r="M254" t="s">
        <v>271</v>
      </c>
      <c r="N254">
        <v>15910</v>
      </c>
      <c r="O254">
        <v>0</v>
      </c>
      <c r="P254">
        <v>6337</v>
      </c>
      <c r="Q254">
        <v>10847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 t="s">
        <v>42</v>
      </c>
      <c r="Y254" t="s">
        <v>37</v>
      </c>
      <c r="Z254" t="s">
        <v>1175</v>
      </c>
      <c r="AA254">
        <v>6</v>
      </c>
      <c r="AB254" t="s">
        <v>1171</v>
      </c>
    </row>
    <row r="255" spans="1:28">
      <c r="A255" t="s">
        <v>1168</v>
      </c>
      <c r="B255" t="s">
        <v>1248</v>
      </c>
      <c r="C255" t="s">
        <v>33</v>
      </c>
      <c r="D255" t="s">
        <v>1576</v>
      </c>
      <c r="E255" t="s">
        <v>656</v>
      </c>
      <c r="F255">
        <v>41400</v>
      </c>
      <c r="G255" t="s">
        <v>32</v>
      </c>
      <c r="H255" t="s">
        <v>1171</v>
      </c>
      <c r="I255" t="s">
        <v>1171</v>
      </c>
      <c r="J255" t="s">
        <v>1171</v>
      </c>
      <c r="K255" t="s">
        <v>32</v>
      </c>
      <c r="L255" t="s">
        <v>1173</v>
      </c>
      <c r="M255" t="s">
        <v>1577</v>
      </c>
      <c r="N255">
        <v>15910</v>
      </c>
      <c r="O255">
        <v>0</v>
      </c>
      <c r="P255">
        <v>6337</v>
      </c>
      <c r="Q255">
        <v>0</v>
      </c>
      <c r="R255">
        <v>0</v>
      </c>
      <c r="S255">
        <v>10847</v>
      </c>
      <c r="T255">
        <v>0</v>
      </c>
      <c r="U255">
        <v>0</v>
      </c>
      <c r="V255">
        <v>0</v>
      </c>
      <c r="W255">
        <v>0</v>
      </c>
      <c r="X255" t="s">
        <v>32</v>
      </c>
      <c r="Y255" t="s">
        <v>37</v>
      </c>
      <c r="Z255" t="s">
        <v>1175</v>
      </c>
      <c r="AA255">
        <v>6</v>
      </c>
      <c r="AB255" t="s">
        <v>1171</v>
      </c>
    </row>
    <row r="256" spans="1:28">
      <c r="A256" t="s">
        <v>1168</v>
      </c>
      <c r="B256" t="s">
        <v>1228</v>
      </c>
      <c r="C256" t="s">
        <v>33</v>
      </c>
      <c r="D256" t="s">
        <v>1578</v>
      </c>
      <c r="E256" t="s">
        <v>667</v>
      </c>
      <c r="F256">
        <v>41400</v>
      </c>
      <c r="G256" t="s">
        <v>24</v>
      </c>
      <c r="H256" t="s">
        <v>37</v>
      </c>
      <c r="I256" t="s">
        <v>1171</v>
      </c>
      <c r="J256" t="s">
        <v>1171</v>
      </c>
      <c r="K256" t="s">
        <v>1191</v>
      </c>
      <c r="L256" t="s">
        <v>1173</v>
      </c>
      <c r="M256" t="s">
        <v>1579</v>
      </c>
      <c r="N256">
        <v>15910</v>
      </c>
      <c r="O256">
        <v>0</v>
      </c>
      <c r="P256">
        <v>7452</v>
      </c>
      <c r="Q256">
        <v>0</v>
      </c>
      <c r="R256">
        <v>0</v>
      </c>
      <c r="S256">
        <v>0</v>
      </c>
      <c r="T256">
        <v>8967</v>
      </c>
      <c r="U256">
        <v>0</v>
      </c>
      <c r="V256">
        <v>11209</v>
      </c>
      <c r="W256">
        <v>0</v>
      </c>
      <c r="X256" t="s">
        <v>98</v>
      </c>
      <c r="Y256" t="s">
        <v>110</v>
      </c>
      <c r="Z256" t="s">
        <v>1175</v>
      </c>
      <c r="AA256">
        <v>6</v>
      </c>
      <c r="AB256" t="s">
        <v>1171</v>
      </c>
    </row>
    <row r="257" spans="1:28">
      <c r="A257" t="s">
        <v>1181</v>
      </c>
      <c r="B257" t="s">
        <v>1182</v>
      </c>
      <c r="C257" t="s">
        <v>33</v>
      </c>
      <c r="D257" t="s">
        <v>1580</v>
      </c>
      <c r="E257" t="s">
        <v>601</v>
      </c>
      <c r="F257">
        <v>35900</v>
      </c>
      <c r="G257" t="s">
        <v>98</v>
      </c>
      <c r="H257" t="s">
        <v>37</v>
      </c>
      <c r="I257" t="s">
        <v>1171</v>
      </c>
      <c r="J257" t="s">
        <v>1171</v>
      </c>
      <c r="K257" t="s">
        <v>1184</v>
      </c>
      <c r="L257" t="s">
        <v>1171</v>
      </c>
      <c r="M257" t="s">
        <v>1581</v>
      </c>
      <c r="N257">
        <v>13796</v>
      </c>
      <c r="O257">
        <v>1126</v>
      </c>
      <c r="P257">
        <v>2843</v>
      </c>
      <c r="Q257">
        <v>9407</v>
      </c>
      <c r="R257">
        <v>0</v>
      </c>
      <c r="S257">
        <v>0</v>
      </c>
      <c r="T257">
        <v>0</v>
      </c>
      <c r="U257">
        <v>0</v>
      </c>
      <c r="V257">
        <v>7525</v>
      </c>
      <c r="W257">
        <v>0</v>
      </c>
      <c r="X257" t="s">
        <v>98</v>
      </c>
      <c r="Y257" t="s">
        <v>47</v>
      </c>
      <c r="Z257" t="s">
        <v>1175</v>
      </c>
      <c r="AA257">
        <v>6</v>
      </c>
      <c r="AB257" t="s">
        <v>1171</v>
      </c>
    </row>
    <row r="258" spans="1:28">
      <c r="A258" t="s">
        <v>1181</v>
      </c>
      <c r="B258" t="s">
        <v>1182</v>
      </c>
      <c r="C258" t="s">
        <v>33</v>
      </c>
      <c r="D258" t="s">
        <v>1582</v>
      </c>
      <c r="E258" t="s">
        <v>93</v>
      </c>
      <c r="F258">
        <v>35300</v>
      </c>
      <c r="G258" t="s">
        <v>32</v>
      </c>
      <c r="H258" t="s">
        <v>37</v>
      </c>
      <c r="I258" t="s">
        <v>1171</v>
      </c>
      <c r="J258" t="s">
        <v>1171</v>
      </c>
      <c r="K258" t="s">
        <v>1172</v>
      </c>
      <c r="L258" t="s">
        <v>1171</v>
      </c>
      <c r="M258" t="s">
        <v>1583</v>
      </c>
      <c r="N258">
        <v>13566</v>
      </c>
      <c r="O258">
        <v>1107</v>
      </c>
      <c r="P258">
        <v>2795</v>
      </c>
      <c r="Q258">
        <v>0</v>
      </c>
      <c r="R258">
        <v>0</v>
      </c>
      <c r="S258">
        <v>9249</v>
      </c>
      <c r="T258">
        <v>0</v>
      </c>
      <c r="U258">
        <v>0</v>
      </c>
      <c r="V258">
        <v>7400</v>
      </c>
      <c r="W258">
        <v>0</v>
      </c>
      <c r="X258" t="s">
        <v>37</v>
      </c>
      <c r="Y258" t="s">
        <v>98</v>
      </c>
      <c r="Z258" t="s">
        <v>1175</v>
      </c>
      <c r="AA258">
        <v>6</v>
      </c>
      <c r="AB258" t="s">
        <v>1171</v>
      </c>
    </row>
    <row r="259" spans="1:28">
      <c r="A259" t="s">
        <v>1181</v>
      </c>
      <c r="B259" t="s">
        <v>1182</v>
      </c>
      <c r="C259" t="s">
        <v>33</v>
      </c>
      <c r="D259" t="s">
        <v>1584</v>
      </c>
      <c r="E259" t="s">
        <v>93</v>
      </c>
      <c r="F259">
        <v>35300</v>
      </c>
      <c r="G259" t="s">
        <v>24</v>
      </c>
      <c r="H259" t="s">
        <v>37</v>
      </c>
      <c r="I259" t="s">
        <v>1171</v>
      </c>
      <c r="J259" t="s">
        <v>1171</v>
      </c>
      <c r="K259" t="s">
        <v>1191</v>
      </c>
      <c r="L259" t="s">
        <v>1171</v>
      </c>
      <c r="M259" t="s">
        <v>1585</v>
      </c>
      <c r="N259">
        <v>13566</v>
      </c>
      <c r="O259">
        <v>1107</v>
      </c>
      <c r="P259">
        <v>2795</v>
      </c>
      <c r="Q259">
        <v>0</v>
      </c>
      <c r="R259">
        <v>0</v>
      </c>
      <c r="S259">
        <v>0</v>
      </c>
      <c r="T259">
        <v>9249</v>
      </c>
      <c r="U259">
        <v>0</v>
      </c>
      <c r="V259">
        <v>7400</v>
      </c>
      <c r="W259">
        <v>0</v>
      </c>
      <c r="X259" t="s">
        <v>47</v>
      </c>
      <c r="Y259" t="s">
        <v>91</v>
      </c>
      <c r="Z259" t="s">
        <v>1175</v>
      </c>
      <c r="AA259">
        <v>6</v>
      </c>
      <c r="AB259" t="s">
        <v>1171</v>
      </c>
    </row>
    <row r="260" spans="1:28">
      <c r="A260" t="s">
        <v>1181</v>
      </c>
      <c r="B260" t="s">
        <v>1182</v>
      </c>
      <c r="C260" t="s">
        <v>33</v>
      </c>
      <c r="D260" t="s">
        <v>1549</v>
      </c>
      <c r="E260" t="s">
        <v>93</v>
      </c>
      <c r="F260">
        <v>35300</v>
      </c>
      <c r="G260" t="s">
        <v>32</v>
      </c>
      <c r="H260" t="s">
        <v>37</v>
      </c>
      <c r="I260" t="s">
        <v>1171</v>
      </c>
      <c r="J260" t="s">
        <v>1171</v>
      </c>
      <c r="K260" t="s">
        <v>1172</v>
      </c>
      <c r="L260" t="s">
        <v>1171</v>
      </c>
      <c r="M260" t="s">
        <v>1586</v>
      </c>
      <c r="N260">
        <v>13566</v>
      </c>
      <c r="O260">
        <v>1107</v>
      </c>
      <c r="P260">
        <v>2795</v>
      </c>
      <c r="Q260">
        <v>0</v>
      </c>
      <c r="R260">
        <v>0</v>
      </c>
      <c r="S260">
        <v>9249</v>
      </c>
      <c r="T260">
        <v>0</v>
      </c>
      <c r="U260">
        <v>0</v>
      </c>
      <c r="V260">
        <v>7400</v>
      </c>
      <c r="W260">
        <v>0</v>
      </c>
      <c r="X260" t="s">
        <v>37</v>
      </c>
      <c r="Y260" t="s">
        <v>98</v>
      </c>
      <c r="Z260" t="s">
        <v>1175</v>
      </c>
      <c r="AA260">
        <v>6</v>
      </c>
      <c r="AB260" t="s">
        <v>1171</v>
      </c>
    </row>
    <row r="261" spans="1:28">
      <c r="A261" t="s">
        <v>1168</v>
      </c>
      <c r="B261" t="s">
        <v>1176</v>
      </c>
      <c r="C261" t="s">
        <v>33</v>
      </c>
      <c r="D261" t="s">
        <v>1587</v>
      </c>
      <c r="E261" t="s">
        <v>93</v>
      </c>
      <c r="F261">
        <v>35300</v>
      </c>
      <c r="G261" t="s">
        <v>37</v>
      </c>
      <c r="H261" t="s">
        <v>1171</v>
      </c>
      <c r="I261" t="s">
        <v>1171</v>
      </c>
      <c r="J261" t="s">
        <v>1171</v>
      </c>
      <c r="K261" t="s">
        <v>37</v>
      </c>
      <c r="L261" t="s">
        <v>1226</v>
      </c>
      <c r="M261" t="s">
        <v>1588</v>
      </c>
      <c r="N261">
        <v>13566</v>
      </c>
      <c r="O261">
        <v>0</v>
      </c>
      <c r="P261">
        <v>6335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16032</v>
      </c>
      <c r="W261">
        <v>0</v>
      </c>
      <c r="X261" t="s">
        <v>98</v>
      </c>
      <c r="Y261" t="s">
        <v>37</v>
      </c>
      <c r="Z261" t="s">
        <v>1175</v>
      </c>
      <c r="AA261">
        <v>6</v>
      </c>
      <c r="AB261" t="s">
        <v>1171</v>
      </c>
    </row>
    <row r="262" spans="1:28">
      <c r="A262" t="s">
        <v>1168</v>
      </c>
      <c r="B262" t="s">
        <v>1176</v>
      </c>
      <c r="C262" t="s">
        <v>33</v>
      </c>
      <c r="D262" t="s">
        <v>1589</v>
      </c>
      <c r="E262" t="s">
        <v>93</v>
      </c>
      <c r="F262">
        <v>35300</v>
      </c>
      <c r="G262" t="s">
        <v>32</v>
      </c>
      <c r="H262" t="s">
        <v>110</v>
      </c>
      <c r="I262" t="s">
        <v>37</v>
      </c>
      <c r="J262" t="s">
        <v>1171</v>
      </c>
      <c r="K262" t="s">
        <v>1207</v>
      </c>
      <c r="L262" t="s">
        <v>1226</v>
      </c>
      <c r="M262" t="s">
        <v>1590</v>
      </c>
      <c r="N262">
        <v>13566</v>
      </c>
      <c r="O262">
        <v>0</v>
      </c>
      <c r="P262">
        <v>5403</v>
      </c>
      <c r="Q262">
        <v>0</v>
      </c>
      <c r="R262">
        <v>0</v>
      </c>
      <c r="S262">
        <v>6783</v>
      </c>
      <c r="T262">
        <v>0</v>
      </c>
      <c r="U262">
        <v>6783</v>
      </c>
      <c r="V262">
        <v>6783</v>
      </c>
      <c r="W262">
        <v>0</v>
      </c>
      <c r="X262" t="s">
        <v>32</v>
      </c>
      <c r="Y262" t="s">
        <v>37</v>
      </c>
      <c r="Z262" t="s">
        <v>1175</v>
      </c>
      <c r="AA262">
        <v>6</v>
      </c>
      <c r="AB262" t="s">
        <v>1171</v>
      </c>
    </row>
    <row r="263" spans="1:28">
      <c r="A263" t="s">
        <v>1168</v>
      </c>
      <c r="B263" t="s">
        <v>1233</v>
      </c>
      <c r="C263" t="s">
        <v>33</v>
      </c>
      <c r="D263" t="s">
        <v>1591</v>
      </c>
      <c r="E263" t="s">
        <v>93</v>
      </c>
      <c r="F263">
        <v>35300</v>
      </c>
      <c r="G263" t="s">
        <v>98</v>
      </c>
      <c r="H263" t="s">
        <v>37</v>
      </c>
      <c r="I263" t="s">
        <v>1171</v>
      </c>
      <c r="J263" t="s">
        <v>1171</v>
      </c>
      <c r="K263" t="s">
        <v>1184</v>
      </c>
      <c r="L263" t="s">
        <v>1226</v>
      </c>
      <c r="M263" t="s">
        <v>1592</v>
      </c>
      <c r="N263">
        <v>13566</v>
      </c>
      <c r="O263">
        <v>0</v>
      </c>
      <c r="P263">
        <v>4472</v>
      </c>
      <c r="Q263">
        <v>8633</v>
      </c>
      <c r="R263">
        <v>0</v>
      </c>
      <c r="S263">
        <v>0</v>
      </c>
      <c r="T263">
        <v>0</v>
      </c>
      <c r="U263">
        <v>0</v>
      </c>
      <c r="V263">
        <v>13566</v>
      </c>
      <c r="W263">
        <v>0</v>
      </c>
      <c r="X263" t="s">
        <v>47</v>
      </c>
      <c r="Y263" t="s">
        <v>37</v>
      </c>
      <c r="Z263" t="s">
        <v>1175</v>
      </c>
      <c r="AA263">
        <v>6</v>
      </c>
      <c r="AB263" t="s">
        <v>1171</v>
      </c>
    </row>
    <row r="264" spans="1:28">
      <c r="A264" t="s">
        <v>1168</v>
      </c>
      <c r="B264" t="s">
        <v>1233</v>
      </c>
      <c r="C264" t="s">
        <v>33</v>
      </c>
      <c r="D264" t="s">
        <v>1593</v>
      </c>
      <c r="E264" t="s">
        <v>93</v>
      </c>
      <c r="F264">
        <v>35300</v>
      </c>
      <c r="G264" t="s">
        <v>32</v>
      </c>
      <c r="H264" t="s">
        <v>37</v>
      </c>
      <c r="I264" t="s">
        <v>1171</v>
      </c>
      <c r="J264" t="s">
        <v>1171</v>
      </c>
      <c r="K264" t="s">
        <v>1172</v>
      </c>
      <c r="L264" t="s">
        <v>1226</v>
      </c>
      <c r="M264" t="s">
        <v>1594</v>
      </c>
      <c r="N264">
        <v>13566</v>
      </c>
      <c r="O264">
        <v>0</v>
      </c>
      <c r="P264">
        <v>4472</v>
      </c>
      <c r="Q264">
        <v>0</v>
      </c>
      <c r="R264">
        <v>0</v>
      </c>
      <c r="S264">
        <v>8633</v>
      </c>
      <c r="T264">
        <v>0</v>
      </c>
      <c r="U264">
        <v>0</v>
      </c>
      <c r="V264">
        <v>13566</v>
      </c>
      <c r="W264">
        <v>0</v>
      </c>
      <c r="X264" t="s">
        <v>32</v>
      </c>
      <c r="Y264" t="s">
        <v>47</v>
      </c>
      <c r="Z264" t="s">
        <v>1175</v>
      </c>
      <c r="AA264">
        <v>6</v>
      </c>
      <c r="AB264" t="s">
        <v>1171</v>
      </c>
    </row>
    <row r="265" spans="1:28">
      <c r="A265" t="s">
        <v>1168</v>
      </c>
      <c r="B265" t="s">
        <v>1228</v>
      </c>
      <c r="C265" t="s">
        <v>33</v>
      </c>
      <c r="D265" t="s">
        <v>1595</v>
      </c>
      <c r="E265" t="s">
        <v>93</v>
      </c>
      <c r="F265">
        <v>35300</v>
      </c>
      <c r="G265" t="s">
        <v>110</v>
      </c>
      <c r="H265" t="s">
        <v>37</v>
      </c>
      <c r="I265" t="s">
        <v>1171</v>
      </c>
      <c r="J265" t="s">
        <v>1171</v>
      </c>
      <c r="K265" t="s">
        <v>1187</v>
      </c>
      <c r="L265" t="s">
        <v>1226</v>
      </c>
      <c r="M265" t="s">
        <v>1596</v>
      </c>
      <c r="N265">
        <v>13566</v>
      </c>
      <c r="O265">
        <v>0</v>
      </c>
      <c r="P265">
        <v>3726</v>
      </c>
      <c r="Q265">
        <v>0</v>
      </c>
      <c r="R265">
        <v>0</v>
      </c>
      <c r="S265">
        <v>0</v>
      </c>
      <c r="T265">
        <v>0</v>
      </c>
      <c r="U265">
        <v>16957</v>
      </c>
      <c r="V265">
        <v>9249</v>
      </c>
      <c r="W265">
        <v>0</v>
      </c>
      <c r="X265" t="s">
        <v>110</v>
      </c>
      <c r="Y265" t="s">
        <v>37</v>
      </c>
      <c r="Z265" t="s">
        <v>1175</v>
      </c>
      <c r="AA265">
        <v>6</v>
      </c>
      <c r="AB265" t="s">
        <v>1171</v>
      </c>
    </row>
    <row r="266" spans="1:28">
      <c r="A266" t="s">
        <v>1168</v>
      </c>
      <c r="B266" t="s">
        <v>1176</v>
      </c>
      <c r="C266" t="s">
        <v>33</v>
      </c>
      <c r="D266" t="s">
        <v>1597</v>
      </c>
      <c r="E266" t="s">
        <v>93</v>
      </c>
      <c r="F266">
        <v>35300</v>
      </c>
      <c r="G266" t="s">
        <v>98</v>
      </c>
      <c r="H266" t="s">
        <v>32</v>
      </c>
      <c r="I266" t="s">
        <v>37</v>
      </c>
      <c r="J266" t="s">
        <v>1171</v>
      </c>
      <c r="K266" t="s">
        <v>1206</v>
      </c>
      <c r="L266" t="s">
        <v>1226</v>
      </c>
      <c r="M266" t="s">
        <v>1598</v>
      </c>
      <c r="N266">
        <v>13566</v>
      </c>
      <c r="O266">
        <v>0</v>
      </c>
      <c r="P266">
        <v>5403</v>
      </c>
      <c r="Q266">
        <v>6783</v>
      </c>
      <c r="R266">
        <v>0</v>
      </c>
      <c r="S266">
        <v>6783</v>
      </c>
      <c r="T266">
        <v>0</v>
      </c>
      <c r="U266">
        <v>0</v>
      </c>
      <c r="V266">
        <v>6783</v>
      </c>
      <c r="W266">
        <v>0</v>
      </c>
      <c r="X266" t="s">
        <v>42</v>
      </c>
      <c r="Y266" t="s">
        <v>47</v>
      </c>
      <c r="Z266" t="s">
        <v>1175</v>
      </c>
      <c r="AA266">
        <v>6</v>
      </c>
      <c r="AB266" t="s">
        <v>1171</v>
      </c>
    </row>
    <row r="267" spans="1:28">
      <c r="A267" t="s">
        <v>1168</v>
      </c>
      <c r="B267" t="s">
        <v>1176</v>
      </c>
      <c r="C267" t="s">
        <v>33</v>
      </c>
      <c r="D267" t="s">
        <v>1599</v>
      </c>
      <c r="E267" t="s">
        <v>93</v>
      </c>
      <c r="F267">
        <v>35300</v>
      </c>
      <c r="G267" t="s">
        <v>98</v>
      </c>
      <c r="H267" t="s">
        <v>110</v>
      </c>
      <c r="I267" t="s">
        <v>37</v>
      </c>
      <c r="J267" t="s">
        <v>1171</v>
      </c>
      <c r="K267" t="s">
        <v>1239</v>
      </c>
      <c r="L267" t="s">
        <v>1226</v>
      </c>
      <c r="M267" t="s">
        <v>1600</v>
      </c>
      <c r="N267">
        <v>13566</v>
      </c>
      <c r="O267">
        <v>0</v>
      </c>
      <c r="P267">
        <v>5403</v>
      </c>
      <c r="Q267">
        <v>6783</v>
      </c>
      <c r="R267">
        <v>0</v>
      </c>
      <c r="S267">
        <v>0</v>
      </c>
      <c r="T267">
        <v>0</v>
      </c>
      <c r="U267">
        <v>6783</v>
      </c>
      <c r="V267">
        <v>6783</v>
      </c>
      <c r="W267">
        <v>0</v>
      </c>
      <c r="X267" t="s">
        <v>98</v>
      </c>
      <c r="Y267" t="s">
        <v>37</v>
      </c>
      <c r="Z267" t="s">
        <v>1175</v>
      </c>
      <c r="AA267">
        <v>6</v>
      </c>
      <c r="AB267" t="s">
        <v>1171</v>
      </c>
    </row>
    <row r="268" spans="1:28">
      <c r="A268" t="s">
        <v>1168</v>
      </c>
      <c r="B268" t="s">
        <v>1169</v>
      </c>
      <c r="C268" t="s">
        <v>33</v>
      </c>
      <c r="D268" t="s">
        <v>1601</v>
      </c>
      <c r="E268" t="s">
        <v>93</v>
      </c>
      <c r="F268">
        <v>35300</v>
      </c>
      <c r="G268" t="s">
        <v>24</v>
      </c>
      <c r="H268" t="s">
        <v>37</v>
      </c>
      <c r="I268" t="s">
        <v>1171</v>
      </c>
      <c r="J268" t="s">
        <v>1171</v>
      </c>
      <c r="K268" t="s">
        <v>1191</v>
      </c>
      <c r="L268" t="s">
        <v>1226</v>
      </c>
      <c r="M268" t="s">
        <v>1602</v>
      </c>
      <c r="N268">
        <v>13566</v>
      </c>
      <c r="O268">
        <v>0</v>
      </c>
      <c r="P268">
        <v>5962</v>
      </c>
      <c r="Q268">
        <v>0</v>
      </c>
      <c r="R268">
        <v>0</v>
      </c>
      <c r="S268">
        <v>0</v>
      </c>
      <c r="T268">
        <v>8941</v>
      </c>
      <c r="U268">
        <v>0</v>
      </c>
      <c r="V268">
        <v>9558</v>
      </c>
      <c r="W268">
        <v>0</v>
      </c>
      <c r="X268" t="s">
        <v>98</v>
      </c>
      <c r="Y268" t="s">
        <v>110</v>
      </c>
      <c r="Z268" t="s">
        <v>1175</v>
      </c>
      <c r="AA268">
        <v>6</v>
      </c>
      <c r="AB268" t="s">
        <v>1171</v>
      </c>
    </row>
    <row r="269" spans="1:28">
      <c r="A269" t="s">
        <v>1168</v>
      </c>
      <c r="B269" t="s">
        <v>1205</v>
      </c>
      <c r="C269" t="s">
        <v>33</v>
      </c>
      <c r="D269" t="s">
        <v>1603</v>
      </c>
      <c r="E269" t="s">
        <v>673</v>
      </c>
      <c r="F269">
        <v>35300</v>
      </c>
      <c r="G269" t="s">
        <v>98</v>
      </c>
      <c r="H269" t="s">
        <v>110</v>
      </c>
      <c r="I269" t="s">
        <v>32</v>
      </c>
      <c r="J269" t="s">
        <v>37</v>
      </c>
      <c r="K269" t="s">
        <v>1331</v>
      </c>
      <c r="L269" t="s">
        <v>1173</v>
      </c>
      <c r="M269" t="s">
        <v>1604</v>
      </c>
      <c r="N269">
        <v>13566</v>
      </c>
      <c r="O269">
        <v>0</v>
      </c>
      <c r="P269">
        <v>4379</v>
      </c>
      <c r="Q269">
        <v>6166</v>
      </c>
      <c r="R269">
        <v>0</v>
      </c>
      <c r="S269">
        <v>6166</v>
      </c>
      <c r="T269">
        <v>0</v>
      </c>
      <c r="U269">
        <v>6166</v>
      </c>
      <c r="V269">
        <v>6166</v>
      </c>
      <c r="W269">
        <v>0</v>
      </c>
      <c r="X269" t="s">
        <v>98</v>
      </c>
      <c r="Y269" t="s">
        <v>110</v>
      </c>
      <c r="Z269" t="s">
        <v>1175</v>
      </c>
      <c r="AA269">
        <v>6</v>
      </c>
      <c r="AB269" t="s">
        <v>1171</v>
      </c>
    </row>
    <row r="270" spans="1:28">
      <c r="A270" t="s">
        <v>1168</v>
      </c>
      <c r="B270" t="s">
        <v>1205</v>
      </c>
      <c r="C270" t="s">
        <v>33</v>
      </c>
      <c r="D270" t="s">
        <v>1605</v>
      </c>
      <c r="E270" t="s">
        <v>673</v>
      </c>
      <c r="F270">
        <v>35300</v>
      </c>
      <c r="G270" t="s">
        <v>110</v>
      </c>
      <c r="H270" t="s">
        <v>1171</v>
      </c>
      <c r="I270" t="s">
        <v>1171</v>
      </c>
      <c r="J270" t="s">
        <v>1171</v>
      </c>
      <c r="K270" t="s">
        <v>110</v>
      </c>
      <c r="L270" t="s">
        <v>1173</v>
      </c>
      <c r="M270" t="s">
        <v>1606</v>
      </c>
      <c r="N270">
        <v>13566</v>
      </c>
      <c r="O270">
        <v>0</v>
      </c>
      <c r="P270">
        <v>5217</v>
      </c>
      <c r="Q270">
        <v>0</v>
      </c>
      <c r="R270">
        <v>0</v>
      </c>
      <c r="S270">
        <v>0</v>
      </c>
      <c r="T270">
        <v>0</v>
      </c>
      <c r="U270">
        <v>18499</v>
      </c>
      <c r="V270">
        <v>0</v>
      </c>
      <c r="W270">
        <v>0</v>
      </c>
      <c r="X270" t="s">
        <v>98</v>
      </c>
      <c r="Y270" t="s">
        <v>110</v>
      </c>
      <c r="Z270" t="s">
        <v>1175</v>
      </c>
      <c r="AA270">
        <v>6</v>
      </c>
      <c r="AB270" t="s">
        <v>1171</v>
      </c>
    </row>
    <row r="271" spans="1:28">
      <c r="A271" t="s">
        <v>1168</v>
      </c>
      <c r="B271" t="s">
        <v>1248</v>
      </c>
      <c r="C271" t="s">
        <v>33</v>
      </c>
      <c r="D271" t="s">
        <v>1607</v>
      </c>
      <c r="E271" t="s">
        <v>673</v>
      </c>
      <c r="F271">
        <v>35300</v>
      </c>
      <c r="G271" t="s">
        <v>98</v>
      </c>
      <c r="H271" t="s">
        <v>37</v>
      </c>
      <c r="I271" t="s">
        <v>1171</v>
      </c>
      <c r="J271" t="s">
        <v>1171</v>
      </c>
      <c r="K271" t="s">
        <v>1184</v>
      </c>
      <c r="L271" t="s">
        <v>1173</v>
      </c>
      <c r="M271" t="s">
        <v>1608</v>
      </c>
      <c r="N271">
        <v>13566</v>
      </c>
      <c r="O271">
        <v>0</v>
      </c>
      <c r="P271">
        <v>1863</v>
      </c>
      <c r="Q271">
        <v>24048</v>
      </c>
      <c r="R271">
        <v>0</v>
      </c>
      <c r="S271">
        <v>0</v>
      </c>
      <c r="T271">
        <v>0</v>
      </c>
      <c r="U271">
        <v>0</v>
      </c>
      <c r="V271">
        <v>7400</v>
      </c>
      <c r="W271">
        <v>0</v>
      </c>
      <c r="X271" t="s">
        <v>47</v>
      </c>
      <c r="Y271" t="s">
        <v>37</v>
      </c>
      <c r="Z271" t="s">
        <v>1175</v>
      </c>
      <c r="AA271">
        <v>6</v>
      </c>
      <c r="AB271" t="s">
        <v>1171</v>
      </c>
    </row>
    <row r="272" spans="1:28">
      <c r="A272" t="s">
        <v>1168</v>
      </c>
      <c r="B272" t="s">
        <v>1248</v>
      </c>
      <c r="C272" t="s">
        <v>33</v>
      </c>
      <c r="D272" t="s">
        <v>1609</v>
      </c>
      <c r="E272" t="s">
        <v>673</v>
      </c>
      <c r="F272">
        <v>35300</v>
      </c>
      <c r="G272" t="s">
        <v>32</v>
      </c>
      <c r="H272" t="s">
        <v>37</v>
      </c>
      <c r="I272" t="s">
        <v>1171</v>
      </c>
      <c r="J272" t="s">
        <v>1171</v>
      </c>
      <c r="K272" t="s">
        <v>1172</v>
      </c>
      <c r="L272" t="s">
        <v>1173</v>
      </c>
      <c r="M272" t="s">
        <v>1610</v>
      </c>
      <c r="N272">
        <v>13566</v>
      </c>
      <c r="O272">
        <v>0</v>
      </c>
      <c r="P272">
        <v>1863</v>
      </c>
      <c r="Q272">
        <v>0</v>
      </c>
      <c r="R272">
        <v>0</v>
      </c>
      <c r="S272">
        <v>24048</v>
      </c>
      <c r="T272">
        <v>0</v>
      </c>
      <c r="U272">
        <v>0</v>
      </c>
      <c r="V272">
        <v>7400</v>
      </c>
      <c r="W272">
        <v>0</v>
      </c>
      <c r="X272" t="s">
        <v>32</v>
      </c>
      <c r="Y272" t="s">
        <v>47</v>
      </c>
      <c r="Z272" t="s">
        <v>1175</v>
      </c>
      <c r="AA272">
        <v>6</v>
      </c>
      <c r="AB272" t="s">
        <v>1171</v>
      </c>
    </row>
    <row r="273" spans="1:28">
      <c r="A273" t="s">
        <v>1168</v>
      </c>
      <c r="B273" t="s">
        <v>1205</v>
      </c>
      <c r="C273" t="s">
        <v>33</v>
      </c>
      <c r="D273" t="s">
        <v>1611</v>
      </c>
      <c r="E273" t="s">
        <v>674</v>
      </c>
      <c r="F273">
        <v>35300</v>
      </c>
      <c r="G273" t="s">
        <v>98</v>
      </c>
      <c r="H273" t="s">
        <v>1171</v>
      </c>
      <c r="I273" t="s">
        <v>1171</v>
      </c>
      <c r="J273" t="s">
        <v>1171</v>
      </c>
      <c r="K273" t="s">
        <v>98</v>
      </c>
      <c r="L273" t="s">
        <v>1173</v>
      </c>
      <c r="M273" t="s">
        <v>1612</v>
      </c>
      <c r="N273">
        <v>13566</v>
      </c>
      <c r="O273">
        <v>0</v>
      </c>
      <c r="P273">
        <v>5403</v>
      </c>
      <c r="Q273">
        <v>9249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 t="s">
        <v>42</v>
      </c>
      <c r="Y273" t="s">
        <v>37</v>
      </c>
      <c r="Z273" t="s">
        <v>1175</v>
      </c>
      <c r="AA273">
        <v>6</v>
      </c>
      <c r="AB273" t="s">
        <v>1171</v>
      </c>
    </row>
    <row r="274" spans="1:28">
      <c r="A274" t="s">
        <v>1168</v>
      </c>
      <c r="B274" t="s">
        <v>1248</v>
      </c>
      <c r="C274" t="s">
        <v>33</v>
      </c>
      <c r="D274" t="s">
        <v>1613</v>
      </c>
      <c r="E274" t="s">
        <v>674</v>
      </c>
      <c r="F274">
        <v>35300</v>
      </c>
      <c r="G274" t="s">
        <v>32</v>
      </c>
      <c r="H274" t="s">
        <v>1171</v>
      </c>
      <c r="I274" t="s">
        <v>1171</v>
      </c>
      <c r="J274" t="s">
        <v>1171</v>
      </c>
      <c r="K274" t="s">
        <v>32</v>
      </c>
      <c r="L274" t="s">
        <v>1173</v>
      </c>
      <c r="M274" t="s">
        <v>1614</v>
      </c>
      <c r="N274">
        <v>13566</v>
      </c>
      <c r="O274">
        <v>0</v>
      </c>
      <c r="P274">
        <v>5403</v>
      </c>
      <c r="Q274">
        <v>0</v>
      </c>
      <c r="R274">
        <v>0</v>
      </c>
      <c r="S274">
        <v>9249</v>
      </c>
      <c r="T274">
        <v>0</v>
      </c>
      <c r="U274">
        <v>0</v>
      </c>
      <c r="V274">
        <v>0</v>
      </c>
      <c r="W274">
        <v>0</v>
      </c>
      <c r="X274" t="s">
        <v>32</v>
      </c>
      <c r="Y274" t="s">
        <v>37</v>
      </c>
      <c r="Z274" t="s">
        <v>1175</v>
      </c>
      <c r="AA274">
        <v>6</v>
      </c>
      <c r="AB274" t="s">
        <v>1171</v>
      </c>
    </row>
    <row r="275" spans="1:28">
      <c r="A275" t="s">
        <v>1168</v>
      </c>
      <c r="B275" t="s">
        <v>1169</v>
      </c>
      <c r="C275" t="s">
        <v>33</v>
      </c>
      <c r="D275" t="s">
        <v>1615</v>
      </c>
      <c r="E275" t="s">
        <v>682</v>
      </c>
      <c r="F275">
        <v>35300</v>
      </c>
      <c r="G275" t="s">
        <v>24</v>
      </c>
      <c r="H275" t="s">
        <v>37</v>
      </c>
      <c r="I275" t="s">
        <v>1171</v>
      </c>
      <c r="J275" t="s">
        <v>1171</v>
      </c>
      <c r="K275" t="s">
        <v>1191</v>
      </c>
      <c r="L275" t="s">
        <v>1173</v>
      </c>
      <c r="M275" t="s">
        <v>1616</v>
      </c>
      <c r="N275">
        <v>13566</v>
      </c>
      <c r="O275">
        <v>0</v>
      </c>
      <c r="P275">
        <v>5962</v>
      </c>
      <c r="Q275">
        <v>0</v>
      </c>
      <c r="R275">
        <v>0</v>
      </c>
      <c r="S275">
        <v>0</v>
      </c>
      <c r="T275">
        <v>8941</v>
      </c>
      <c r="U275">
        <v>0</v>
      </c>
      <c r="V275">
        <v>9558</v>
      </c>
      <c r="W275">
        <v>0</v>
      </c>
      <c r="X275" t="s">
        <v>98</v>
      </c>
      <c r="Y275" t="s">
        <v>110</v>
      </c>
      <c r="Z275" t="s">
        <v>1175</v>
      </c>
      <c r="AA275">
        <v>6</v>
      </c>
      <c r="AB275" t="s">
        <v>1171</v>
      </c>
    </row>
    <row r="276" spans="1:28">
      <c r="A276" t="s">
        <v>1181</v>
      </c>
      <c r="B276" t="s">
        <v>1182</v>
      </c>
      <c r="C276" t="s">
        <v>33</v>
      </c>
      <c r="D276" t="s">
        <v>1617</v>
      </c>
      <c r="E276" t="s">
        <v>787</v>
      </c>
      <c r="F276">
        <v>35300</v>
      </c>
      <c r="G276" t="s">
        <v>98</v>
      </c>
      <c r="H276" t="s">
        <v>37</v>
      </c>
      <c r="I276" t="s">
        <v>1171</v>
      </c>
      <c r="J276" t="s">
        <v>1171</v>
      </c>
      <c r="K276" t="s">
        <v>1184</v>
      </c>
      <c r="L276" t="s">
        <v>1171</v>
      </c>
      <c r="M276" t="s">
        <v>1618</v>
      </c>
      <c r="N276">
        <v>13566</v>
      </c>
      <c r="O276">
        <v>1107</v>
      </c>
      <c r="P276">
        <v>2795</v>
      </c>
      <c r="Q276">
        <v>9249</v>
      </c>
      <c r="R276">
        <v>0</v>
      </c>
      <c r="S276">
        <v>0</v>
      </c>
      <c r="T276">
        <v>0</v>
      </c>
      <c r="U276">
        <v>0</v>
      </c>
      <c r="V276">
        <v>7400</v>
      </c>
      <c r="W276">
        <v>0</v>
      </c>
      <c r="X276" t="s">
        <v>98</v>
      </c>
      <c r="Y276" t="s">
        <v>47</v>
      </c>
      <c r="Z276" t="s">
        <v>1175</v>
      </c>
      <c r="AA276">
        <v>6</v>
      </c>
      <c r="AB276" t="s">
        <v>1171</v>
      </c>
    </row>
    <row r="277" spans="1:28">
      <c r="A277" t="s">
        <v>1181</v>
      </c>
      <c r="B277" t="s">
        <v>1182</v>
      </c>
      <c r="C277" t="s">
        <v>33</v>
      </c>
      <c r="D277" t="s">
        <v>1619</v>
      </c>
      <c r="E277" t="s">
        <v>93</v>
      </c>
      <c r="F277">
        <v>35300</v>
      </c>
      <c r="G277" t="s">
        <v>32</v>
      </c>
      <c r="H277" t="s">
        <v>37</v>
      </c>
      <c r="I277" t="s">
        <v>1171</v>
      </c>
      <c r="J277" t="s">
        <v>1171</v>
      </c>
      <c r="K277" t="s">
        <v>1172</v>
      </c>
      <c r="L277" t="s">
        <v>1171</v>
      </c>
      <c r="M277" t="s">
        <v>1620</v>
      </c>
      <c r="N277">
        <v>13566</v>
      </c>
      <c r="O277">
        <v>1107</v>
      </c>
      <c r="P277">
        <v>2795</v>
      </c>
      <c r="Q277">
        <v>0</v>
      </c>
      <c r="R277">
        <v>0</v>
      </c>
      <c r="S277">
        <v>9249</v>
      </c>
      <c r="T277">
        <v>0</v>
      </c>
      <c r="U277">
        <v>0</v>
      </c>
      <c r="V277">
        <v>7400</v>
      </c>
      <c r="W277">
        <v>0</v>
      </c>
      <c r="X277" t="s">
        <v>37</v>
      </c>
      <c r="Y277" t="s">
        <v>98</v>
      </c>
      <c r="Z277" t="s">
        <v>1175</v>
      </c>
      <c r="AA277">
        <v>6</v>
      </c>
      <c r="AB277" t="s">
        <v>1171</v>
      </c>
    </row>
    <row r="278" spans="1:28">
      <c r="A278" t="s">
        <v>1181</v>
      </c>
      <c r="B278" t="s">
        <v>1182</v>
      </c>
      <c r="C278" t="s">
        <v>33</v>
      </c>
      <c r="D278" t="s">
        <v>1621</v>
      </c>
      <c r="E278" t="s">
        <v>93</v>
      </c>
      <c r="F278">
        <v>35300</v>
      </c>
      <c r="G278" t="s">
        <v>24</v>
      </c>
      <c r="H278" t="s">
        <v>37</v>
      </c>
      <c r="I278" t="s">
        <v>1171</v>
      </c>
      <c r="J278" t="s">
        <v>1171</v>
      </c>
      <c r="K278" t="s">
        <v>1191</v>
      </c>
      <c r="L278" t="s">
        <v>1171</v>
      </c>
      <c r="M278" t="s">
        <v>1622</v>
      </c>
      <c r="N278">
        <v>13566</v>
      </c>
      <c r="O278">
        <v>1107</v>
      </c>
      <c r="P278">
        <v>2795</v>
      </c>
      <c r="Q278">
        <v>0</v>
      </c>
      <c r="R278">
        <v>0</v>
      </c>
      <c r="S278">
        <v>0</v>
      </c>
      <c r="T278">
        <v>9249</v>
      </c>
      <c r="U278">
        <v>0</v>
      </c>
      <c r="V278">
        <v>7400</v>
      </c>
      <c r="W278">
        <v>0</v>
      </c>
      <c r="X278" t="s">
        <v>47</v>
      </c>
      <c r="Y278" t="s">
        <v>91</v>
      </c>
      <c r="Z278" t="s">
        <v>1175</v>
      </c>
      <c r="AA278">
        <v>6</v>
      </c>
      <c r="AB278" t="s">
        <v>1171</v>
      </c>
    </row>
    <row r="279" spans="1:28">
      <c r="A279" t="s">
        <v>1181</v>
      </c>
      <c r="B279" t="s">
        <v>1182</v>
      </c>
      <c r="C279" t="s">
        <v>54</v>
      </c>
      <c r="D279" t="s">
        <v>1623</v>
      </c>
      <c r="E279" t="s">
        <v>93</v>
      </c>
      <c r="F279">
        <v>42100</v>
      </c>
      <c r="G279" t="s">
        <v>98</v>
      </c>
      <c r="H279" t="s">
        <v>37</v>
      </c>
      <c r="I279" t="s">
        <v>1171</v>
      </c>
      <c r="J279" t="s">
        <v>1171</v>
      </c>
      <c r="K279" t="s">
        <v>1184</v>
      </c>
      <c r="L279" t="s">
        <v>1171</v>
      </c>
      <c r="M279" t="s">
        <v>1624</v>
      </c>
      <c r="N279">
        <v>11556</v>
      </c>
      <c r="O279">
        <v>943</v>
      </c>
      <c r="P279">
        <v>2381</v>
      </c>
      <c r="Q279">
        <v>7879</v>
      </c>
      <c r="R279">
        <v>0</v>
      </c>
      <c r="S279">
        <v>0</v>
      </c>
      <c r="T279">
        <v>0</v>
      </c>
      <c r="U279">
        <v>0</v>
      </c>
      <c r="V279">
        <v>6303</v>
      </c>
      <c r="W279">
        <v>0</v>
      </c>
      <c r="X279" t="s">
        <v>37</v>
      </c>
      <c r="Y279" t="s">
        <v>1175</v>
      </c>
      <c r="Z279" t="s">
        <v>1175</v>
      </c>
      <c r="AA279">
        <v>6</v>
      </c>
      <c r="AB279" t="s">
        <v>1171</v>
      </c>
    </row>
    <row r="280" spans="1:28">
      <c r="A280" t="s">
        <v>1168</v>
      </c>
      <c r="B280" t="s">
        <v>1169</v>
      </c>
      <c r="C280" t="s">
        <v>54</v>
      </c>
      <c r="D280" t="s">
        <v>929</v>
      </c>
      <c r="E280" t="s">
        <v>710</v>
      </c>
      <c r="F280">
        <v>41400</v>
      </c>
      <c r="G280" t="s">
        <v>98</v>
      </c>
      <c r="H280" t="s">
        <v>37</v>
      </c>
      <c r="I280" t="s">
        <v>1171</v>
      </c>
      <c r="J280" t="s">
        <v>1171</v>
      </c>
      <c r="K280" t="s">
        <v>1184</v>
      </c>
      <c r="L280" t="s">
        <v>1173</v>
      </c>
      <c r="M280" t="s">
        <v>1625</v>
      </c>
      <c r="N280">
        <v>11364</v>
      </c>
      <c r="O280">
        <v>0</v>
      </c>
      <c r="P280">
        <v>1561</v>
      </c>
      <c r="Q280">
        <v>20145</v>
      </c>
      <c r="R280">
        <v>0</v>
      </c>
      <c r="S280">
        <v>0</v>
      </c>
      <c r="T280">
        <v>0</v>
      </c>
      <c r="U280">
        <v>0</v>
      </c>
      <c r="V280">
        <v>6199</v>
      </c>
      <c r="W280">
        <v>0</v>
      </c>
      <c r="X280" t="s">
        <v>47</v>
      </c>
      <c r="Y280" t="s">
        <v>1175</v>
      </c>
      <c r="Z280" t="s">
        <v>1175</v>
      </c>
      <c r="AA280">
        <v>6</v>
      </c>
      <c r="AB280" t="s">
        <v>1171</v>
      </c>
    </row>
    <row r="281" spans="1:28">
      <c r="A281" t="s">
        <v>1168</v>
      </c>
      <c r="B281" t="s">
        <v>1169</v>
      </c>
      <c r="C281" t="s">
        <v>54</v>
      </c>
      <c r="D281" t="s">
        <v>929</v>
      </c>
      <c r="E281" t="s">
        <v>707</v>
      </c>
      <c r="F281">
        <v>41400</v>
      </c>
      <c r="G281" t="s">
        <v>32</v>
      </c>
      <c r="H281" t="s">
        <v>37</v>
      </c>
      <c r="I281" t="s">
        <v>1171</v>
      </c>
      <c r="J281" t="s">
        <v>1171</v>
      </c>
      <c r="K281" t="s">
        <v>1172</v>
      </c>
      <c r="L281" t="s">
        <v>1173</v>
      </c>
      <c r="M281" t="s">
        <v>1626</v>
      </c>
      <c r="N281">
        <v>11364</v>
      </c>
      <c r="O281">
        <v>0</v>
      </c>
      <c r="P281">
        <v>1561</v>
      </c>
      <c r="Q281">
        <v>0</v>
      </c>
      <c r="R281">
        <v>0</v>
      </c>
      <c r="S281">
        <v>20145</v>
      </c>
      <c r="T281">
        <v>0</v>
      </c>
      <c r="U281">
        <v>0</v>
      </c>
      <c r="V281">
        <v>6199</v>
      </c>
      <c r="W281">
        <v>0</v>
      </c>
      <c r="X281" t="s">
        <v>32</v>
      </c>
      <c r="Y281" t="s">
        <v>1175</v>
      </c>
      <c r="Z281" t="s">
        <v>1175</v>
      </c>
      <c r="AA281">
        <v>6</v>
      </c>
      <c r="AB281" t="s">
        <v>1171</v>
      </c>
    </row>
    <row r="282" spans="1:28">
      <c r="A282" t="s">
        <v>1168</v>
      </c>
      <c r="B282" t="s">
        <v>1193</v>
      </c>
      <c r="C282" t="s">
        <v>54</v>
      </c>
      <c r="D282" t="s">
        <v>929</v>
      </c>
      <c r="E282" t="s">
        <v>707</v>
      </c>
      <c r="F282">
        <v>41400</v>
      </c>
      <c r="G282" t="s">
        <v>110</v>
      </c>
      <c r="H282" t="s">
        <v>37</v>
      </c>
      <c r="I282" t="s">
        <v>1171</v>
      </c>
      <c r="J282" t="s">
        <v>1171</v>
      </c>
      <c r="K282" t="s">
        <v>1187</v>
      </c>
      <c r="L282" t="s">
        <v>1173</v>
      </c>
      <c r="M282" t="s">
        <v>1627</v>
      </c>
      <c r="N282">
        <v>11364</v>
      </c>
      <c r="O282">
        <v>0</v>
      </c>
      <c r="P282">
        <v>1561</v>
      </c>
      <c r="Q282">
        <v>0</v>
      </c>
      <c r="R282">
        <v>0</v>
      </c>
      <c r="S282">
        <v>0</v>
      </c>
      <c r="T282">
        <v>0</v>
      </c>
      <c r="U282">
        <v>20662</v>
      </c>
      <c r="V282">
        <v>6199</v>
      </c>
      <c r="W282">
        <v>0</v>
      </c>
      <c r="X282" t="s">
        <v>110</v>
      </c>
      <c r="Y282" t="s">
        <v>1175</v>
      </c>
      <c r="Z282" t="s">
        <v>1175</v>
      </c>
      <c r="AA282">
        <v>6</v>
      </c>
      <c r="AB282" t="s">
        <v>1171</v>
      </c>
    </row>
    <row r="283" spans="1:28">
      <c r="A283" t="s">
        <v>1181</v>
      </c>
      <c r="B283" t="s">
        <v>1182</v>
      </c>
      <c r="C283" t="s">
        <v>54</v>
      </c>
      <c r="D283" t="s">
        <v>1628</v>
      </c>
      <c r="E283" t="s">
        <v>645</v>
      </c>
      <c r="F283">
        <v>41400</v>
      </c>
      <c r="G283" t="s">
        <v>32</v>
      </c>
      <c r="H283" t="s">
        <v>37</v>
      </c>
      <c r="I283" t="s">
        <v>1171</v>
      </c>
      <c r="J283" t="s">
        <v>1171</v>
      </c>
      <c r="K283" t="s">
        <v>1172</v>
      </c>
      <c r="L283" t="s">
        <v>1173</v>
      </c>
      <c r="M283" t="s">
        <v>1629</v>
      </c>
      <c r="N283">
        <v>11364</v>
      </c>
      <c r="O283">
        <v>927</v>
      </c>
      <c r="P283">
        <v>2342</v>
      </c>
      <c r="Q283">
        <v>0</v>
      </c>
      <c r="R283">
        <v>0</v>
      </c>
      <c r="S283">
        <v>7748</v>
      </c>
      <c r="T283">
        <v>0</v>
      </c>
      <c r="U283">
        <v>0</v>
      </c>
      <c r="V283">
        <v>6199</v>
      </c>
      <c r="W283">
        <v>0</v>
      </c>
      <c r="X283" t="s">
        <v>32</v>
      </c>
      <c r="Y283" t="s">
        <v>1175</v>
      </c>
      <c r="Z283" t="s">
        <v>1175</v>
      </c>
      <c r="AA283">
        <v>6</v>
      </c>
      <c r="AB283" t="s">
        <v>1171</v>
      </c>
    </row>
    <row r="284" spans="1:28">
      <c r="A284" t="s">
        <v>1181</v>
      </c>
      <c r="B284" t="s">
        <v>1182</v>
      </c>
      <c r="C284" t="s">
        <v>54</v>
      </c>
      <c r="D284" t="s">
        <v>1630</v>
      </c>
      <c r="E284" t="s">
        <v>93</v>
      </c>
      <c r="F284">
        <v>41400</v>
      </c>
      <c r="G284" t="s">
        <v>110</v>
      </c>
      <c r="H284" t="s">
        <v>37</v>
      </c>
      <c r="I284" t="s">
        <v>1171</v>
      </c>
      <c r="J284" t="s">
        <v>1171</v>
      </c>
      <c r="K284" t="s">
        <v>1187</v>
      </c>
      <c r="L284" t="s">
        <v>1171</v>
      </c>
      <c r="M284" t="s">
        <v>1631</v>
      </c>
      <c r="N284">
        <v>11364</v>
      </c>
      <c r="O284">
        <v>927</v>
      </c>
      <c r="P284">
        <v>2342</v>
      </c>
      <c r="Q284">
        <v>0</v>
      </c>
      <c r="R284">
        <v>0</v>
      </c>
      <c r="S284">
        <v>0</v>
      </c>
      <c r="T284">
        <v>0</v>
      </c>
      <c r="U284">
        <v>7748</v>
      </c>
      <c r="V284">
        <v>6199</v>
      </c>
      <c r="W284">
        <v>0</v>
      </c>
      <c r="X284" t="s">
        <v>42</v>
      </c>
      <c r="Y284" t="s">
        <v>1175</v>
      </c>
      <c r="Z284" t="s">
        <v>1175</v>
      </c>
      <c r="AA284">
        <v>6</v>
      </c>
      <c r="AB284" t="s">
        <v>1171</v>
      </c>
    </row>
    <row r="285" spans="1:28">
      <c r="A285" t="s">
        <v>1181</v>
      </c>
      <c r="B285" t="s">
        <v>1182</v>
      </c>
      <c r="C285" t="s">
        <v>54</v>
      </c>
      <c r="D285" t="s">
        <v>1632</v>
      </c>
      <c r="E285" t="s">
        <v>93</v>
      </c>
      <c r="F285">
        <v>41400</v>
      </c>
      <c r="G285" t="s">
        <v>24</v>
      </c>
      <c r="H285" t="s">
        <v>37</v>
      </c>
      <c r="I285" t="s">
        <v>1171</v>
      </c>
      <c r="J285" t="s">
        <v>1171</v>
      </c>
      <c r="K285" t="s">
        <v>1191</v>
      </c>
      <c r="L285" t="s">
        <v>1171</v>
      </c>
      <c r="M285" t="s">
        <v>1633</v>
      </c>
      <c r="N285">
        <v>11364</v>
      </c>
      <c r="O285">
        <v>927</v>
      </c>
      <c r="P285">
        <v>2342</v>
      </c>
      <c r="Q285">
        <v>0</v>
      </c>
      <c r="R285">
        <v>0</v>
      </c>
      <c r="S285">
        <v>0</v>
      </c>
      <c r="T285">
        <v>7748</v>
      </c>
      <c r="U285">
        <v>0</v>
      </c>
      <c r="V285">
        <v>6199</v>
      </c>
      <c r="W285">
        <v>0</v>
      </c>
      <c r="X285" t="s">
        <v>91</v>
      </c>
      <c r="Y285" t="s">
        <v>1175</v>
      </c>
      <c r="Z285" t="s">
        <v>1175</v>
      </c>
      <c r="AA285">
        <v>6</v>
      </c>
      <c r="AB285" t="s">
        <v>1171</v>
      </c>
    </row>
    <row r="286" spans="1:28">
      <c r="A286" t="s">
        <v>1181</v>
      </c>
      <c r="B286" t="s">
        <v>1634</v>
      </c>
      <c r="C286" t="s">
        <v>54</v>
      </c>
      <c r="D286" t="s">
        <v>1635</v>
      </c>
      <c r="E286" t="s">
        <v>93</v>
      </c>
      <c r="F286">
        <v>38500</v>
      </c>
      <c r="G286" t="s">
        <v>98</v>
      </c>
      <c r="H286" t="s">
        <v>37</v>
      </c>
      <c r="I286" t="s">
        <v>1171</v>
      </c>
      <c r="J286" t="s">
        <v>1171</v>
      </c>
      <c r="K286" t="s">
        <v>1184</v>
      </c>
      <c r="L286" t="s">
        <v>1171</v>
      </c>
      <c r="M286" t="s">
        <v>1636</v>
      </c>
      <c r="N286">
        <v>11743</v>
      </c>
      <c r="O286">
        <v>958</v>
      </c>
      <c r="P286">
        <v>2419</v>
      </c>
      <c r="Q286">
        <v>8006</v>
      </c>
      <c r="R286">
        <v>0</v>
      </c>
      <c r="S286">
        <v>0</v>
      </c>
      <c r="T286">
        <v>0</v>
      </c>
      <c r="U286">
        <v>0</v>
      </c>
      <c r="V286">
        <v>6405</v>
      </c>
      <c r="W286">
        <v>0</v>
      </c>
      <c r="X286" t="s">
        <v>37</v>
      </c>
      <c r="Y286" t="s">
        <v>1175</v>
      </c>
      <c r="Z286" t="s">
        <v>1175</v>
      </c>
      <c r="AA286">
        <v>8</v>
      </c>
      <c r="AB286" t="s">
        <v>1171</v>
      </c>
    </row>
    <row r="287" spans="1:28">
      <c r="A287" t="s">
        <v>1168</v>
      </c>
      <c r="B287" t="s">
        <v>1176</v>
      </c>
      <c r="C287" t="s">
        <v>54</v>
      </c>
      <c r="D287" t="s">
        <v>929</v>
      </c>
      <c r="E287" t="s">
        <v>711</v>
      </c>
      <c r="F287">
        <v>38100</v>
      </c>
      <c r="G287" t="s">
        <v>98</v>
      </c>
      <c r="H287" t="s">
        <v>42</v>
      </c>
      <c r="I287" t="s">
        <v>110</v>
      </c>
      <c r="J287" t="s">
        <v>1171</v>
      </c>
      <c r="K287" t="s">
        <v>1179</v>
      </c>
      <c r="L287" t="s">
        <v>1173</v>
      </c>
      <c r="M287" t="s">
        <v>1637</v>
      </c>
      <c r="N287">
        <v>10458</v>
      </c>
      <c r="O287">
        <v>0</v>
      </c>
      <c r="P287">
        <v>4166</v>
      </c>
      <c r="Q287">
        <v>8557</v>
      </c>
      <c r="R287">
        <v>3566</v>
      </c>
      <c r="S287">
        <v>0</v>
      </c>
      <c r="T287">
        <v>0</v>
      </c>
      <c r="U287">
        <v>3566</v>
      </c>
      <c r="V287">
        <v>0</v>
      </c>
      <c r="W287">
        <v>0</v>
      </c>
      <c r="X287" t="s">
        <v>32</v>
      </c>
      <c r="Y287" t="s">
        <v>1175</v>
      </c>
      <c r="Z287" t="s">
        <v>1175</v>
      </c>
      <c r="AA287">
        <v>6</v>
      </c>
      <c r="AB287" t="s">
        <v>1171</v>
      </c>
    </row>
    <row r="288" spans="1:28">
      <c r="A288" t="s">
        <v>1168</v>
      </c>
      <c r="B288" t="s">
        <v>1176</v>
      </c>
      <c r="C288" t="s">
        <v>54</v>
      </c>
      <c r="D288" t="s">
        <v>929</v>
      </c>
      <c r="E288" t="s">
        <v>711</v>
      </c>
      <c r="F288">
        <v>38100</v>
      </c>
      <c r="G288" t="s">
        <v>98</v>
      </c>
      <c r="H288" t="s">
        <v>42</v>
      </c>
      <c r="I288" t="s">
        <v>37</v>
      </c>
      <c r="J288" t="s">
        <v>1171</v>
      </c>
      <c r="K288" t="s">
        <v>1177</v>
      </c>
      <c r="L288" t="s">
        <v>1173</v>
      </c>
      <c r="M288" t="s">
        <v>1638</v>
      </c>
      <c r="N288">
        <v>10458</v>
      </c>
      <c r="O288">
        <v>0</v>
      </c>
      <c r="P288">
        <v>4166</v>
      </c>
      <c r="Q288">
        <v>8557</v>
      </c>
      <c r="R288">
        <v>3566</v>
      </c>
      <c r="S288">
        <v>0</v>
      </c>
      <c r="T288">
        <v>0</v>
      </c>
      <c r="U288">
        <v>0</v>
      </c>
      <c r="V288">
        <v>3566</v>
      </c>
      <c r="W288">
        <v>0</v>
      </c>
      <c r="X288" t="s">
        <v>32</v>
      </c>
      <c r="Y288" t="s">
        <v>1175</v>
      </c>
      <c r="Z288" t="s">
        <v>1175</v>
      </c>
      <c r="AA288">
        <v>6</v>
      </c>
      <c r="AB288" t="s">
        <v>1171</v>
      </c>
    </row>
    <row r="289" spans="1:28">
      <c r="A289" t="s">
        <v>1168</v>
      </c>
      <c r="B289" t="s">
        <v>1205</v>
      </c>
      <c r="C289" t="s">
        <v>54</v>
      </c>
      <c r="D289" t="s">
        <v>929</v>
      </c>
      <c r="E289" t="s">
        <v>708</v>
      </c>
      <c r="F289">
        <v>38100</v>
      </c>
      <c r="G289" t="s">
        <v>98</v>
      </c>
      <c r="H289" t="s">
        <v>110</v>
      </c>
      <c r="I289" t="s">
        <v>32</v>
      </c>
      <c r="J289" t="s">
        <v>37</v>
      </c>
      <c r="K289" t="s">
        <v>1331</v>
      </c>
      <c r="L289" t="s">
        <v>1173</v>
      </c>
      <c r="M289" t="s">
        <v>1639</v>
      </c>
      <c r="N289">
        <v>10458</v>
      </c>
      <c r="O289">
        <v>0</v>
      </c>
      <c r="P289">
        <v>3376</v>
      </c>
      <c r="Q289">
        <v>4753</v>
      </c>
      <c r="R289">
        <v>0</v>
      </c>
      <c r="S289">
        <v>4753</v>
      </c>
      <c r="T289">
        <v>0</v>
      </c>
      <c r="U289">
        <v>4753</v>
      </c>
      <c r="V289">
        <v>4753</v>
      </c>
      <c r="W289">
        <v>0</v>
      </c>
      <c r="X289" t="s">
        <v>98</v>
      </c>
      <c r="Y289" t="s">
        <v>1175</v>
      </c>
      <c r="Z289" t="s">
        <v>1175</v>
      </c>
      <c r="AA289">
        <v>6</v>
      </c>
      <c r="AB289" t="s">
        <v>1171</v>
      </c>
    </row>
    <row r="290" spans="1:28">
      <c r="A290" t="s">
        <v>1181</v>
      </c>
      <c r="B290" t="s">
        <v>1634</v>
      </c>
      <c r="C290" t="s">
        <v>54</v>
      </c>
      <c r="D290" t="s">
        <v>1640</v>
      </c>
      <c r="E290" t="s">
        <v>93</v>
      </c>
      <c r="F290">
        <v>37900</v>
      </c>
      <c r="G290" t="s">
        <v>24</v>
      </c>
      <c r="H290" t="s">
        <v>37</v>
      </c>
      <c r="I290" t="s">
        <v>1171</v>
      </c>
      <c r="J290" t="s">
        <v>1171</v>
      </c>
      <c r="K290" t="s">
        <v>1191</v>
      </c>
      <c r="L290" t="s">
        <v>1171</v>
      </c>
      <c r="M290" t="s">
        <v>1641</v>
      </c>
      <c r="N290">
        <v>11560</v>
      </c>
      <c r="O290">
        <v>943</v>
      </c>
      <c r="P290">
        <v>2381</v>
      </c>
      <c r="Q290">
        <v>0</v>
      </c>
      <c r="R290">
        <v>0</v>
      </c>
      <c r="S290">
        <v>0</v>
      </c>
      <c r="T290">
        <v>7882</v>
      </c>
      <c r="U290">
        <v>0</v>
      </c>
      <c r="V290">
        <v>6305</v>
      </c>
      <c r="W290">
        <v>0</v>
      </c>
      <c r="X290" t="s">
        <v>91</v>
      </c>
      <c r="Y290" t="s">
        <v>1175</v>
      </c>
      <c r="Z290" t="s">
        <v>1175</v>
      </c>
      <c r="AA290">
        <v>8</v>
      </c>
      <c r="AB290" t="s">
        <v>1171</v>
      </c>
    </row>
    <row r="291" spans="1:28">
      <c r="A291" t="s">
        <v>1181</v>
      </c>
      <c r="B291" t="s">
        <v>1634</v>
      </c>
      <c r="C291" t="s">
        <v>54</v>
      </c>
      <c r="D291" t="s">
        <v>1642</v>
      </c>
      <c r="E291" t="s">
        <v>93</v>
      </c>
      <c r="F291">
        <v>37900</v>
      </c>
      <c r="G291" t="s">
        <v>110</v>
      </c>
      <c r="H291" t="s">
        <v>37</v>
      </c>
      <c r="I291" t="s">
        <v>1171</v>
      </c>
      <c r="J291" t="s">
        <v>1171</v>
      </c>
      <c r="K291" t="s">
        <v>1187</v>
      </c>
      <c r="L291" t="s">
        <v>1171</v>
      </c>
      <c r="M291" t="s">
        <v>1643</v>
      </c>
      <c r="N291">
        <v>11560</v>
      </c>
      <c r="O291">
        <v>943</v>
      </c>
      <c r="P291">
        <v>2381</v>
      </c>
      <c r="Q291">
        <v>0</v>
      </c>
      <c r="R291">
        <v>0</v>
      </c>
      <c r="S291">
        <v>0</v>
      </c>
      <c r="T291">
        <v>0</v>
      </c>
      <c r="U291">
        <v>7882</v>
      </c>
      <c r="V291">
        <v>6305</v>
      </c>
      <c r="W291">
        <v>0</v>
      </c>
      <c r="X291" t="s">
        <v>42</v>
      </c>
      <c r="Y291" t="s">
        <v>1175</v>
      </c>
      <c r="Z291" t="s">
        <v>1175</v>
      </c>
      <c r="AA291">
        <v>8</v>
      </c>
      <c r="AB291" t="s">
        <v>1171</v>
      </c>
    </row>
    <row r="292" spans="1:28">
      <c r="A292" t="s">
        <v>1181</v>
      </c>
      <c r="B292" t="s">
        <v>1634</v>
      </c>
      <c r="C292" t="s">
        <v>54</v>
      </c>
      <c r="D292" t="s">
        <v>1644</v>
      </c>
      <c r="E292" t="s">
        <v>645</v>
      </c>
      <c r="F292">
        <v>37900</v>
      </c>
      <c r="G292" t="s">
        <v>32</v>
      </c>
      <c r="H292" t="s">
        <v>37</v>
      </c>
      <c r="I292" t="s">
        <v>1171</v>
      </c>
      <c r="J292" t="s">
        <v>1171</v>
      </c>
      <c r="K292" t="s">
        <v>1172</v>
      </c>
      <c r="L292" t="s">
        <v>1173</v>
      </c>
      <c r="M292" t="s">
        <v>55</v>
      </c>
      <c r="N292">
        <v>11560</v>
      </c>
      <c r="O292">
        <v>943</v>
      </c>
      <c r="P292">
        <v>2381</v>
      </c>
      <c r="Q292">
        <v>0</v>
      </c>
      <c r="R292">
        <v>0</v>
      </c>
      <c r="S292">
        <v>7882</v>
      </c>
      <c r="T292">
        <v>0</v>
      </c>
      <c r="U292">
        <v>0</v>
      </c>
      <c r="V292">
        <v>6305</v>
      </c>
      <c r="W292">
        <v>0</v>
      </c>
      <c r="X292" t="s">
        <v>32</v>
      </c>
      <c r="Y292" t="s">
        <v>1175</v>
      </c>
      <c r="Z292" t="s">
        <v>1175</v>
      </c>
      <c r="AA292">
        <v>8</v>
      </c>
      <c r="AB292" t="s">
        <v>1171</v>
      </c>
    </row>
    <row r="293" spans="1:28">
      <c r="A293" t="s">
        <v>1168</v>
      </c>
      <c r="B293" t="s">
        <v>1645</v>
      </c>
      <c r="C293" t="s">
        <v>54</v>
      </c>
      <c r="D293" t="s">
        <v>1646</v>
      </c>
      <c r="E293" t="s">
        <v>710</v>
      </c>
      <c r="F293">
        <v>37900</v>
      </c>
      <c r="G293" t="s">
        <v>98</v>
      </c>
      <c r="H293" t="s">
        <v>37</v>
      </c>
      <c r="I293" t="s">
        <v>1171</v>
      </c>
      <c r="J293" t="s">
        <v>1171</v>
      </c>
      <c r="K293" t="s">
        <v>1184</v>
      </c>
      <c r="L293" t="s">
        <v>1173</v>
      </c>
      <c r="M293" t="s">
        <v>1647</v>
      </c>
      <c r="N293">
        <v>11559</v>
      </c>
      <c r="O293">
        <v>0</v>
      </c>
      <c r="P293">
        <v>1588</v>
      </c>
      <c r="Q293">
        <v>20492</v>
      </c>
      <c r="R293">
        <v>0</v>
      </c>
      <c r="S293">
        <v>0</v>
      </c>
      <c r="T293">
        <v>0</v>
      </c>
      <c r="U293">
        <v>0</v>
      </c>
      <c r="V293">
        <v>6305</v>
      </c>
      <c r="W293">
        <v>0</v>
      </c>
      <c r="X293" t="s">
        <v>47</v>
      </c>
      <c r="Y293" t="s">
        <v>1175</v>
      </c>
      <c r="Z293" t="s">
        <v>1175</v>
      </c>
      <c r="AA293">
        <v>9</v>
      </c>
      <c r="AB293" t="s">
        <v>1171</v>
      </c>
    </row>
    <row r="294" spans="1:28">
      <c r="A294" t="s">
        <v>1168</v>
      </c>
      <c r="B294" t="s">
        <v>1648</v>
      </c>
      <c r="C294" t="s">
        <v>54</v>
      </c>
      <c r="D294" t="s">
        <v>1646</v>
      </c>
      <c r="E294" t="s">
        <v>707</v>
      </c>
      <c r="F294">
        <v>37900</v>
      </c>
      <c r="G294" t="s">
        <v>32</v>
      </c>
      <c r="H294" t="s">
        <v>37</v>
      </c>
      <c r="I294" t="s">
        <v>1171</v>
      </c>
      <c r="J294" t="s">
        <v>1171</v>
      </c>
      <c r="K294" t="s">
        <v>1172</v>
      </c>
      <c r="L294" t="s">
        <v>1173</v>
      </c>
      <c r="M294" t="s">
        <v>1649</v>
      </c>
      <c r="N294">
        <v>11559</v>
      </c>
      <c r="O294">
        <v>0</v>
      </c>
      <c r="P294">
        <v>1588</v>
      </c>
      <c r="Q294">
        <v>0</v>
      </c>
      <c r="R294">
        <v>0</v>
      </c>
      <c r="S294">
        <v>20492</v>
      </c>
      <c r="T294">
        <v>0</v>
      </c>
      <c r="U294">
        <v>0</v>
      </c>
      <c r="V294">
        <v>6305</v>
      </c>
      <c r="W294">
        <v>0</v>
      </c>
      <c r="X294" t="s">
        <v>32</v>
      </c>
      <c r="Y294" t="s">
        <v>1175</v>
      </c>
      <c r="Z294" t="s">
        <v>1175</v>
      </c>
      <c r="AA294">
        <v>8</v>
      </c>
      <c r="AB294" t="s">
        <v>1171</v>
      </c>
    </row>
    <row r="295" spans="1:28">
      <c r="A295" t="s">
        <v>1168</v>
      </c>
      <c r="B295" t="s">
        <v>1648</v>
      </c>
      <c r="C295" t="s">
        <v>54</v>
      </c>
      <c r="D295" t="s">
        <v>1646</v>
      </c>
      <c r="E295" t="s">
        <v>707</v>
      </c>
      <c r="F295">
        <v>37900</v>
      </c>
      <c r="G295" t="s">
        <v>110</v>
      </c>
      <c r="H295" t="s">
        <v>37</v>
      </c>
      <c r="I295" t="s">
        <v>1171</v>
      </c>
      <c r="J295" t="s">
        <v>1171</v>
      </c>
      <c r="K295" t="s">
        <v>1187</v>
      </c>
      <c r="L295" t="s">
        <v>1173</v>
      </c>
      <c r="M295" t="s">
        <v>1650</v>
      </c>
      <c r="N295">
        <v>11559</v>
      </c>
      <c r="O295">
        <v>0</v>
      </c>
      <c r="P295">
        <v>1588</v>
      </c>
      <c r="Q295">
        <v>0</v>
      </c>
      <c r="R295">
        <v>0</v>
      </c>
      <c r="S295">
        <v>0</v>
      </c>
      <c r="T295">
        <v>0</v>
      </c>
      <c r="U295">
        <v>21017</v>
      </c>
      <c r="V295">
        <v>6305</v>
      </c>
      <c r="W295">
        <v>0</v>
      </c>
      <c r="X295" t="s">
        <v>110</v>
      </c>
      <c r="Y295" t="s">
        <v>1175</v>
      </c>
      <c r="Z295" t="s">
        <v>1175</v>
      </c>
      <c r="AA295">
        <v>8</v>
      </c>
      <c r="AB295" t="s">
        <v>1171</v>
      </c>
    </row>
    <row r="296" spans="1:28">
      <c r="A296" t="s">
        <v>1181</v>
      </c>
      <c r="B296" t="s">
        <v>1182</v>
      </c>
      <c r="C296" t="s">
        <v>54</v>
      </c>
      <c r="D296" t="s">
        <v>1623</v>
      </c>
      <c r="E296" t="s">
        <v>93</v>
      </c>
      <c r="F296">
        <v>35900</v>
      </c>
      <c r="G296" t="s">
        <v>98</v>
      </c>
      <c r="H296" t="s">
        <v>37</v>
      </c>
      <c r="I296" t="s">
        <v>1171</v>
      </c>
      <c r="J296" t="s">
        <v>1171</v>
      </c>
      <c r="K296" t="s">
        <v>1184</v>
      </c>
      <c r="L296" t="s">
        <v>1171</v>
      </c>
      <c r="M296" t="s">
        <v>1651</v>
      </c>
      <c r="N296">
        <v>9854</v>
      </c>
      <c r="O296">
        <v>804</v>
      </c>
      <c r="P296">
        <v>2031</v>
      </c>
      <c r="Q296">
        <v>6719</v>
      </c>
      <c r="R296">
        <v>0</v>
      </c>
      <c r="S296">
        <v>0</v>
      </c>
      <c r="T296">
        <v>0</v>
      </c>
      <c r="U296">
        <v>0</v>
      </c>
      <c r="V296">
        <v>5375</v>
      </c>
      <c r="W296">
        <v>0</v>
      </c>
      <c r="X296" t="s">
        <v>37</v>
      </c>
      <c r="Y296" t="s">
        <v>1175</v>
      </c>
      <c r="Z296" t="s">
        <v>1175</v>
      </c>
      <c r="AA296">
        <v>6</v>
      </c>
      <c r="AB296" t="s">
        <v>1171</v>
      </c>
    </row>
    <row r="297" spans="1:28">
      <c r="A297" t="s">
        <v>1181</v>
      </c>
      <c r="B297" t="s">
        <v>1182</v>
      </c>
      <c r="C297" t="s">
        <v>54</v>
      </c>
      <c r="D297" t="s">
        <v>1652</v>
      </c>
      <c r="E297" t="s">
        <v>93</v>
      </c>
      <c r="F297">
        <v>35300</v>
      </c>
      <c r="G297" t="s">
        <v>110</v>
      </c>
      <c r="H297" t="s">
        <v>37</v>
      </c>
      <c r="I297" t="s">
        <v>1171</v>
      </c>
      <c r="J297" t="s">
        <v>1171</v>
      </c>
      <c r="K297" t="s">
        <v>1187</v>
      </c>
      <c r="L297" t="s">
        <v>1171</v>
      </c>
      <c r="M297" t="s">
        <v>1653</v>
      </c>
      <c r="N297">
        <v>9690</v>
      </c>
      <c r="O297">
        <v>790</v>
      </c>
      <c r="P297">
        <v>1997</v>
      </c>
      <c r="Q297">
        <v>0</v>
      </c>
      <c r="R297">
        <v>0</v>
      </c>
      <c r="S297">
        <v>0</v>
      </c>
      <c r="T297">
        <v>0</v>
      </c>
      <c r="U297">
        <v>6607</v>
      </c>
      <c r="V297">
        <v>5285</v>
      </c>
      <c r="W297">
        <v>0</v>
      </c>
      <c r="X297" t="s">
        <v>42</v>
      </c>
      <c r="Y297" t="s">
        <v>1175</v>
      </c>
      <c r="Z297" t="s">
        <v>1175</v>
      </c>
      <c r="AA297">
        <v>6</v>
      </c>
      <c r="AB297" t="s">
        <v>1171</v>
      </c>
    </row>
    <row r="298" spans="1:28">
      <c r="A298" t="s">
        <v>1181</v>
      </c>
      <c r="B298" t="s">
        <v>1182</v>
      </c>
      <c r="C298" t="s">
        <v>54</v>
      </c>
      <c r="D298" t="s">
        <v>1654</v>
      </c>
      <c r="E298" t="s">
        <v>93</v>
      </c>
      <c r="F298">
        <v>35300</v>
      </c>
      <c r="G298" t="s">
        <v>24</v>
      </c>
      <c r="H298" t="s">
        <v>37</v>
      </c>
      <c r="I298" t="s">
        <v>1171</v>
      </c>
      <c r="J298" t="s">
        <v>1171</v>
      </c>
      <c r="K298" t="s">
        <v>1191</v>
      </c>
      <c r="L298" t="s">
        <v>1171</v>
      </c>
      <c r="M298" t="s">
        <v>1655</v>
      </c>
      <c r="N298">
        <v>9690</v>
      </c>
      <c r="O298">
        <v>790</v>
      </c>
      <c r="P298">
        <v>1997</v>
      </c>
      <c r="Q298">
        <v>0</v>
      </c>
      <c r="R298">
        <v>0</v>
      </c>
      <c r="S298">
        <v>0</v>
      </c>
      <c r="T298">
        <v>6607</v>
      </c>
      <c r="U298">
        <v>0</v>
      </c>
      <c r="V298">
        <v>5285</v>
      </c>
      <c r="W298">
        <v>0</v>
      </c>
      <c r="X298" t="s">
        <v>91</v>
      </c>
      <c r="Y298" t="s">
        <v>1175</v>
      </c>
      <c r="Z298" t="s">
        <v>1175</v>
      </c>
      <c r="AA298">
        <v>6</v>
      </c>
      <c r="AB298" t="s">
        <v>1171</v>
      </c>
    </row>
    <row r="299" spans="1:28">
      <c r="A299" t="s">
        <v>1181</v>
      </c>
      <c r="B299" t="s">
        <v>1182</v>
      </c>
      <c r="C299" t="s">
        <v>54</v>
      </c>
      <c r="D299" t="s">
        <v>1656</v>
      </c>
      <c r="E299" t="s">
        <v>644</v>
      </c>
      <c r="F299">
        <v>35300</v>
      </c>
      <c r="G299" t="s">
        <v>32</v>
      </c>
      <c r="H299" t="s">
        <v>37</v>
      </c>
      <c r="I299" t="s">
        <v>1171</v>
      </c>
      <c r="J299" t="s">
        <v>1171</v>
      </c>
      <c r="K299" t="s">
        <v>1172</v>
      </c>
      <c r="L299" t="s">
        <v>1173</v>
      </c>
      <c r="M299" t="s">
        <v>1657</v>
      </c>
      <c r="N299">
        <v>9690</v>
      </c>
      <c r="O299">
        <v>790</v>
      </c>
      <c r="P299">
        <v>1997</v>
      </c>
      <c r="Q299">
        <v>0</v>
      </c>
      <c r="R299">
        <v>0</v>
      </c>
      <c r="S299">
        <v>6607</v>
      </c>
      <c r="T299">
        <v>0</v>
      </c>
      <c r="U299">
        <v>0</v>
      </c>
      <c r="V299">
        <v>5285</v>
      </c>
      <c r="W299">
        <v>0</v>
      </c>
      <c r="X299" t="s">
        <v>32</v>
      </c>
      <c r="Y299" t="s">
        <v>1175</v>
      </c>
      <c r="Z299" t="s">
        <v>1175</v>
      </c>
      <c r="AA299">
        <v>6</v>
      </c>
      <c r="AB299" t="s">
        <v>1171</v>
      </c>
    </row>
    <row r="300" spans="1:28">
      <c r="A300" t="s">
        <v>1168</v>
      </c>
      <c r="B300" t="s">
        <v>1205</v>
      </c>
      <c r="C300" t="s">
        <v>54</v>
      </c>
      <c r="D300" t="s">
        <v>929</v>
      </c>
      <c r="E300" t="s">
        <v>706</v>
      </c>
      <c r="F300">
        <v>35300</v>
      </c>
      <c r="G300" t="s">
        <v>98</v>
      </c>
      <c r="H300" t="s">
        <v>32</v>
      </c>
      <c r="I300" t="s">
        <v>37</v>
      </c>
      <c r="J300" t="s">
        <v>1171</v>
      </c>
      <c r="K300" t="s">
        <v>1206</v>
      </c>
      <c r="L300" t="s">
        <v>1173</v>
      </c>
      <c r="M300" t="s">
        <v>1658</v>
      </c>
      <c r="N300">
        <v>9690</v>
      </c>
      <c r="O300">
        <v>0</v>
      </c>
      <c r="P300">
        <v>3860</v>
      </c>
      <c r="Q300">
        <v>4404</v>
      </c>
      <c r="R300">
        <v>0</v>
      </c>
      <c r="S300">
        <v>4404</v>
      </c>
      <c r="T300">
        <v>0</v>
      </c>
      <c r="U300">
        <v>0</v>
      </c>
      <c r="V300">
        <v>4404</v>
      </c>
      <c r="W300">
        <v>0</v>
      </c>
      <c r="X300" t="s">
        <v>42</v>
      </c>
      <c r="Y300" t="s">
        <v>1175</v>
      </c>
      <c r="Z300" t="s">
        <v>1175</v>
      </c>
      <c r="AA300">
        <v>6</v>
      </c>
      <c r="AB300" t="s">
        <v>1171</v>
      </c>
    </row>
    <row r="301" spans="1:28">
      <c r="A301" t="s">
        <v>1168</v>
      </c>
      <c r="B301" t="s">
        <v>1176</v>
      </c>
      <c r="C301" t="s">
        <v>54</v>
      </c>
      <c r="D301" t="s">
        <v>929</v>
      </c>
      <c r="E301" t="s">
        <v>709</v>
      </c>
      <c r="F301">
        <v>35300</v>
      </c>
      <c r="G301" t="s">
        <v>98</v>
      </c>
      <c r="H301" t="s">
        <v>37</v>
      </c>
      <c r="I301" t="s">
        <v>1171</v>
      </c>
      <c r="J301" t="s">
        <v>1171</v>
      </c>
      <c r="K301" t="s">
        <v>1184</v>
      </c>
      <c r="L301" t="s">
        <v>1173</v>
      </c>
      <c r="M301" t="s">
        <v>1659</v>
      </c>
      <c r="N301">
        <v>9690</v>
      </c>
      <c r="O301">
        <v>0</v>
      </c>
      <c r="P301">
        <v>3194</v>
      </c>
      <c r="Q301">
        <v>10130</v>
      </c>
      <c r="R301">
        <v>0</v>
      </c>
      <c r="S301">
        <v>0</v>
      </c>
      <c r="T301">
        <v>0</v>
      </c>
      <c r="U301">
        <v>0</v>
      </c>
      <c r="V301">
        <v>5285</v>
      </c>
      <c r="W301">
        <v>0</v>
      </c>
      <c r="X301" t="s">
        <v>42</v>
      </c>
      <c r="Y301" t="s">
        <v>1175</v>
      </c>
      <c r="Z301" t="s">
        <v>1175</v>
      </c>
      <c r="AA301">
        <v>6</v>
      </c>
      <c r="AB301" t="s">
        <v>1171</v>
      </c>
    </row>
    <row r="302" spans="1:28">
      <c r="A302" t="s">
        <v>1168</v>
      </c>
      <c r="B302" t="s">
        <v>1205</v>
      </c>
      <c r="C302" t="s">
        <v>54</v>
      </c>
      <c r="D302" t="s">
        <v>929</v>
      </c>
      <c r="E302" t="s">
        <v>709</v>
      </c>
      <c r="F302">
        <v>35300</v>
      </c>
      <c r="G302" t="s">
        <v>98</v>
      </c>
      <c r="H302" t="s">
        <v>42</v>
      </c>
      <c r="I302" t="s">
        <v>37</v>
      </c>
      <c r="J302" t="s">
        <v>1171</v>
      </c>
      <c r="K302" t="s">
        <v>1177</v>
      </c>
      <c r="L302" t="s">
        <v>1173</v>
      </c>
      <c r="M302" t="s">
        <v>280</v>
      </c>
      <c r="N302">
        <v>9690</v>
      </c>
      <c r="O302">
        <v>0</v>
      </c>
      <c r="P302">
        <v>3860</v>
      </c>
      <c r="Q302">
        <v>6607</v>
      </c>
      <c r="R302">
        <v>3303</v>
      </c>
      <c r="S302">
        <v>0</v>
      </c>
      <c r="T302">
        <v>0</v>
      </c>
      <c r="U302">
        <v>0</v>
      </c>
      <c r="V302">
        <v>3303</v>
      </c>
      <c r="W302">
        <v>0</v>
      </c>
      <c r="X302" t="s">
        <v>32</v>
      </c>
      <c r="Y302" t="s">
        <v>1175</v>
      </c>
      <c r="Z302" t="s">
        <v>1175</v>
      </c>
      <c r="AA302">
        <v>6</v>
      </c>
      <c r="AB302" t="s">
        <v>1171</v>
      </c>
    </row>
    <row r="303" spans="1:28">
      <c r="A303" t="s">
        <v>1181</v>
      </c>
      <c r="B303" t="s">
        <v>1634</v>
      </c>
      <c r="C303" t="s">
        <v>54</v>
      </c>
      <c r="D303" t="s">
        <v>1660</v>
      </c>
      <c r="E303" t="s">
        <v>93</v>
      </c>
      <c r="F303">
        <v>32800</v>
      </c>
      <c r="G303" t="s">
        <v>98</v>
      </c>
      <c r="H303" t="s">
        <v>37</v>
      </c>
      <c r="I303" t="s">
        <v>1171</v>
      </c>
      <c r="J303" t="s">
        <v>1171</v>
      </c>
      <c r="K303" t="s">
        <v>1184</v>
      </c>
      <c r="L303" t="s">
        <v>1171</v>
      </c>
      <c r="M303" t="s">
        <v>1661</v>
      </c>
      <c r="N303">
        <v>10004</v>
      </c>
      <c r="O303">
        <v>816</v>
      </c>
      <c r="P303">
        <v>2061</v>
      </c>
      <c r="Q303">
        <v>6821</v>
      </c>
      <c r="R303">
        <v>0</v>
      </c>
      <c r="S303">
        <v>0</v>
      </c>
      <c r="T303">
        <v>0</v>
      </c>
      <c r="U303">
        <v>0</v>
      </c>
      <c r="V303">
        <v>5457</v>
      </c>
      <c r="W303">
        <v>0</v>
      </c>
      <c r="X303" t="s">
        <v>37</v>
      </c>
      <c r="Y303" t="s">
        <v>1175</v>
      </c>
      <c r="Z303" t="s">
        <v>1175</v>
      </c>
      <c r="AA303">
        <v>8</v>
      </c>
      <c r="AB303" t="s">
        <v>1171</v>
      </c>
    </row>
    <row r="304" spans="1:28">
      <c r="A304" t="s">
        <v>1181</v>
      </c>
      <c r="B304" t="s">
        <v>1634</v>
      </c>
      <c r="C304" t="s">
        <v>54</v>
      </c>
      <c r="D304" t="s">
        <v>1662</v>
      </c>
      <c r="E304" t="s">
        <v>93</v>
      </c>
      <c r="F304">
        <v>32300</v>
      </c>
      <c r="G304" t="s">
        <v>24</v>
      </c>
      <c r="H304" t="s">
        <v>37</v>
      </c>
      <c r="I304" t="s">
        <v>1171</v>
      </c>
      <c r="J304" t="s">
        <v>1171</v>
      </c>
      <c r="K304" t="s">
        <v>1191</v>
      </c>
      <c r="L304" t="s">
        <v>1171</v>
      </c>
      <c r="M304" t="s">
        <v>1663</v>
      </c>
      <c r="N304">
        <v>9852</v>
      </c>
      <c r="O304">
        <v>804</v>
      </c>
      <c r="P304">
        <v>2030</v>
      </c>
      <c r="Q304">
        <v>0</v>
      </c>
      <c r="R304">
        <v>0</v>
      </c>
      <c r="S304">
        <v>0</v>
      </c>
      <c r="T304">
        <v>6717</v>
      </c>
      <c r="U304">
        <v>0</v>
      </c>
      <c r="V304">
        <v>5374</v>
      </c>
      <c r="W304">
        <v>0</v>
      </c>
      <c r="X304" t="s">
        <v>91</v>
      </c>
      <c r="Y304" t="s">
        <v>1175</v>
      </c>
      <c r="Z304" t="s">
        <v>1175</v>
      </c>
      <c r="AA304">
        <v>8</v>
      </c>
      <c r="AB304" t="s">
        <v>1171</v>
      </c>
    </row>
    <row r="305" spans="1:28">
      <c r="A305" t="s">
        <v>1181</v>
      </c>
      <c r="B305" t="s">
        <v>1634</v>
      </c>
      <c r="C305" t="s">
        <v>54</v>
      </c>
      <c r="D305" t="s">
        <v>1664</v>
      </c>
      <c r="E305" t="s">
        <v>93</v>
      </c>
      <c r="F305">
        <v>32300</v>
      </c>
      <c r="G305" t="s">
        <v>110</v>
      </c>
      <c r="H305" t="s">
        <v>37</v>
      </c>
      <c r="I305" t="s">
        <v>1171</v>
      </c>
      <c r="J305" t="s">
        <v>1171</v>
      </c>
      <c r="K305" t="s">
        <v>1187</v>
      </c>
      <c r="L305" t="s">
        <v>1171</v>
      </c>
      <c r="M305" t="s">
        <v>1665</v>
      </c>
      <c r="N305">
        <v>9852</v>
      </c>
      <c r="O305">
        <v>804</v>
      </c>
      <c r="P305">
        <v>2030</v>
      </c>
      <c r="Q305">
        <v>0</v>
      </c>
      <c r="R305">
        <v>0</v>
      </c>
      <c r="S305">
        <v>0</v>
      </c>
      <c r="T305">
        <v>0</v>
      </c>
      <c r="U305">
        <v>6717</v>
      </c>
      <c r="V305">
        <v>5374</v>
      </c>
      <c r="W305">
        <v>0</v>
      </c>
      <c r="X305" t="s">
        <v>42</v>
      </c>
      <c r="Y305" t="s">
        <v>1175</v>
      </c>
      <c r="Z305" t="s">
        <v>1175</v>
      </c>
      <c r="AA305">
        <v>8</v>
      </c>
      <c r="AB305" t="s">
        <v>1171</v>
      </c>
    </row>
    <row r="306" spans="1:28">
      <c r="A306" t="s">
        <v>1181</v>
      </c>
      <c r="B306" t="s">
        <v>1634</v>
      </c>
      <c r="C306" t="s">
        <v>54</v>
      </c>
      <c r="D306" t="s">
        <v>1666</v>
      </c>
      <c r="E306" t="s">
        <v>644</v>
      </c>
      <c r="F306">
        <v>32300</v>
      </c>
      <c r="G306" t="s">
        <v>32</v>
      </c>
      <c r="H306" t="s">
        <v>37</v>
      </c>
      <c r="I306" t="s">
        <v>1171</v>
      </c>
      <c r="J306" t="s">
        <v>1171</v>
      </c>
      <c r="K306" t="s">
        <v>1172</v>
      </c>
      <c r="L306" t="s">
        <v>1173</v>
      </c>
      <c r="M306" t="s">
        <v>257</v>
      </c>
      <c r="N306">
        <v>9852</v>
      </c>
      <c r="O306">
        <v>804</v>
      </c>
      <c r="P306">
        <v>2030</v>
      </c>
      <c r="Q306">
        <v>0</v>
      </c>
      <c r="R306">
        <v>0</v>
      </c>
      <c r="S306">
        <v>6717</v>
      </c>
      <c r="T306">
        <v>0</v>
      </c>
      <c r="U306">
        <v>0</v>
      </c>
      <c r="V306">
        <v>5374</v>
      </c>
      <c r="W306">
        <v>0</v>
      </c>
      <c r="X306" t="s">
        <v>32</v>
      </c>
      <c r="Y306" t="s">
        <v>1175</v>
      </c>
      <c r="Z306" t="s">
        <v>1175</v>
      </c>
      <c r="AA306">
        <v>8</v>
      </c>
      <c r="AB306" t="s">
        <v>1171</v>
      </c>
    </row>
    <row r="307" spans="1:28">
      <c r="A307" t="s">
        <v>1168</v>
      </c>
      <c r="B307" t="s">
        <v>1648</v>
      </c>
      <c r="C307" t="s">
        <v>54</v>
      </c>
      <c r="D307" t="s">
        <v>1646</v>
      </c>
      <c r="E307" t="s">
        <v>709</v>
      </c>
      <c r="F307">
        <v>32300</v>
      </c>
      <c r="G307" t="s">
        <v>98</v>
      </c>
      <c r="H307" t="s">
        <v>42</v>
      </c>
      <c r="I307" t="s">
        <v>37</v>
      </c>
      <c r="J307" t="s">
        <v>1171</v>
      </c>
      <c r="K307" t="s">
        <v>1177</v>
      </c>
      <c r="L307" t="s">
        <v>1173</v>
      </c>
      <c r="M307" t="s">
        <v>281</v>
      </c>
      <c r="N307">
        <v>9851</v>
      </c>
      <c r="O307">
        <v>0</v>
      </c>
      <c r="P307">
        <v>3924</v>
      </c>
      <c r="Q307">
        <v>6717</v>
      </c>
      <c r="R307">
        <v>3358</v>
      </c>
      <c r="S307">
        <v>0</v>
      </c>
      <c r="T307">
        <v>0</v>
      </c>
      <c r="U307">
        <v>0</v>
      </c>
      <c r="V307">
        <v>3358</v>
      </c>
      <c r="W307">
        <v>0</v>
      </c>
      <c r="X307" t="s">
        <v>32</v>
      </c>
      <c r="Y307" t="s">
        <v>1175</v>
      </c>
      <c r="Z307" t="s">
        <v>1175</v>
      </c>
      <c r="AA307">
        <v>8</v>
      </c>
      <c r="AB307" t="s">
        <v>1171</v>
      </c>
    </row>
    <row r="308" spans="1:28">
      <c r="A308" t="s">
        <v>1168</v>
      </c>
      <c r="B308" t="s">
        <v>1648</v>
      </c>
      <c r="C308" t="s">
        <v>54</v>
      </c>
      <c r="D308" t="s">
        <v>1646</v>
      </c>
      <c r="E308" t="s">
        <v>706</v>
      </c>
      <c r="F308">
        <v>32300</v>
      </c>
      <c r="G308" t="s">
        <v>98</v>
      </c>
      <c r="H308" t="s">
        <v>32</v>
      </c>
      <c r="I308" t="s">
        <v>37</v>
      </c>
      <c r="J308" t="s">
        <v>1171</v>
      </c>
      <c r="K308" t="s">
        <v>1206</v>
      </c>
      <c r="L308" t="s">
        <v>1173</v>
      </c>
      <c r="M308" t="s">
        <v>1667</v>
      </c>
      <c r="N308">
        <v>9851</v>
      </c>
      <c r="O308">
        <v>0</v>
      </c>
      <c r="P308">
        <v>3924</v>
      </c>
      <c r="Q308">
        <v>4478</v>
      </c>
      <c r="R308">
        <v>0</v>
      </c>
      <c r="S308">
        <v>4478</v>
      </c>
      <c r="T308">
        <v>0</v>
      </c>
      <c r="U308">
        <v>0</v>
      </c>
      <c r="V308">
        <v>4478</v>
      </c>
      <c r="W308">
        <v>0</v>
      </c>
      <c r="X308" t="s">
        <v>42</v>
      </c>
      <c r="Y308" t="s">
        <v>1175</v>
      </c>
      <c r="Z308" t="s">
        <v>1175</v>
      </c>
      <c r="AA308">
        <v>8</v>
      </c>
      <c r="AB308" t="s">
        <v>1171</v>
      </c>
    </row>
    <row r="309" spans="1:28">
      <c r="A309" t="s">
        <v>1168</v>
      </c>
      <c r="B309" t="s">
        <v>1648</v>
      </c>
      <c r="C309" t="s">
        <v>54</v>
      </c>
      <c r="D309" t="s">
        <v>1646</v>
      </c>
      <c r="E309" t="s">
        <v>709</v>
      </c>
      <c r="F309">
        <v>32300</v>
      </c>
      <c r="G309" t="s">
        <v>98</v>
      </c>
      <c r="H309" t="s">
        <v>37</v>
      </c>
      <c r="I309" t="s">
        <v>1171</v>
      </c>
      <c r="J309" t="s">
        <v>1171</v>
      </c>
      <c r="K309" t="s">
        <v>1184</v>
      </c>
      <c r="L309" t="s">
        <v>1173</v>
      </c>
      <c r="M309" t="s">
        <v>1668</v>
      </c>
      <c r="N309">
        <v>9851</v>
      </c>
      <c r="O309">
        <v>0</v>
      </c>
      <c r="P309">
        <v>3247</v>
      </c>
      <c r="Q309">
        <v>10299</v>
      </c>
      <c r="R309">
        <v>0</v>
      </c>
      <c r="S309">
        <v>0</v>
      </c>
      <c r="T309">
        <v>0</v>
      </c>
      <c r="U309">
        <v>0</v>
      </c>
      <c r="V309">
        <v>5374</v>
      </c>
      <c r="W309">
        <v>0</v>
      </c>
      <c r="X309" t="s">
        <v>42</v>
      </c>
      <c r="Y309" t="s">
        <v>1175</v>
      </c>
      <c r="Z309" t="s">
        <v>1175</v>
      </c>
      <c r="AA309">
        <v>8</v>
      </c>
      <c r="AB309" t="s">
        <v>1171</v>
      </c>
    </row>
    <row r="310" spans="1:28">
      <c r="A310" t="s">
        <v>1181</v>
      </c>
      <c r="B310" t="s">
        <v>1182</v>
      </c>
      <c r="C310" t="s">
        <v>27</v>
      </c>
      <c r="D310" t="s">
        <v>1669</v>
      </c>
      <c r="E310" t="s">
        <v>598</v>
      </c>
      <c r="F310">
        <v>42100</v>
      </c>
      <c r="G310" t="s">
        <v>32</v>
      </c>
      <c r="H310" t="s">
        <v>37</v>
      </c>
      <c r="I310" t="s">
        <v>1171</v>
      </c>
      <c r="J310" t="s">
        <v>1171</v>
      </c>
      <c r="K310" t="s">
        <v>1172</v>
      </c>
      <c r="L310" t="s">
        <v>1171</v>
      </c>
      <c r="M310" t="s">
        <v>1670</v>
      </c>
      <c r="N310">
        <v>23113</v>
      </c>
      <c r="O310">
        <v>1886</v>
      </c>
      <c r="P310">
        <v>4763</v>
      </c>
      <c r="Q310">
        <v>0</v>
      </c>
      <c r="R310">
        <v>0</v>
      </c>
      <c r="S310">
        <v>15759</v>
      </c>
      <c r="T310">
        <v>0</v>
      </c>
      <c r="U310">
        <v>0</v>
      </c>
      <c r="V310">
        <v>12607</v>
      </c>
      <c r="W310">
        <v>0</v>
      </c>
      <c r="X310" t="s">
        <v>91</v>
      </c>
      <c r="Y310" t="s">
        <v>98</v>
      </c>
      <c r="Z310" t="s">
        <v>1175</v>
      </c>
      <c r="AA310">
        <v>6</v>
      </c>
      <c r="AB310" t="s">
        <v>1171</v>
      </c>
    </row>
    <row r="311" spans="1:28">
      <c r="A311" t="s">
        <v>1181</v>
      </c>
      <c r="B311" t="s">
        <v>1182</v>
      </c>
      <c r="C311" t="s">
        <v>27</v>
      </c>
      <c r="D311" t="s">
        <v>1671</v>
      </c>
      <c r="E311" t="s">
        <v>93</v>
      </c>
      <c r="F311">
        <v>41400</v>
      </c>
      <c r="G311" t="s">
        <v>24</v>
      </c>
      <c r="H311" t="s">
        <v>37</v>
      </c>
      <c r="I311" t="s">
        <v>1171</v>
      </c>
      <c r="J311" t="s">
        <v>1171</v>
      </c>
      <c r="K311" t="s">
        <v>1191</v>
      </c>
      <c r="L311" t="s">
        <v>1171</v>
      </c>
      <c r="M311" t="s">
        <v>1672</v>
      </c>
      <c r="N311">
        <v>22728</v>
      </c>
      <c r="O311">
        <v>1854</v>
      </c>
      <c r="P311">
        <v>4683</v>
      </c>
      <c r="Q311">
        <v>0</v>
      </c>
      <c r="R311">
        <v>0</v>
      </c>
      <c r="S311">
        <v>0</v>
      </c>
      <c r="T311">
        <v>15497</v>
      </c>
      <c r="U311">
        <v>0</v>
      </c>
      <c r="V311">
        <v>12398</v>
      </c>
      <c r="W311">
        <v>0</v>
      </c>
      <c r="X311" t="s">
        <v>98</v>
      </c>
      <c r="Y311" t="s">
        <v>110</v>
      </c>
      <c r="Z311" t="s">
        <v>1175</v>
      </c>
      <c r="AA311">
        <v>6</v>
      </c>
      <c r="AB311" t="s">
        <v>1171</v>
      </c>
    </row>
    <row r="312" spans="1:28">
      <c r="A312" t="s">
        <v>1181</v>
      </c>
      <c r="B312" t="s">
        <v>1182</v>
      </c>
      <c r="C312" t="s">
        <v>27</v>
      </c>
      <c r="D312" t="s">
        <v>1673</v>
      </c>
      <c r="E312" t="s">
        <v>93</v>
      </c>
      <c r="F312">
        <v>41400</v>
      </c>
      <c r="G312" t="s">
        <v>98</v>
      </c>
      <c r="H312" t="s">
        <v>37</v>
      </c>
      <c r="I312" t="s">
        <v>1171</v>
      </c>
      <c r="J312" t="s">
        <v>1171</v>
      </c>
      <c r="K312" t="s">
        <v>1184</v>
      </c>
      <c r="L312" t="s">
        <v>1171</v>
      </c>
      <c r="M312" t="s">
        <v>1674</v>
      </c>
      <c r="N312">
        <v>22728</v>
      </c>
      <c r="O312">
        <v>1854</v>
      </c>
      <c r="P312">
        <v>4683</v>
      </c>
      <c r="Q312">
        <v>15497</v>
      </c>
      <c r="R312">
        <v>0</v>
      </c>
      <c r="S312">
        <v>0</v>
      </c>
      <c r="T312">
        <v>0</v>
      </c>
      <c r="U312">
        <v>0</v>
      </c>
      <c r="V312">
        <v>12398</v>
      </c>
      <c r="W312">
        <v>0</v>
      </c>
      <c r="X312" t="s">
        <v>98</v>
      </c>
      <c r="Y312" t="s">
        <v>42</v>
      </c>
      <c r="Z312" t="s">
        <v>1175</v>
      </c>
      <c r="AA312">
        <v>6</v>
      </c>
      <c r="AB312" t="s">
        <v>1171</v>
      </c>
    </row>
    <row r="313" spans="1:28">
      <c r="A313" t="s">
        <v>1181</v>
      </c>
      <c r="B313" t="s">
        <v>1182</v>
      </c>
      <c r="C313" t="s">
        <v>27</v>
      </c>
      <c r="D313" t="s">
        <v>1675</v>
      </c>
      <c r="E313" t="s">
        <v>93</v>
      </c>
      <c r="F313">
        <v>41400</v>
      </c>
      <c r="G313" t="s">
        <v>110</v>
      </c>
      <c r="H313" t="s">
        <v>37</v>
      </c>
      <c r="I313" t="s">
        <v>1171</v>
      </c>
      <c r="J313" t="s">
        <v>1171</v>
      </c>
      <c r="K313" t="s">
        <v>1187</v>
      </c>
      <c r="L313" t="s">
        <v>1171</v>
      </c>
      <c r="M313" t="s">
        <v>1676</v>
      </c>
      <c r="N313">
        <v>22728</v>
      </c>
      <c r="O313">
        <v>1854</v>
      </c>
      <c r="P313">
        <v>4683</v>
      </c>
      <c r="Q313">
        <v>0</v>
      </c>
      <c r="R313">
        <v>0</v>
      </c>
      <c r="S313">
        <v>0</v>
      </c>
      <c r="T313">
        <v>0</v>
      </c>
      <c r="U313">
        <v>15497</v>
      </c>
      <c r="V313">
        <v>12398</v>
      </c>
      <c r="W313">
        <v>0</v>
      </c>
      <c r="X313" t="s">
        <v>110</v>
      </c>
      <c r="Y313" t="s">
        <v>98</v>
      </c>
      <c r="Z313" t="s">
        <v>1175</v>
      </c>
      <c r="AA313">
        <v>6</v>
      </c>
      <c r="AB313" t="s">
        <v>1171</v>
      </c>
    </row>
    <row r="314" spans="1:28">
      <c r="A314" t="s">
        <v>1181</v>
      </c>
      <c r="B314" t="s">
        <v>1182</v>
      </c>
      <c r="C314" t="s">
        <v>27</v>
      </c>
      <c r="D314" t="s">
        <v>1677</v>
      </c>
      <c r="E314" t="s">
        <v>787</v>
      </c>
      <c r="F314">
        <v>41400</v>
      </c>
      <c r="G314" t="s">
        <v>24</v>
      </c>
      <c r="H314" t="s">
        <v>37</v>
      </c>
      <c r="I314" t="s">
        <v>1171</v>
      </c>
      <c r="J314" t="s">
        <v>1171</v>
      </c>
      <c r="K314" t="s">
        <v>1191</v>
      </c>
      <c r="L314" t="s">
        <v>1171</v>
      </c>
      <c r="M314" t="s">
        <v>248</v>
      </c>
      <c r="N314">
        <v>22728</v>
      </c>
      <c r="O314">
        <v>1854</v>
      </c>
      <c r="P314">
        <v>4683</v>
      </c>
      <c r="Q314">
        <v>0</v>
      </c>
      <c r="R314">
        <v>0</v>
      </c>
      <c r="S314">
        <v>0</v>
      </c>
      <c r="T314">
        <v>15497</v>
      </c>
      <c r="U314">
        <v>0</v>
      </c>
      <c r="V314">
        <v>12398</v>
      </c>
      <c r="W314">
        <v>0</v>
      </c>
      <c r="X314" t="s">
        <v>98</v>
      </c>
      <c r="Y314" t="s">
        <v>110</v>
      </c>
      <c r="Z314" t="s">
        <v>1175</v>
      </c>
      <c r="AA314">
        <v>6</v>
      </c>
      <c r="AB314" t="s">
        <v>1171</v>
      </c>
    </row>
    <row r="315" spans="1:28">
      <c r="A315" t="s">
        <v>1181</v>
      </c>
      <c r="B315" t="s">
        <v>1182</v>
      </c>
      <c r="C315" t="s">
        <v>27</v>
      </c>
      <c r="D315" t="s">
        <v>1678</v>
      </c>
      <c r="E315" t="s">
        <v>601</v>
      </c>
      <c r="F315">
        <v>35900</v>
      </c>
      <c r="G315" t="s">
        <v>32</v>
      </c>
      <c r="H315" t="s">
        <v>37</v>
      </c>
      <c r="I315" t="s">
        <v>1171</v>
      </c>
      <c r="J315" t="s">
        <v>1171</v>
      </c>
      <c r="K315" t="s">
        <v>1172</v>
      </c>
      <c r="L315" t="s">
        <v>1171</v>
      </c>
      <c r="M315" t="s">
        <v>1679</v>
      </c>
      <c r="N315">
        <v>19709</v>
      </c>
      <c r="O315">
        <v>1608</v>
      </c>
      <c r="P315">
        <v>4061</v>
      </c>
      <c r="Q315">
        <v>0</v>
      </c>
      <c r="R315">
        <v>0</v>
      </c>
      <c r="S315">
        <v>13438</v>
      </c>
      <c r="T315">
        <v>0</v>
      </c>
      <c r="U315">
        <v>0</v>
      </c>
      <c r="V315">
        <v>10751</v>
      </c>
      <c r="W315">
        <v>0</v>
      </c>
      <c r="X315" t="s">
        <v>91</v>
      </c>
      <c r="Y315" t="s">
        <v>98</v>
      </c>
      <c r="Z315" t="s">
        <v>1175</v>
      </c>
      <c r="AA315">
        <v>6</v>
      </c>
      <c r="AB315" t="s">
        <v>1171</v>
      </c>
    </row>
    <row r="316" spans="1:28">
      <c r="A316" t="s">
        <v>1181</v>
      </c>
      <c r="B316" t="s">
        <v>1182</v>
      </c>
      <c r="C316" t="s">
        <v>27</v>
      </c>
      <c r="D316" t="s">
        <v>1680</v>
      </c>
      <c r="E316" t="s">
        <v>93</v>
      </c>
      <c r="F316">
        <v>35300</v>
      </c>
      <c r="G316" t="s">
        <v>110</v>
      </c>
      <c r="H316" t="s">
        <v>37</v>
      </c>
      <c r="I316" t="s">
        <v>1171</v>
      </c>
      <c r="J316" t="s">
        <v>1171</v>
      </c>
      <c r="K316" t="s">
        <v>1187</v>
      </c>
      <c r="L316" t="s">
        <v>1171</v>
      </c>
      <c r="M316" t="s">
        <v>1681</v>
      </c>
      <c r="N316">
        <v>19380</v>
      </c>
      <c r="O316">
        <v>1581</v>
      </c>
      <c r="P316">
        <v>3993</v>
      </c>
      <c r="Q316">
        <v>0</v>
      </c>
      <c r="R316">
        <v>0</v>
      </c>
      <c r="S316">
        <v>0</v>
      </c>
      <c r="T316">
        <v>0</v>
      </c>
      <c r="U316">
        <v>13214</v>
      </c>
      <c r="V316">
        <v>10571</v>
      </c>
      <c r="W316">
        <v>0</v>
      </c>
      <c r="X316" t="s">
        <v>110</v>
      </c>
      <c r="Y316" t="s">
        <v>98</v>
      </c>
      <c r="Z316" t="s">
        <v>1175</v>
      </c>
      <c r="AA316">
        <v>6</v>
      </c>
      <c r="AB316" t="s">
        <v>1171</v>
      </c>
    </row>
    <row r="317" spans="1:28">
      <c r="A317" t="s">
        <v>1181</v>
      </c>
      <c r="B317" t="s">
        <v>1182</v>
      </c>
      <c r="C317" t="s">
        <v>27</v>
      </c>
      <c r="D317" t="s">
        <v>1682</v>
      </c>
      <c r="E317" t="s">
        <v>93</v>
      </c>
      <c r="F317">
        <v>35300</v>
      </c>
      <c r="G317" t="s">
        <v>24</v>
      </c>
      <c r="H317" t="s">
        <v>37</v>
      </c>
      <c r="I317" t="s">
        <v>1171</v>
      </c>
      <c r="J317" t="s">
        <v>1171</v>
      </c>
      <c r="K317" t="s">
        <v>1191</v>
      </c>
      <c r="L317" t="s">
        <v>1171</v>
      </c>
      <c r="M317" t="s">
        <v>1683</v>
      </c>
      <c r="N317">
        <v>19380</v>
      </c>
      <c r="O317">
        <v>1581</v>
      </c>
      <c r="P317">
        <v>3993</v>
      </c>
      <c r="Q317">
        <v>0</v>
      </c>
      <c r="R317">
        <v>0</v>
      </c>
      <c r="S317">
        <v>0</v>
      </c>
      <c r="T317">
        <v>13213</v>
      </c>
      <c r="U317">
        <v>0</v>
      </c>
      <c r="V317">
        <v>10571</v>
      </c>
      <c r="W317">
        <v>0</v>
      </c>
      <c r="X317" t="s">
        <v>98</v>
      </c>
      <c r="Y317" t="s">
        <v>110</v>
      </c>
      <c r="Z317" t="s">
        <v>1175</v>
      </c>
      <c r="AA317">
        <v>6</v>
      </c>
      <c r="AB317" t="s">
        <v>1171</v>
      </c>
    </row>
    <row r="318" spans="1:28">
      <c r="A318" t="s">
        <v>1181</v>
      </c>
      <c r="B318" t="s">
        <v>1182</v>
      </c>
      <c r="C318" t="s">
        <v>27</v>
      </c>
      <c r="D318" t="s">
        <v>1684</v>
      </c>
      <c r="E318" t="s">
        <v>93</v>
      </c>
      <c r="F318">
        <v>35300</v>
      </c>
      <c r="G318" t="s">
        <v>110</v>
      </c>
      <c r="H318" t="s">
        <v>37</v>
      </c>
      <c r="I318" t="s">
        <v>1171</v>
      </c>
      <c r="J318" t="s">
        <v>1171</v>
      </c>
      <c r="K318" t="s">
        <v>1187</v>
      </c>
      <c r="L318" t="s">
        <v>1171</v>
      </c>
      <c r="M318" t="s">
        <v>1685</v>
      </c>
      <c r="N318">
        <v>19380</v>
      </c>
      <c r="O318">
        <v>1581</v>
      </c>
      <c r="P318">
        <v>3993</v>
      </c>
      <c r="Q318">
        <v>0</v>
      </c>
      <c r="R318">
        <v>0</v>
      </c>
      <c r="S318">
        <v>0</v>
      </c>
      <c r="T318">
        <v>0</v>
      </c>
      <c r="U318">
        <v>13214</v>
      </c>
      <c r="V318">
        <v>10571</v>
      </c>
      <c r="W318">
        <v>0</v>
      </c>
      <c r="X318" t="s">
        <v>110</v>
      </c>
      <c r="Y318" t="s">
        <v>98</v>
      </c>
      <c r="Z318" t="s">
        <v>1175</v>
      </c>
      <c r="AA318">
        <v>6</v>
      </c>
      <c r="AB318" t="s">
        <v>1171</v>
      </c>
    </row>
    <row r="319" spans="1:28">
      <c r="A319" t="s">
        <v>1181</v>
      </c>
      <c r="B319" t="s">
        <v>1182</v>
      </c>
      <c r="C319" t="s">
        <v>27</v>
      </c>
      <c r="D319" t="s">
        <v>1673</v>
      </c>
      <c r="E319" t="s">
        <v>93</v>
      </c>
      <c r="F319">
        <v>35300</v>
      </c>
      <c r="G319" t="s">
        <v>98</v>
      </c>
      <c r="H319" t="s">
        <v>37</v>
      </c>
      <c r="I319" t="s">
        <v>1171</v>
      </c>
      <c r="J319" t="s">
        <v>1171</v>
      </c>
      <c r="K319" t="s">
        <v>1184</v>
      </c>
      <c r="L319" t="s">
        <v>1171</v>
      </c>
      <c r="M319" t="s">
        <v>1686</v>
      </c>
      <c r="N319">
        <v>19380</v>
      </c>
      <c r="O319">
        <v>1581</v>
      </c>
      <c r="P319">
        <v>3993</v>
      </c>
      <c r="Q319">
        <v>13214</v>
      </c>
      <c r="R319">
        <v>0</v>
      </c>
      <c r="S319">
        <v>0</v>
      </c>
      <c r="T319">
        <v>0</v>
      </c>
      <c r="U319">
        <v>0</v>
      </c>
      <c r="V319">
        <v>10571</v>
      </c>
      <c r="W319">
        <v>0</v>
      </c>
      <c r="X319" t="s">
        <v>98</v>
      </c>
      <c r="Y319" t="s">
        <v>42</v>
      </c>
      <c r="Z319" t="s">
        <v>1175</v>
      </c>
      <c r="AA319">
        <v>6</v>
      </c>
      <c r="AB319" t="s">
        <v>1171</v>
      </c>
    </row>
    <row r="320" spans="1:28">
      <c r="A320" t="s">
        <v>1181</v>
      </c>
      <c r="B320" t="s">
        <v>1182</v>
      </c>
      <c r="C320" t="s">
        <v>27</v>
      </c>
      <c r="D320" t="s">
        <v>1687</v>
      </c>
      <c r="E320" t="s">
        <v>787</v>
      </c>
      <c r="F320">
        <v>35300</v>
      </c>
      <c r="G320" t="s">
        <v>24</v>
      </c>
      <c r="H320" t="s">
        <v>37</v>
      </c>
      <c r="I320" t="s">
        <v>1171</v>
      </c>
      <c r="J320" t="s">
        <v>1171</v>
      </c>
      <c r="K320" t="s">
        <v>1191</v>
      </c>
      <c r="L320" t="s">
        <v>1171</v>
      </c>
      <c r="M320" t="s">
        <v>269</v>
      </c>
      <c r="N320">
        <v>19380</v>
      </c>
      <c r="O320">
        <v>1581</v>
      </c>
      <c r="P320">
        <v>3993</v>
      </c>
      <c r="Q320">
        <v>0</v>
      </c>
      <c r="R320">
        <v>0</v>
      </c>
      <c r="S320">
        <v>0</v>
      </c>
      <c r="T320">
        <v>13213</v>
      </c>
      <c r="U320">
        <v>0</v>
      </c>
      <c r="V320">
        <v>10571</v>
      </c>
      <c r="W320">
        <v>0</v>
      </c>
      <c r="X320" t="s">
        <v>98</v>
      </c>
      <c r="Y320" t="s">
        <v>110</v>
      </c>
      <c r="Z320" t="s">
        <v>1175</v>
      </c>
      <c r="AA320">
        <v>6</v>
      </c>
      <c r="AB320" t="s">
        <v>1171</v>
      </c>
    </row>
    <row r="321" spans="1:28">
      <c r="A321" t="s">
        <v>1181</v>
      </c>
      <c r="B321" t="s">
        <v>1182</v>
      </c>
      <c r="C321" t="s">
        <v>27</v>
      </c>
      <c r="D321" t="s">
        <v>1688</v>
      </c>
      <c r="E321" t="s">
        <v>93</v>
      </c>
      <c r="F321">
        <v>35300</v>
      </c>
      <c r="G321" t="s">
        <v>24</v>
      </c>
      <c r="H321" t="s">
        <v>37</v>
      </c>
      <c r="I321" t="s">
        <v>1171</v>
      </c>
      <c r="J321" t="s">
        <v>1171</v>
      </c>
      <c r="K321" t="s">
        <v>1191</v>
      </c>
      <c r="L321" t="s">
        <v>1171</v>
      </c>
      <c r="M321" t="s">
        <v>1689</v>
      </c>
      <c r="N321">
        <v>19380</v>
      </c>
      <c r="O321">
        <v>1581</v>
      </c>
      <c r="P321">
        <v>3993</v>
      </c>
      <c r="Q321">
        <v>0</v>
      </c>
      <c r="R321">
        <v>0</v>
      </c>
      <c r="S321">
        <v>0</v>
      </c>
      <c r="T321">
        <v>13213</v>
      </c>
      <c r="U321">
        <v>0</v>
      </c>
      <c r="V321">
        <v>10571</v>
      </c>
      <c r="W321">
        <v>0</v>
      </c>
      <c r="X321" t="s">
        <v>98</v>
      </c>
      <c r="Y321" t="s">
        <v>110</v>
      </c>
      <c r="Z321" t="s">
        <v>1175</v>
      </c>
      <c r="AA321">
        <v>6</v>
      </c>
      <c r="AB321" t="s">
        <v>1171</v>
      </c>
    </row>
    <row r="322" spans="1:28">
      <c r="A322" t="s">
        <v>1181</v>
      </c>
      <c r="B322" t="s">
        <v>1182</v>
      </c>
      <c r="C322" t="s">
        <v>27</v>
      </c>
      <c r="D322" t="s">
        <v>1688</v>
      </c>
      <c r="E322" t="s">
        <v>93</v>
      </c>
      <c r="F322">
        <v>35300</v>
      </c>
      <c r="G322" t="s">
        <v>24</v>
      </c>
      <c r="H322" t="s">
        <v>37</v>
      </c>
      <c r="I322" t="s">
        <v>1171</v>
      </c>
      <c r="J322" t="s">
        <v>1171</v>
      </c>
      <c r="K322" t="s">
        <v>1191</v>
      </c>
      <c r="L322" t="s">
        <v>1171</v>
      </c>
      <c r="M322" t="s">
        <v>1689</v>
      </c>
      <c r="N322">
        <v>19380</v>
      </c>
      <c r="O322">
        <v>1581</v>
      </c>
      <c r="P322">
        <v>3993</v>
      </c>
      <c r="Q322">
        <v>0</v>
      </c>
      <c r="R322">
        <v>0</v>
      </c>
      <c r="S322">
        <v>0</v>
      </c>
      <c r="T322">
        <v>13213</v>
      </c>
      <c r="U322">
        <v>0</v>
      </c>
      <c r="V322">
        <v>10571</v>
      </c>
      <c r="W322">
        <v>0</v>
      </c>
      <c r="X322" t="s">
        <v>98</v>
      </c>
      <c r="Y322" t="s">
        <v>110</v>
      </c>
      <c r="Z322" t="s">
        <v>1175</v>
      </c>
      <c r="AA322">
        <v>6</v>
      </c>
      <c r="AB322" t="s">
        <v>1171</v>
      </c>
    </row>
    <row r="323" spans="1:28">
      <c r="A323" t="s">
        <v>1181</v>
      </c>
      <c r="B323" t="s">
        <v>1182</v>
      </c>
      <c r="C323" t="s">
        <v>27</v>
      </c>
      <c r="D323" t="s">
        <v>1690</v>
      </c>
      <c r="E323" t="s">
        <v>650</v>
      </c>
      <c r="F323">
        <v>29800</v>
      </c>
      <c r="G323" t="s">
        <v>32</v>
      </c>
      <c r="H323" t="s">
        <v>37</v>
      </c>
      <c r="I323" t="s">
        <v>1171</v>
      </c>
      <c r="J323" t="s">
        <v>1171</v>
      </c>
      <c r="K323" t="s">
        <v>1172</v>
      </c>
      <c r="L323" t="s">
        <v>1171</v>
      </c>
      <c r="M323" t="s">
        <v>1691</v>
      </c>
      <c r="N323">
        <v>16360</v>
      </c>
      <c r="O323">
        <v>1335</v>
      </c>
      <c r="P323">
        <v>3371</v>
      </c>
      <c r="Q323">
        <v>0</v>
      </c>
      <c r="R323">
        <v>0</v>
      </c>
      <c r="S323">
        <v>11155</v>
      </c>
      <c r="T323">
        <v>0</v>
      </c>
      <c r="U323">
        <v>0</v>
      </c>
      <c r="V323">
        <v>8924</v>
      </c>
      <c r="W323">
        <v>0</v>
      </c>
      <c r="X323" t="s">
        <v>91</v>
      </c>
      <c r="Y323" t="s">
        <v>98</v>
      </c>
      <c r="Z323" t="s">
        <v>1175</v>
      </c>
      <c r="AA323">
        <v>6</v>
      </c>
      <c r="AB323" t="s">
        <v>1171</v>
      </c>
    </row>
    <row r="324" spans="1:28">
      <c r="A324" t="s">
        <v>1171</v>
      </c>
      <c r="B324" t="s">
        <v>1171</v>
      </c>
      <c r="C324" t="s">
        <v>1171</v>
      </c>
      <c r="D324" t="s">
        <v>1171</v>
      </c>
      <c r="E324" t="s">
        <v>1171</v>
      </c>
      <c r="G324" t="s">
        <v>1171</v>
      </c>
      <c r="H324" t="s">
        <v>1171</v>
      </c>
      <c r="I324" t="s">
        <v>1171</v>
      </c>
      <c r="J324" t="s">
        <v>1171</v>
      </c>
      <c r="K324" t="s">
        <v>1171</v>
      </c>
      <c r="L324" t="s">
        <v>1171</v>
      </c>
      <c r="M324" t="s">
        <v>1171</v>
      </c>
    </row>
  </sheetData>
  <pageMargins left="0.7" right="0.7" top="0.75" bottom="0.75" header="0.3" footer="0.3"/>
  <headerFooter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1"/>
  <dimension ref="A1:J28"/>
  <sheetViews>
    <sheetView workbookViewId="0">
      <selection activeCell="I18" sqref="I18"/>
    </sheetView>
  </sheetViews>
  <sheetFormatPr defaultColWidth="9" defaultRowHeight="13.5"/>
  <cols>
    <col min="1" max="1" width="11.625" customWidth="1"/>
    <col min="2" max="2" width="40.125" customWidth="1"/>
    <col min="3" max="9" width="11.625" customWidth="1"/>
    <col min="10" max="26" width="12.75" customWidth="1"/>
  </cols>
  <sheetData>
    <row r="1" spans="1:10">
      <c r="A1" t="s">
        <v>1166</v>
      </c>
      <c r="B1" t="s">
        <v>1692</v>
      </c>
      <c r="C1" t="s">
        <v>1693</v>
      </c>
      <c r="D1" t="s">
        <v>1694</v>
      </c>
      <c r="E1" t="s">
        <v>1695</v>
      </c>
      <c r="F1" t="s">
        <v>1696</v>
      </c>
      <c r="G1" t="s">
        <v>1697</v>
      </c>
      <c r="H1" t="s">
        <v>1698</v>
      </c>
      <c r="I1" t="s">
        <v>1699</v>
      </c>
      <c r="J1" t="s">
        <v>1700</v>
      </c>
    </row>
    <row r="2" spans="1:10">
      <c r="A2" t="s">
        <v>1701</v>
      </c>
      <c r="B2" t="s">
        <v>1702</v>
      </c>
      <c r="C2">
        <v>0.6</v>
      </c>
      <c r="D2">
        <v>1.8</v>
      </c>
      <c r="E2">
        <v>1.6</v>
      </c>
      <c r="F2">
        <v>1.8</v>
      </c>
      <c r="G2">
        <v>2.2</v>
      </c>
      <c r="H2">
        <v>2.3</v>
      </c>
      <c r="I2">
        <v>1.7</v>
      </c>
      <c r="J2">
        <v>0.7</v>
      </c>
    </row>
    <row r="3" spans="1:10">
      <c r="A3" t="s">
        <v>1703</v>
      </c>
      <c r="B3" t="s">
        <v>1702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0</v>
      </c>
    </row>
    <row r="4" spans="1:10">
      <c r="A4" t="s">
        <v>124</v>
      </c>
      <c r="B4" t="s">
        <v>1702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>
      <c r="A5" t="s">
        <v>936</v>
      </c>
      <c r="B5" t="s">
        <v>1702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>
      <c r="A6" t="s">
        <v>1150</v>
      </c>
      <c r="B6" t="s">
        <v>1702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>
      <c r="A7" t="s">
        <v>127</v>
      </c>
      <c r="B7" t="s">
        <v>1702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>
      <c r="A8" t="s">
        <v>1153</v>
      </c>
      <c r="B8" t="s">
        <v>1704</v>
      </c>
    </row>
    <row r="9" spans="1:10">
      <c r="A9" t="s">
        <v>1154</v>
      </c>
      <c r="B9" t="s">
        <v>1705</v>
      </c>
    </row>
    <row r="10" spans="1:10">
      <c r="A10" t="s">
        <v>1171</v>
      </c>
      <c r="B10" t="s">
        <v>1171</v>
      </c>
    </row>
    <row r="11" spans="1:10">
      <c r="A11" t="s">
        <v>1706</v>
      </c>
      <c r="B11" t="s">
        <v>1707</v>
      </c>
    </row>
    <row r="12" spans="1:10">
      <c r="A12" t="s">
        <v>1708</v>
      </c>
      <c r="B12" t="s">
        <v>1709</v>
      </c>
    </row>
    <row r="13" spans="1:10">
      <c r="A13" t="s">
        <v>1710</v>
      </c>
      <c r="B13" t="s">
        <v>1171</v>
      </c>
    </row>
    <row r="14" spans="1:10">
      <c r="A14" t="s">
        <v>1711</v>
      </c>
      <c r="B14" t="s">
        <v>1712</v>
      </c>
    </row>
    <row r="15" spans="1:10">
      <c r="A15" t="s">
        <v>1713</v>
      </c>
      <c r="B15" t="s">
        <v>1714</v>
      </c>
    </row>
    <row r="16" spans="1:10">
      <c r="A16" t="s">
        <v>1715</v>
      </c>
      <c r="B16" t="s">
        <v>1171</v>
      </c>
    </row>
    <row r="17" spans="1:2">
      <c r="A17" t="s">
        <v>1716</v>
      </c>
      <c r="B17" t="s">
        <v>1171</v>
      </c>
    </row>
    <row r="18" spans="1:2">
      <c r="A18" t="s">
        <v>1717</v>
      </c>
      <c r="B18" t="s">
        <v>1171</v>
      </c>
    </row>
    <row r="19" spans="1:2">
      <c r="A19" t="s">
        <v>1718</v>
      </c>
      <c r="B19" t="s">
        <v>1171</v>
      </c>
    </row>
    <row r="20" spans="1:2">
      <c r="A20" t="s">
        <v>1719</v>
      </c>
      <c r="B20" t="s">
        <v>1171</v>
      </c>
    </row>
    <row r="21" spans="1:2">
      <c r="A21" t="s">
        <v>1720</v>
      </c>
      <c r="B21" t="s">
        <v>1171</v>
      </c>
    </row>
    <row r="22" spans="1:2">
      <c r="A22" t="s">
        <v>1721</v>
      </c>
      <c r="B22" t="s">
        <v>1171</v>
      </c>
    </row>
    <row r="23" spans="1:2">
      <c r="A23" t="s">
        <v>1722</v>
      </c>
      <c r="B23" t="s">
        <v>1171</v>
      </c>
    </row>
    <row r="24" spans="1:2">
      <c r="A24" t="s">
        <v>1723</v>
      </c>
      <c r="B24" t="s">
        <v>1171</v>
      </c>
    </row>
    <row r="25" spans="1:2">
      <c r="A25" t="s">
        <v>1724</v>
      </c>
      <c r="B25" t="s">
        <v>1171</v>
      </c>
    </row>
    <row r="26" spans="1:2">
      <c r="A26" t="s">
        <v>1725</v>
      </c>
      <c r="B26" t="s">
        <v>1171</v>
      </c>
    </row>
    <row r="27" spans="1:2">
      <c r="A27" t="s">
        <v>1171</v>
      </c>
      <c r="B27" t="s">
        <v>1171</v>
      </c>
    </row>
    <row r="28" spans="1:2">
      <c r="A28" t="s">
        <v>1171</v>
      </c>
      <c r="B28" t="s">
        <v>1171</v>
      </c>
    </row>
  </sheetData>
  <pageMargins left="0.7" right="0.7" top="0.75" bottom="0.75" header="0.3" footer="0.3"/>
  <headerFooter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2"/>
  <dimension ref="A1:D61"/>
  <sheetViews>
    <sheetView workbookViewId="0">
      <selection activeCell="G35" sqref="G35:H35"/>
    </sheetView>
  </sheetViews>
  <sheetFormatPr defaultColWidth="9" defaultRowHeight="13.5" outlineLevelCol="3"/>
  <cols>
    <col min="1" max="1" width="21.375" customWidth="1"/>
    <col min="2" max="4" width="11.75" customWidth="1"/>
  </cols>
  <sheetData>
    <row r="1" spans="1:4">
      <c r="A1" t="s">
        <v>936</v>
      </c>
      <c r="B1" t="s">
        <v>1043</v>
      </c>
      <c r="C1" t="s">
        <v>1044</v>
      </c>
      <c r="D1" t="s">
        <v>1045</v>
      </c>
    </row>
    <row r="2" spans="1:4">
      <c r="A2" t="s">
        <v>883</v>
      </c>
      <c r="B2" t="s">
        <v>1726</v>
      </c>
      <c r="C2">
        <v>4.5260417</v>
      </c>
      <c r="D2">
        <v>0</v>
      </c>
    </row>
    <row r="3" spans="1:4">
      <c r="A3" t="s">
        <v>130</v>
      </c>
      <c r="B3" t="s">
        <v>1727</v>
      </c>
      <c r="C3">
        <v>0.8645833</v>
      </c>
      <c r="D3">
        <v>0</v>
      </c>
    </row>
    <row r="4" spans="1:4">
      <c r="A4" t="s">
        <v>949</v>
      </c>
      <c r="B4" t="s">
        <v>1728</v>
      </c>
      <c r="C4">
        <v>0.1783854</v>
      </c>
      <c r="D4">
        <v>0</v>
      </c>
    </row>
    <row r="5" spans="1:4">
      <c r="A5" t="s">
        <v>1110</v>
      </c>
      <c r="B5" t="s">
        <v>1726</v>
      </c>
      <c r="C5">
        <v>3.3541667</v>
      </c>
      <c r="D5">
        <v>0</v>
      </c>
    </row>
    <row r="6" spans="1:4">
      <c r="A6" t="s">
        <v>137</v>
      </c>
      <c r="B6" t="s">
        <v>1729</v>
      </c>
      <c r="C6">
        <v>3.7864583</v>
      </c>
      <c r="D6">
        <v>0</v>
      </c>
    </row>
    <row r="7" spans="1:4">
      <c r="A7" t="s">
        <v>611</v>
      </c>
      <c r="B7" t="s">
        <v>1730</v>
      </c>
      <c r="C7">
        <v>0.3489583</v>
      </c>
      <c r="D7">
        <v>0</v>
      </c>
    </row>
    <row r="8" spans="1:4">
      <c r="A8" t="s">
        <v>977</v>
      </c>
      <c r="B8" t="s">
        <v>1175</v>
      </c>
      <c r="C8">
        <v>0</v>
      </c>
      <c r="D8">
        <v>0.0396</v>
      </c>
    </row>
    <row r="9" spans="1:4">
      <c r="A9" t="s">
        <v>82</v>
      </c>
      <c r="B9" t="s">
        <v>1731</v>
      </c>
      <c r="C9">
        <v>0.6302083</v>
      </c>
      <c r="D9">
        <v>0</v>
      </c>
    </row>
    <row r="10" spans="1:4">
      <c r="A10" t="s">
        <v>438</v>
      </c>
      <c r="B10" t="s">
        <v>1732</v>
      </c>
      <c r="C10">
        <v>0.0885417</v>
      </c>
      <c r="D10">
        <v>0</v>
      </c>
    </row>
    <row r="11" spans="1:4">
      <c r="A11" t="s">
        <v>77</v>
      </c>
      <c r="B11" t="s">
        <v>1733</v>
      </c>
      <c r="C11">
        <v>1.71875</v>
      </c>
      <c r="D11">
        <v>0</v>
      </c>
    </row>
    <row r="12" spans="1:4">
      <c r="A12" t="s">
        <v>965</v>
      </c>
      <c r="B12" t="s">
        <v>1175</v>
      </c>
      <c r="C12">
        <v>0</v>
      </c>
      <c r="D12">
        <v>0.3728</v>
      </c>
    </row>
    <row r="13" spans="1:4">
      <c r="A13" t="s">
        <v>1734</v>
      </c>
      <c r="B13" t="s">
        <v>1735</v>
      </c>
      <c r="C13">
        <v>1.704048</v>
      </c>
      <c r="D13">
        <v>0</v>
      </c>
    </row>
    <row r="14" spans="1:4">
      <c r="A14" t="s">
        <v>1071</v>
      </c>
      <c r="B14" t="s">
        <v>1736</v>
      </c>
      <c r="C14">
        <v>0</v>
      </c>
      <c r="D14">
        <v>0</v>
      </c>
    </row>
    <row r="15" spans="1:4">
      <c r="A15" t="s">
        <v>365</v>
      </c>
      <c r="B15" t="s">
        <v>1171</v>
      </c>
    </row>
    <row r="16" spans="1:4">
      <c r="A16" t="s">
        <v>1072</v>
      </c>
      <c r="B16" t="s">
        <v>1171</v>
      </c>
    </row>
    <row r="17" spans="1:4">
      <c r="A17" t="s">
        <v>1073</v>
      </c>
      <c r="B17" t="s">
        <v>1171</v>
      </c>
    </row>
    <row r="18" spans="1:4">
      <c r="A18" t="s">
        <v>1737</v>
      </c>
      <c r="B18" t="s">
        <v>1171</v>
      </c>
    </row>
    <row r="19" spans="1:4">
      <c r="A19" t="s">
        <v>147</v>
      </c>
      <c r="B19" t="s">
        <v>1738</v>
      </c>
      <c r="C19">
        <v>1.90625</v>
      </c>
      <c r="D19">
        <v>0</v>
      </c>
    </row>
    <row r="20" spans="1:4">
      <c r="A20" t="s">
        <v>1739</v>
      </c>
      <c r="B20" t="s">
        <v>1735</v>
      </c>
      <c r="C20">
        <v>1.704048</v>
      </c>
      <c r="D20">
        <v>0</v>
      </c>
    </row>
    <row r="21" spans="1:4">
      <c r="A21" t="s">
        <v>1062</v>
      </c>
      <c r="B21" t="s">
        <v>1175</v>
      </c>
      <c r="C21">
        <v>0</v>
      </c>
      <c r="D21">
        <v>0.0939</v>
      </c>
    </row>
    <row r="22" spans="1:4">
      <c r="A22" t="s">
        <v>83</v>
      </c>
      <c r="B22" t="s">
        <v>1740</v>
      </c>
      <c r="C22">
        <v>1.9322917</v>
      </c>
      <c r="D22">
        <v>0</v>
      </c>
    </row>
    <row r="23" spans="1:4">
      <c r="A23" t="s">
        <v>1074</v>
      </c>
      <c r="B23" t="s">
        <v>1175</v>
      </c>
      <c r="C23">
        <v>0</v>
      </c>
      <c r="D23">
        <v>0.4294836</v>
      </c>
    </row>
    <row r="24" spans="1:4">
      <c r="A24" t="s">
        <v>925</v>
      </c>
      <c r="B24" t="s">
        <v>1741</v>
      </c>
      <c r="C24">
        <v>1.4679062</v>
      </c>
      <c r="D24">
        <v>0</v>
      </c>
    </row>
    <row r="25" spans="1:4">
      <c r="A25" t="s">
        <v>1075</v>
      </c>
      <c r="B25" t="s">
        <v>1731</v>
      </c>
      <c r="C25">
        <v>0.3385417</v>
      </c>
      <c r="D25">
        <v>0</v>
      </c>
    </row>
    <row r="26" spans="1:4">
      <c r="A26" t="s">
        <v>893</v>
      </c>
      <c r="B26" t="s">
        <v>1742</v>
      </c>
      <c r="C26">
        <v>0</v>
      </c>
      <c r="D26">
        <v>0</v>
      </c>
    </row>
    <row r="27" spans="1:4">
      <c r="A27" t="s">
        <v>1743</v>
      </c>
      <c r="B27" t="s">
        <v>1744</v>
      </c>
      <c r="C27">
        <v>1.40625</v>
      </c>
      <c r="D27">
        <v>0</v>
      </c>
    </row>
    <row r="28" spans="1:4">
      <c r="A28" t="s">
        <v>1745</v>
      </c>
      <c r="B28" t="s">
        <v>1746</v>
      </c>
      <c r="C28">
        <v>0.2708333</v>
      </c>
      <c r="D28">
        <v>0</v>
      </c>
    </row>
    <row r="29" spans="1:4">
      <c r="A29" t="s">
        <v>969</v>
      </c>
      <c r="B29" t="s">
        <v>1744</v>
      </c>
      <c r="C29">
        <v>0.359375</v>
      </c>
      <c r="D29">
        <v>0</v>
      </c>
    </row>
    <row r="30" spans="1:4">
      <c r="A30" t="s">
        <v>971</v>
      </c>
      <c r="B30" t="s">
        <v>1744</v>
      </c>
      <c r="C30">
        <v>2.09375</v>
      </c>
      <c r="D30">
        <v>0</v>
      </c>
    </row>
    <row r="31" spans="1:4">
      <c r="A31" t="s">
        <v>973</v>
      </c>
      <c r="B31" t="s">
        <v>1744</v>
      </c>
      <c r="C31">
        <v>3.1145833</v>
      </c>
      <c r="D31">
        <v>0</v>
      </c>
    </row>
    <row r="32" spans="1:4">
      <c r="A32" t="s">
        <v>975</v>
      </c>
      <c r="B32" t="s">
        <v>1744</v>
      </c>
      <c r="C32">
        <v>0.8385417</v>
      </c>
      <c r="D32">
        <v>0</v>
      </c>
    </row>
    <row r="33" spans="1:4">
      <c r="A33" t="s">
        <v>75</v>
      </c>
      <c r="B33" t="s">
        <v>1171</v>
      </c>
    </row>
    <row r="34" spans="1:4">
      <c r="A34" t="s">
        <v>871</v>
      </c>
      <c r="B34" t="s">
        <v>1727</v>
      </c>
      <c r="C34">
        <v>0.8645833</v>
      </c>
      <c r="D34">
        <v>0</v>
      </c>
    </row>
    <row r="35" spans="1:4">
      <c r="A35" t="s">
        <v>1081</v>
      </c>
      <c r="B35" t="s">
        <v>1171</v>
      </c>
    </row>
    <row r="36" spans="1:4">
      <c r="A36" t="s">
        <v>1082</v>
      </c>
      <c r="B36" t="s">
        <v>1171</v>
      </c>
    </row>
    <row r="37" spans="1:4">
      <c r="A37" t="s">
        <v>623</v>
      </c>
      <c r="B37" t="s">
        <v>1702</v>
      </c>
      <c r="C37">
        <v>1.9739583</v>
      </c>
      <c r="D37">
        <v>1.26</v>
      </c>
    </row>
    <row r="38" spans="1:4">
      <c r="A38" t="s">
        <v>943</v>
      </c>
      <c r="B38" t="s">
        <v>1747</v>
      </c>
      <c r="C38">
        <v>0.33</v>
      </c>
      <c r="D38">
        <v>0</v>
      </c>
    </row>
    <row r="39" spans="1:4">
      <c r="A39" t="s">
        <v>947</v>
      </c>
      <c r="B39" t="s">
        <v>1702</v>
      </c>
      <c r="C39">
        <v>0.9010417</v>
      </c>
      <c r="D39">
        <v>0.62</v>
      </c>
    </row>
    <row r="40" spans="1:4">
      <c r="A40" t="s">
        <v>627</v>
      </c>
      <c r="B40" t="s">
        <v>1702</v>
      </c>
      <c r="C40">
        <v>4.1927083</v>
      </c>
      <c r="D40">
        <v>2.89</v>
      </c>
    </row>
    <row r="41" spans="1:4">
      <c r="A41" t="s">
        <v>630</v>
      </c>
      <c r="B41" t="s">
        <v>1702</v>
      </c>
      <c r="C41">
        <v>3.4427083</v>
      </c>
      <c r="D41">
        <v>0</v>
      </c>
    </row>
    <row r="42" spans="1:4">
      <c r="A42" t="s">
        <v>636</v>
      </c>
      <c r="B42" t="s">
        <v>1702</v>
      </c>
      <c r="C42">
        <v>1.2</v>
      </c>
      <c r="D42">
        <v>0</v>
      </c>
    </row>
    <row r="43" spans="1:4">
      <c r="A43" t="s">
        <v>960</v>
      </c>
      <c r="B43" t="s">
        <v>1175</v>
      </c>
      <c r="C43">
        <v>1.5</v>
      </c>
      <c r="D43">
        <v>0</v>
      </c>
    </row>
    <row r="44" spans="1:4">
      <c r="A44" t="s">
        <v>962</v>
      </c>
      <c r="B44" t="s">
        <v>1175</v>
      </c>
      <c r="C44">
        <v>3.03125</v>
      </c>
      <c r="D44">
        <v>0</v>
      </c>
    </row>
    <row r="45" spans="1:4">
      <c r="A45" t="s">
        <v>901</v>
      </c>
      <c r="B45" t="s">
        <v>1702</v>
      </c>
      <c r="C45">
        <v>2.7916667</v>
      </c>
      <c r="D45">
        <v>0</v>
      </c>
    </row>
    <row r="46" spans="1:4">
      <c r="A46" t="s">
        <v>642</v>
      </c>
      <c r="B46" t="s">
        <v>1702</v>
      </c>
      <c r="C46">
        <v>0.640625</v>
      </c>
      <c r="D46">
        <v>0</v>
      </c>
    </row>
    <row r="47" spans="1:4">
      <c r="A47" t="s">
        <v>946</v>
      </c>
      <c r="B47" t="s">
        <v>1748</v>
      </c>
      <c r="C47">
        <v>5.171875</v>
      </c>
      <c r="D47">
        <v>0</v>
      </c>
    </row>
    <row r="48" spans="1:4">
      <c r="A48" t="s">
        <v>903</v>
      </c>
      <c r="B48" t="s">
        <v>1702</v>
      </c>
      <c r="C48">
        <v>2.5104167</v>
      </c>
      <c r="D48">
        <v>0</v>
      </c>
    </row>
    <row r="49" spans="1:4">
      <c r="A49" t="s">
        <v>1749</v>
      </c>
      <c r="B49" t="s">
        <v>1702</v>
      </c>
      <c r="C49">
        <v>4.7708333</v>
      </c>
      <c r="D49">
        <v>0</v>
      </c>
    </row>
    <row r="50" spans="1:4">
      <c r="A50" t="s">
        <v>905</v>
      </c>
      <c r="B50" t="s">
        <v>1702</v>
      </c>
      <c r="C50">
        <v>4.625</v>
      </c>
      <c r="D50">
        <v>0</v>
      </c>
    </row>
    <row r="51" spans="1:4">
      <c r="A51" t="s">
        <v>632</v>
      </c>
      <c r="B51" t="s">
        <v>1702</v>
      </c>
      <c r="C51">
        <v>4.45</v>
      </c>
      <c r="D51">
        <v>0</v>
      </c>
    </row>
    <row r="52" spans="1:4">
      <c r="A52" t="s">
        <v>909</v>
      </c>
      <c r="B52" t="s">
        <v>1702</v>
      </c>
      <c r="C52">
        <v>0.484375</v>
      </c>
      <c r="D52">
        <v>0</v>
      </c>
    </row>
    <row r="53" spans="1:4">
      <c r="A53" t="s">
        <v>896</v>
      </c>
      <c r="B53" t="s">
        <v>1171</v>
      </c>
    </row>
    <row r="54" spans="1:4">
      <c r="A54" t="s">
        <v>957</v>
      </c>
      <c r="B54" t="s">
        <v>1702</v>
      </c>
      <c r="C54">
        <v>0.6041667</v>
      </c>
      <c r="D54">
        <v>0</v>
      </c>
    </row>
    <row r="55" spans="1:4">
      <c r="A55" t="s">
        <v>1750</v>
      </c>
      <c r="B55" t="s">
        <v>1175</v>
      </c>
      <c r="C55">
        <v>0</v>
      </c>
      <c r="D55">
        <v>0.09384</v>
      </c>
    </row>
    <row r="56" spans="1:4">
      <c r="A56" t="s">
        <v>1751</v>
      </c>
      <c r="B56" t="s">
        <v>1175</v>
      </c>
      <c r="C56">
        <v>0</v>
      </c>
      <c r="D56">
        <v>0.2337</v>
      </c>
    </row>
    <row r="57" spans="1:4">
      <c r="A57" t="s">
        <v>1752</v>
      </c>
      <c r="B57" t="s">
        <v>1175</v>
      </c>
      <c r="C57">
        <v>0</v>
      </c>
      <c r="D57">
        <v>0.30016</v>
      </c>
    </row>
    <row r="58" spans="1:4">
      <c r="A58" t="s">
        <v>1753</v>
      </c>
      <c r="B58" t="s">
        <v>1175</v>
      </c>
      <c r="C58">
        <v>0</v>
      </c>
      <c r="D58">
        <v>0.3708</v>
      </c>
    </row>
    <row r="59" spans="1:4">
      <c r="A59" t="s">
        <v>1754</v>
      </c>
      <c r="B59" t="s">
        <v>1175</v>
      </c>
      <c r="C59">
        <v>0</v>
      </c>
      <c r="D59">
        <v>0.624</v>
      </c>
    </row>
    <row r="60" spans="1:4">
      <c r="A60" t="s">
        <v>81</v>
      </c>
      <c r="B60" t="s">
        <v>1755</v>
      </c>
      <c r="C60">
        <v>1.0729167</v>
      </c>
      <c r="D60">
        <v>0</v>
      </c>
    </row>
    <row r="61" spans="1:4">
      <c r="A61" t="s">
        <v>1171</v>
      </c>
    </row>
  </sheetData>
  <pageMargins left="0.7" right="0.7" top="0.75" bottom="0.75" header="0.3" footer="0.3"/>
  <headerFooter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3"/>
  <dimension ref="A1:P169"/>
  <sheetViews>
    <sheetView workbookViewId="0">
      <selection activeCell="A1" sqref="A1:P169"/>
    </sheetView>
  </sheetViews>
  <sheetFormatPr defaultColWidth="9" defaultRowHeight="13.5"/>
  <cols>
    <col min="1" max="1" width="13" customWidth="1"/>
    <col min="2" max="2" width="12.75" customWidth="1"/>
    <col min="3" max="7" width="11.625" customWidth="1"/>
    <col min="8" max="8" width="12.75" customWidth="1"/>
    <col min="9" max="9" width="11.625" customWidth="1"/>
    <col min="10" max="16" width="12.75" customWidth="1"/>
  </cols>
  <sheetData>
    <row r="1" spans="1:16">
      <c r="A1" t="s">
        <v>1166</v>
      </c>
      <c r="B1" t="s">
        <v>1692</v>
      </c>
      <c r="C1" t="s">
        <v>1693</v>
      </c>
      <c r="D1" t="s">
        <v>1694</v>
      </c>
      <c r="E1" t="s">
        <v>1695</v>
      </c>
      <c r="F1" t="s">
        <v>1696</v>
      </c>
      <c r="G1" t="s">
        <v>1697</v>
      </c>
      <c r="H1" t="s">
        <v>1698</v>
      </c>
      <c r="I1" t="s">
        <v>1699</v>
      </c>
      <c r="J1" t="s">
        <v>1700</v>
      </c>
      <c r="K1" t="s">
        <v>1756</v>
      </c>
      <c r="L1" t="s">
        <v>1757</v>
      </c>
      <c r="M1" t="s">
        <v>1758</v>
      </c>
      <c r="N1" t="s">
        <v>1759</v>
      </c>
      <c r="O1" t="s">
        <v>1760</v>
      </c>
      <c r="P1" t="s">
        <v>1761</v>
      </c>
    </row>
    <row r="3" spans="1:16">
      <c r="A3" t="s">
        <v>7</v>
      </c>
      <c r="B3" t="s">
        <v>1762</v>
      </c>
      <c r="C3" t="s">
        <v>1763</v>
      </c>
    </row>
    <row r="4" spans="1:16">
      <c r="A4" t="s">
        <v>720</v>
      </c>
      <c r="B4" t="s">
        <v>1764</v>
      </c>
      <c r="C4" t="s">
        <v>1765</v>
      </c>
    </row>
    <row r="5" spans="1:16">
      <c r="A5" t="s">
        <v>723</v>
      </c>
      <c r="B5" t="s">
        <v>1766</v>
      </c>
      <c r="C5" t="s">
        <v>1767</v>
      </c>
    </row>
    <row r="6" spans="1:16">
      <c r="A6" t="s">
        <v>726</v>
      </c>
      <c r="B6" t="s">
        <v>1768</v>
      </c>
      <c r="C6" t="s">
        <v>1769</v>
      </c>
    </row>
    <row r="7" spans="1:16">
      <c r="A7" t="s">
        <v>729</v>
      </c>
      <c r="B7" t="s">
        <v>1770</v>
      </c>
      <c r="C7" t="s">
        <v>1771</v>
      </c>
    </row>
    <row r="8" spans="1:16">
      <c r="A8" t="s">
        <v>731</v>
      </c>
      <c r="B8" t="s">
        <v>1772</v>
      </c>
      <c r="C8" t="s">
        <v>1773</v>
      </c>
    </row>
    <row r="10" spans="1:16">
      <c r="A10" t="s">
        <v>736</v>
      </c>
      <c r="B10" t="s">
        <v>1774</v>
      </c>
    </row>
    <row r="11" spans="1:16">
      <c r="A11" t="s">
        <v>739</v>
      </c>
      <c r="B11" t="s">
        <v>1775</v>
      </c>
    </row>
    <row r="13" spans="1:16">
      <c r="A13" t="s">
        <v>743</v>
      </c>
      <c r="B13" t="s">
        <v>1776</v>
      </c>
    </row>
    <row r="14" spans="1:16">
      <c r="A14" t="s">
        <v>746</v>
      </c>
      <c r="B14" t="s">
        <v>1777</v>
      </c>
    </row>
    <row r="16" spans="1:16">
      <c r="A16" t="s">
        <v>750</v>
      </c>
      <c r="B16" t="s">
        <v>1778</v>
      </c>
    </row>
    <row r="17" spans="1:2">
      <c r="A17" t="s">
        <v>754</v>
      </c>
      <c r="B17" t="s">
        <v>1779</v>
      </c>
    </row>
    <row r="18" spans="1:2">
      <c r="A18" t="s">
        <v>759</v>
      </c>
      <c r="B18" t="s">
        <v>1780</v>
      </c>
    </row>
    <row r="19" spans="1:2">
      <c r="A19" t="s">
        <v>762</v>
      </c>
      <c r="B19" t="s">
        <v>1781</v>
      </c>
    </row>
    <row r="21" spans="1:2">
      <c r="A21" t="s">
        <v>767</v>
      </c>
      <c r="B21" t="s">
        <v>1782</v>
      </c>
    </row>
    <row r="22" spans="1:2">
      <c r="A22" t="s">
        <v>769</v>
      </c>
      <c r="B22" t="s">
        <v>1783</v>
      </c>
    </row>
    <row r="23" spans="1:2">
      <c r="A23" t="s">
        <v>771</v>
      </c>
      <c r="B23" t="s">
        <v>1784</v>
      </c>
    </row>
    <row r="24" spans="1:2">
      <c r="A24" t="s">
        <v>774</v>
      </c>
      <c r="B24" t="s">
        <v>1785</v>
      </c>
    </row>
    <row r="26" spans="1:2">
      <c r="A26" t="s">
        <v>778</v>
      </c>
      <c r="B26" t="s">
        <v>1786</v>
      </c>
    </row>
    <row r="27" spans="1:2">
      <c r="A27" t="s">
        <v>781</v>
      </c>
      <c r="B27" t="s">
        <v>1787</v>
      </c>
    </row>
    <row r="29" spans="1:2">
      <c r="A29" t="s">
        <v>6</v>
      </c>
      <c r="B29" t="s">
        <v>1788</v>
      </c>
    </row>
    <row r="30" spans="1:2">
      <c r="A30" t="s">
        <v>5</v>
      </c>
      <c r="B30" t="s">
        <v>1789</v>
      </c>
    </row>
    <row r="31" spans="1:2">
      <c r="A31" t="s">
        <v>15</v>
      </c>
      <c r="B31" t="s">
        <v>1790</v>
      </c>
    </row>
    <row r="33" spans="1:4">
      <c r="A33" t="s">
        <v>714</v>
      </c>
      <c r="B33" t="s">
        <v>20</v>
      </c>
      <c r="C33" t="s">
        <v>1171</v>
      </c>
      <c r="D33" t="s">
        <v>686</v>
      </c>
    </row>
    <row r="34" spans="1:4">
      <c r="A34" t="s">
        <v>47</v>
      </c>
      <c r="B34" t="s">
        <v>1791</v>
      </c>
      <c r="C34" t="s">
        <v>1171</v>
      </c>
      <c r="D34" t="s">
        <v>1792</v>
      </c>
    </row>
    <row r="35" spans="1:4">
      <c r="A35" t="s">
        <v>91</v>
      </c>
      <c r="B35" t="s">
        <v>1793</v>
      </c>
      <c r="C35" t="s">
        <v>1171</v>
      </c>
      <c r="D35" t="s">
        <v>1794</v>
      </c>
    </row>
    <row r="36" spans="1:4">
      <c r="A36" t="s">
        <v>98</v>
      </c>
      <c r="B36" t="s">
        <v>1795</v>
      </c>
      <c r="C36" t="s">
        <v>1171</v>
      </c>
      <c r="D36" t="s">
        <v>1796</v>
      </c>
    </row>
    <row r="37" spans="1:4">
      <c r="A37" t="s">
        <v>42</v>
      </c>
      <c r="B37" t="s">
        <v>1795</v>
      </c>
    </row>
    <row r="38" spans="1:4">
      <c r="A38" t="s">
        <v>32</v>
      </c>
      <c r="B38" t="s">
        <v>1795</v>
      </c>
    </row>
    <row r="39" spans="1:4">
      <c r="A39" t="s">
        <v>37</v>
      </c>
      <c r="B39" t="s">
        <v>1795</v>
      </c>
    </row>
    <row r="40" spans="1:4">
      <c r="A40" t="s">
        <v>110</v>
      </c>
      <c r="B40" t="s">
        <v>1795</v>
      </c>
    </row>
    <row r="41" spans="1:4">
      <c r="A41" t="s">
        <v>145</v>
      </c>
      <c r="B41" t="s">
        <v>1797</v>
      </c>
    </row>
    <row r="42" spans="1:4">
      <c r="A42" t="s">
        <v>29</v>
      </c>
      <c r="B42" t="s">
        <v>1798</v>
      </c>
    </row>
    <row r="44" spans="1:4">
      <c r="A44" t="s">
        <v>590</v>
      </c>
      <c r="B44" t="s">
        <v>20</v>
      </c>
    </row>
    <row r="45" spans="1:4">
      <c r="A45" t="s">
        <v>597</v>
      </c>
      <c r="B45" t="s">
        <v>1799</v>
      </c>
    </row>
    <row r="46" spans="1:4">
      <c r="A46" t="s">
        <v>600</v>
      </c>
      <c r="B46" t="s">
        <v>1796</v>
      </c>
      <c r="C46" t="s">
        <v>1171</v>
      </c>
    </row>
    <row r="47" spans="1:4">
      <c r="A47" t="s">
        <v>250</v>
      </c>
      <c r="B47" t="s">
        <v>1800</v>
      </c>
      <c r="C47" t="s">
        <v>1171</v>
      </c>
    </row>
    <row r="48" spans="1:4">
      <c r="A48" t="s">
        <v>606</v>
      </c>
      <c r="B48" t="s">
        <v>1801</v>
      </c>
    </row>
    <row r="50" spans="1:4">
      <c r="A50" t="s">
        <v>732</v>
      </c>
      <c r="B50" t="s">
        <v>1802</v>
      </c>
    </row>
    <row r="51" spans="1:4">
      <c r="A51" t="s">
        <v>1171</v>
      </c>
      <c r="B51" t="s">
        <v>1171</v>
      </c>
    </row>
    <row r="52" spans="1:4">
      <c r="A52" t="s">
        <v>1171</v>
      </c>
      <c r="B52" t="s">
        <v>1171</v>
      </c>
    </row>
    <row r="54" spans="1:4">
      <c r="A54" t="s">
        <v>741</v>
      </c>
      <c r="B54" t="s">
        <v>1171</v>
      </c>
    </row>
    <row r="55" spans="1:4">
      <c r="A55" t="s">
        <v>110</v>
      </c>
      <c r="B55" t="s">
        <v>1803</v>
      </c>
    </row>
    <row r="56" spans="1:4">
      <c r="A56" t="s">
        <v>37</v>
      </c>
      <c r="B56" t="s">
        <v>1804</v>
      </c>
    </row>
    <row r="58" spans="1:4">
      <c r="A58" t="s">
        <v>752</v>
      </c>
      <c r="B58" t="s">
        <v>1805</v>
      </c>
      <c r="C58" t="s">
        <v>1806</v>
      </c>
      <c r="D58" t="s">
        <v>1807</v>
      </c>
    </row>
    <row r="59" spans="1:4">
      <c r="A59" t="s">
        <v>756</v>
      </c>
      <c r="B59" t="s">
        <v>1808</v>
      </c>
      <c r="C59" t="s">
        <v>1809</v>
      </c>
      <c r="D59" t="s">
        <v>1810</v>
      </c>
    </row>
    <row r="60" spans="1:4">
      <c r="A60" t="s">
        <v>760</v>
      </c>
      <c r="B60" t="s">
        <v>1811</v>
      </c>
      <c r="C60" t="s">
        <v>1812</v>
      </c>
      <c r="D60" t="s">
        <v>1813</v>
      </c>
    </row>
    <row r="61" spans="1:4">
      <c r="A61" t="s">
        <v>763</v>
      </c>
      <c r="B61" t="s">
        <v>1814</v>
      </c>
      <c r="C61" t="s">
        <v>1815</v>
      </c>
      <c r="D61" t="s">
        <v>1816</v>
      </c>
    </row>
    <row r="62" spans="1:4">
      <c r="A62" t="s">
        <v>765</v>
      </c>
      <c r="B62" t="s">
        <v>1817</v>
      </c>
      <c r="C62" t="s">
        <v>1818</v>
      </c>
      <c r="D62" t="s">
        <v>1819</v>
      </c>
    </row>
    <row r="63" spans="1:4">
      <c r="A63" t="s">
        <v>768</v>
      </c>
      <c r="B63" t="s">
        <v>1820</v>
      </c>
      <c r="C63" t="s">
        <v>1821</v>
      </c>
      <c r="D63" t="s">
        <v>1822</v>
      </c>
    </row>
    <row r="64" spans="1:4">
      <c r="A64" t="s">
        <v>770</v>
      </c>
      <c r="B64" t="s">
        <v>1823</v>
      </c>
      <c r="C64" t="s">
        <v>1824</v>
      </c>
      <c r="D64" t="s">
        <v>1825</v>
      </c>
    </row>
    <row r="65" spans="1:4">
      <c r="A65" t="s">
        <v>772</v>
      </c>
      <c r="B65" t="s">
        <v>1826</v>
      </c>
      <c r="C65" t="s">
        <v>1827</v>
      </c>
      <c r="D65" t="s">
        <v>1828</v>
      </c>
    </row>
    <row r="67" spans="1:4">
      <c r="A67" t="s">
        <v>776</v>
      </c>
      <c r="B67" t="s">
        <v>1829</v>
      </c>
      <c r="C67" t="s">
        <v>1830</v>
      </c>
      <c r="D67" t="s">
        <v>1831</v>
      </c>
    </row>
    <row r="68" spans="1:4">
      <c r="A68" t="s">
        <v>779</v>
      </c>
      <c r="B68" t="s">
        <v>1832</v>
      </c>
      <c r="C68" t="s">
        <v>1833</v>
      </c>
    </row>
    <row r="69" spans="1:4">
      <c r="A69" t="s">
        <v>782</v>
      </c>
      <c r="B69" t="s">
        <v>1834</v>
      </c>
      <c r="C69" t="s">
        <v>1835</v>
      </c>
    </row>
    <row r="71" spans="1:4">
      <c r="A71" t="s">
        <v>40</v>
      </c>
      <c r="B71" t="s">
        <v>1836</v>
      </c>
      <c r="C71" t="s">
        <v>1836</v>
      </c>
    </row>
    <row r="72" spans="1:4">
      <c r="A72" t="s">
        <v>48</v>
      </c>
      <c r="B72" t="s">
        <v>1837</v>
      </c>
      <c r="C72" t="s">
        <v>1837</v>
      </c>
    </row>
    <row r="73" spans="1:4">
      <c r="A73" t="s">
        <v>61</v>
      </c>
      <c r="B73" t="s">
        <v>1838</v>
      </c>
      <c r="C73" t="s">
        <v>1838</v>
      </c>
      <c r="D73" t="s">
        <v>1838</v>
      </c>
    </row>
    <row r="75" spans="1:4">
      <c r="A75" t="s">
        <v>790</v>
      </c>
      <c r="B75" t="s">
        <v>1839</v>
      </c>
    </row>
    <row r="76" spans="1:4">
      <c r="A76" t="s">
        <v>791</v>
      </c>
      <c r="B76" t="s">
        <v>1824</v>
      </c>
    </row>
    <row r="79" spans="1:4">
      <c r="A79" t="s">
        <v>592</v>
      </c>
      <c r="B79" t="s">
        <v>20</v>
      </c>
    </row>
    <row r="80" spans="1:4">
      <c r="A80" t="s">
        <v>1840</v>
      </c>
      <c r="B80" t="s">
        <v>1841</v>
      </c>
    </row>
    <row r="81" spans="1:11">
      <c r="A81" t="s">
        <v>718</v>
      </c>
      <c r="B81" t="s">
        <v>1842</v>
      </c>
    </row>
    <row r="82" spans="1:11">
      <c r="A82" t="s">
        <v>1843</v>
      </c>
      <c r="B82" t="s">
        <v>1841</v>
      </c>
    </row>
    <row r="83" spans="1:11">
      <c r="A83" t="s">
        <v>724</v>
      </c>
      <c r="B83" t="s">
        <v>1842</v>
      </c>
    </row>
    <row r="84" spans="1:11">
      <c r="A84" t="s">
        <v>1844</v>
      </c>
      <c r="B84" t="s">
        <v>1845</v>
      </c>
    </row>
    <row r="85" spans="1:11">
      <c r="A85" t="s">
        <v>1846</v>
      </c>
      <c r="B85" t="s">
        <v>1847</v>
      </c>
    </row>
    <row r="87" spans="1:11">
      <c r="A87" t="s">
        <v>734</v>
      </c>
      <c r="B87" t="s">
        <v>1171</v>
      </c>
      <c r="C87" t="s">
        <v>1171</v>
      </c>
      <c r="D87" t="s">
        <v>1171</v>
      </c>
      <c r="E87" t="s">
        <v>1171</v>
      </c>
      <c r="F87" t="s">
        <v>1848</v>
      </c>
      <c r="G87" t="s">
        <v>1171</v>
      </c>
    </row>
    <row r="88" spans="1:11">
      <c r="A88" t="s">
        <v>737</v>
      </c>
      <c r="B88" t="s">
        <v>1849</v>
      </c>
      <c r="C88" t="s">
        <v>1850</v>
      </c>
      <c r="D88" t="s">
        <v>1851</v>
      </c>
      <c r="E88" t="s">
        <v>1171</v>
      </c>
      <c r="F88" t="s">
        <v>1852</v>
      </c>
      <c r="G88" t="s">
        <v>1171</v>
      </c>
    </row>
    <row r="89" spans="1:11">
      <c r="A89" t="s">
        <v>29</v>
      </c>
      <c r="B89" t="s">
        <v>1853</v>
      </c>
      <c r="C89" t="s">
        <v>1171</v>
      </c>
    </row>
    <row r="90" spans="1:11">
      <c r="A90" t="s">
        <v>25</v>
      </c>
      <c r="B90" t="s">
        <v>1854</v>
      </c>
      <c r="C90" t="s">
        <v>1855</v>
      </c>
    </row>
    <row r="91" spans="1:11">
      <c r="A91" t="s">
        <v>30</v>
      </c>
      <c r="B91" t="s">
        <v>1856</v>
      </c>
      <c r="C91" t="s">
        <v>1857</v>
      </c>
    </row>
    <row r="92" spans="1:11">
      <c r="A92" t="s">
        <v>789</v>
      </c>
      <c r="B92" t="s">
        <v>1858</v>
      </c>
      <c r="C92" t="s">
        <v>1859</v>
      </c>
    </row>
    <row r="94" spans="1:11">
      <c r="A94" t="s">
        <v>126</v>
      </c>
      <c r="B94" t="s">
        <v>91</v>
      </c>
      <c r="C94" t="s">
        <v>47</v>
      </c>
      <c r="D94" t="s">
        <v>98</v>
      </c>
      <c r="E94" t="s">
        <v>42</v>
      </c>
      <c r="F94" t="s">
        <v>32</v>
      </c>
      <c r="G94" t="s">
        <v>24</v>
      </c>
      <c r="H94" t="s">
        <v>110</v>
      </c>
      <c r="I94" t="s">
        <v>37</v>
      </c>
      <c r="J94" t="s">
        <v>582</v>
      </c>
      <c r="K94" t="s">
        <v>716</v>
      </c>
    </row>
    <row r="95" spans="1:11">
      <c r="A95" t="s">
        <v>1860</v>
      </c>
      <c r="B95" t="s">
        <v>1755</v>
      </c>
      <c r="C95" t="s">
        <v>1861</v>
      </c>
      <c r="D95" t="s">
        <v>1862</v>
      </c>
      <c r="E95" t="s">
        <v>1862</v>
      </c>
      <c r="F95" t="s">
        <v>1862</v>
      </c>
      <c r="G95" t="s">
        <v>1175</v>
      </c>
      <c r="H95" t="s">
        <v>1862</v>
      </c>
      <c r="I95" t="s">
        <v>1862</v>
      </c>
      <c r="J95" t="s">
        <v>1863</v>
      </c>
    </row>
    <row r="96" spans="1:11">
      <c r="A96" t="s">
        <v>1864</v>
      </c>
      <c r="B96" t="s">
        <v>1865</v>
      </c>
      <c r="C96" t="s">
        <v>1866</v>
      </c>
      <c r="D96" t="s">
        <v>1797</v>
      </c>
      <c r="E96" t="s">
        <v>1797</v>
      </c>
      <c r="F96" t="s">
        <v>1797</v>
      </c>
      <c r="G96" t="s">
        <v>1175</v>
      </c>
      <c r="H96" t="s">
        <v>1797</v>
      </c>
      <c r="I96" t="s">
        <v>1797</v>
      </c>
      <c r="J96" t="s">
        <v>1867</v>
      </c>
    </row>
    <row r="97" spans="1:10">
      <c r="A97" t="s">
        <v>1868</v>
      </c>
      <c r="B97" t="s">
        <v>1869</v>
      </c>
      <c r="C97" t="s">
        <v>1870</v>
      </c>
      <c r="D97" t="s">
        <v>1871</v>
      </c>
      <c r="E97" t="s">
        <v>1871</v>
      </c>
      <c r="F97" t="s">
        <v>1871</v>
      </c>
      <c r="G97" t="s">
        <v>1175</v>
      </c>
      <c r="H97" t="s">
        <v>1871</v>
      </c>
      <c r="I97" t="s">
        <v>1871</v>
      </c>
      <c r="J97" t="s">
        <v>1872</v>
      </c>
    </row>
    <row r="102" spans="1:10">
      <c r="A102" t="s">
        <v>26</v>
      </c>
      <c r="B102" t="s">
        <v>91</v>
      </c>
      <c r="C102" t="s">
        <v>47</v>
      </c>
      <c r="D102" t="s">
        <v>98</v>
      </c>
      <c r="E102" t="s">
        <v>42</v>
      </c>
      <c r="F102" t="s">
        <v>32</v>
      </c>
      <c r="G102" t="s">
        <v>24</v>
      </c>
      <c r="H102" t="s">
        <v>110</v>
      </c>
      <c r="I102" t="s">
        <v>37</v>
      </c>
    </row>
    <row r="103" spans="1:10">
      <c r="A103" t="s">
        <v>31</v>
      </c>
      <c r="B103" t="s">
        <v>1873</v>
      </c>
      <c r="C103" t="s">
        <v>1874</v>
      </c>
      <c r="D103" t="s">
        <v>1875</v>
      </c>
      <c r="E103" t="s">
        <v>1875</v>
      </c>
      <c r="F103" t="s">
        <v>1875</v>
      </c>
      <c r="G103" t="s">
        <v>1875</v>
      </c>
      <c r="H103" t="s">
        <v>1875</v>
      </c>
      <c r="I103" t="s">
        <v>1875</v>
      </c>
    </row>
    <row r="104" spans="1:10">
      <c r="A104" t="s">
        <v>36</v>
      </c>
      <c r="B104" t="s">
        <v>1175</v>
      </c>
      <c r="C104" t="s">
        <v>1876</v>
      </c>
      <c r="D104" t="s">
        <v>1877</v>
      </c>
      <c r="E104" t="s">
        <v>1877</v>
      </c>
      <c r="F104" t="s">
        <v>1877</v>
      </c>
      <c r="G104" t="s">
        <v>1877</v>
      </c>
      <c r="H104" t="s">
        <v>1877</v>
      </c>
      <c r="I104" t="s">
        <v>1877</v>
      </c>
    </row>
    <row r="105" spans="1:10">
      <c r="A105" t="s">
        <v>41</v>
      </c>
      <c r="B105" t="s">
        <v>1175</v>
      </c>
      <c r="C105" t="s">
        <v>1878</v>
      </c>
      <c r="D105" t="s">
        <v>1879</v>
      </c>
      <c r="E105" t="s">
        <v>1879</v>
      </c>
      <c r="F105" t="s">
        <v>1879</v>
      </c>
      <c r="G105" t="s">
        <v>1879</v>
      </c>
      <c r="H105" t="s">
        <v>1879</v>
      </c>
      <c r="I105" t="s">
        <v>1879</v>
      </c>
    </row>
    <row r="108" spans="1:10">
      <c r="A108" t="s">
        <v>717</v>
      </c>
      <c r="B108" t="s">
        <v>1171</v>
      </c>
    </row>
    <row r="109" spans="1:10">
      <c r="A109" t="s">
        <v>719</v>
      </c>
      <c r="B109" t="s">
        <v>1880</v>
      </c>
    </row>
    <row r="110" spans="1:10">
      <c r="A110" t="s">
        <v>722</v>
      </c>
      <c r="B110" t="s">
        <v>1881</v>
      </c>
    </row>
    <row r="111" spans="1:10">
      <c r="A111" t="s">
        <v>725</v>
      </c>
      <c r="B111" t="s">
        <v>1882</v>
      </c>
    </row>
    <row r="112" spans="1:10">
      <c r="A112" t="s">
        <v>728</v>
      </c>
      <c r="B112" t="s">
        <v>1883</v>
      </c>
    </row>
    <row r="113" spans="1:2">
      <c r="A113" t="s">
        <v>730</v>
      </c>
      <c r="B113" t="s">
        <v>1884</v>
      </c>
    </row>
    <row r="114" spans="1:2">
      <c r="A114" t="s">
        <v>733</v>
      </c>
      <c r="B114" t="s">
        <v>1885</v>
      </c>
    </row>
    <row r="115" spans="1:2">
      <c r="A115" t="s">
        <v>735</v>
      </c>
      <c r="B115" t="s">
        <v>1886</v>
      </c>
    </row>
    <row r="116" spans="1:2">
      <c r="A116" t="s">
        <v>738</v>
      </c>
      <c r="B116" t="s">
        <v>1887</v>
      </c>
    </row>
    <row r="117" spans="1:2">
      <c r="A117" t="s">
        <v>740</v>
      </c>
      <c r="B117" t="s">
        <v>1888</v>
      </c>
    </row>
    <row r="118" spans="1:2">
      <c r="A118" t="s">
        <v>742</v>
      </c>
      <c r="B118" t="s">
        <v>1889</v>
      </c>
    </row>
    <row r="119" spans="1:2">
      <c r="A119" t="s">
        <v>745</v>
      </c>
      <c r="B119" t="s">
        <v>1890</v>
      </c>
    </row>
    <row r="120" spans="1:2">
      <c r="A120" t="s">
        <v>747</v>
      </c>
      <c r="B120" t="s">
        <v>1891</v>
      </c>
    </row>
    <row r="121" spans="1:2">
      <c r="A121" t="s">
        <v>749</v>
      </c>
      <c r="B121" t="s">
        <v>1892</v>
      </c>
    </row>
    <row r="122" spans="1:2">
      <c r="A122" t="s">
        <v>753</v>
      </c>
      <c r="B122" t="s">
        <v>1893</v>
      </c>
    </row>
    <row r="123" spans="1:2">
      <c r="A123" t="s">
        <v>1894</v>
      </c>
      <c r="B123" t="s">
        <v>1895</v>
      </c>
    </row>
    <row r="124" spans="1:2">
      <c r="A124" t="s">
        <v>1896</v>
      </c>
      <c r="B124" t="s">
        <v>1897</v>
      </c>
    </row>
    <row r="125" spans="1:2">
      <c r="A125" t="s">
        <v>1898</v>
      </c>
      <c r="B125" t="s">
        <v>1899</v>
      </c>
    </row>
    <row r="126" spans="1:2">
      <c r="A126" t="s">
        <v>761</v>
      </c>
      <c r="B126" t="s">
        <v>1702</v>
      </c>
    </row>
    <row r="127" spans="1:2">
      <c r="A127" t="s">
        <v>764</v>
      </c>
      <c r="B127" t="s">
        <v>1900</v>
      </c>
    </row>
    <row r="128" spans="1:2">
      <c r="A128" t="s">
        <v>766</v>
      </c>
      <c r="B128" t="s">
        <v>1901</v>
      </c>
    </row>
    <row r="129" spans="1:9">
      <c r="A129" t="s">
        <v>145</v>
      </c>
      <c r="B129" t="s">
        <v>1902</v>
      </c>
    </row>
    <row r="130" spans="1:9">
      <c r="A130" t="s">
        <v>1903</v>
      </c>
      <c r="B130" t="s">
        <v>1904</v>
      </c>
    </row>
    <row r="132" spans="1:9">
      <c r="A132" t="s">
        <v>19</v>
      </c>
      <c r="B132" t="s">
        <v>785</v>
      </c>
    </row>
    <row r="133" spans="1:9">
      <c r="A133" t="s">
        <v>98</v>
      </c>
      <c r="B133" t="s">
        <v>1905</v>
      </c>
    </row>
    <row r="134" spans="1:9">
      <c r="A134" t="s">
        <v>32</v>
      </c>
      <c r="B134" t="s">
        <v>1906</v>
      </c>
    </row>
    <row r="135" spans="1:9">
      <c r="A135" t="s">
        <v>42</v>
      </c>
      <c r="B135" t="s">
        <v>1907</v>
      </c>
    </row>
    <row r="136" spans="1:9">
      <c r="A136" t="s">
        <v>37</v>
      </c>
      <c r="B136" t="s">
        <v>1908</v>
      </c>
    </row>
    <row r="137" spans="1:9">
      <c r="A137" t="s">
        <v>24</v>
      </c>
      <c r="B137" t="s">
        <v>1909</v>
      </c>
    </row>
    <row r="139" spans="1:9">
      <c r="A139" t="s">
        <v>1910</v>
      </c>
      <c r="B139" t="s">
        <v>1911</v>
      </c>
      <c r="C139" t="s">
        <v>98</v>
      </c>
      <c r="D139" t="s">
        <v>42</v>
      </c>
      <c r="E139" t="s">
        <v>32</v>
      </c>
      <c r="F139" t="s">
        <v>110</v>
      </c>
      <c r="G139" t="s">
        <v>37</v>
      </c>
      <c r="H139" t="s">
        <v>1912</v>
      </c>
      <c r="I139" t="s">
        <v>1913</v>
      </c>
    </row>
    <row r="140" spans="1:9">
      <c r="A140" t="s">
        <v>787</v>
      </c>
      <c r="B140" t="s">
        <v>1175</v>
      </c>
      <c r="C140" t="s">
        <v>1914</v>
      </c>
      <c r="D140" t="s">
        <v>1915</v>
      </c>
      <c r="E140" t="s">
        <v>1175</v>
      </c>
      <c r="F140" t="s">
        <v>1175</v>
      </c>
      <c r="G140" t="s">
        <v>1175</v>
      </c>
      <c r="H140" t="s">
        <v>1175</v>
      </c>
      <c r="I140" t="s">
        <v>1175</v>
      </c>
    </row>
    <row r="141" spans="1:9">
      <c r="A141" t="s">
        <v>655</v>
      </c>
      <c r="B141" t="s">
        <v>1175</v>
      </c>
      <c r="C141" t="s">
        <v>1916</v>
      </c>
      <c r="D141" t="s">
        <v>1175</v>
      </c>
      <c r="E141" t="s">
        <v>1916</v>
      </c>
      <c r="F141" t="s">
        <v>1175</v>
      </c>
      <c r="G141" t="s">
        <v>1175</v>
      </c>
      <c r="H141" t="s">
        <v>1175</v>
      </c>
      <c r="I141" t="s">
        <v>1175</v>
      </c>
    </row>
    <row r="142" spans="1:9">
      <c r="A142" t="s">
        <v>656</v>
      </c>
      <c r="B142" t="s">
        <v>1917</v>
      </c>
      <c r="C142" t="s">
        <v>1175</v>
      </c>
      <c r="D142" t="s">
        <v>1175</v>
      </c>
      <c r="E142" t="s">
        <v>1175</v>
      </c>
      <c r="F142" t="s">
        <v>1175</v>
      </c>
      <c r="G142" t="s">
        <v>1175</v>
      </c>
      <c r="H142" t="s">
        <v>1175</v>
      </c>
      <c r="I142" t="s">
        <v>1175</v>
      </c>
    </row>
    <row r="143" spans="1:9">
      <c r="A143" t="s">
        <v>657</v>
      </c>
      <c r="B143" t="s">
        <v>1175</v>
      </c>
      <c r="C143" t="s">
        <v>1175</v>
      </c>
      <c r="D143" t="s">
        <v>1175</v>
      </c>
      <c r="E143" t="s">
        <v>1175</v>
      </c>
      <c r="F143" t="s">
        <v>1175</v>
      </c>
      <c r="G143" t="s">
        <v>1918</v>
      </c>
      <c r="H143" t="s">
        <v>1175</v>
      </c>
      <c r="I143" t="s">
        <v>1175</v>
      </c>
    </row>
    <row r="144" spans="1:9">
      <c r="A144" t="s">
        <v>659</v>
      </c>
      <c r="B144" t="s">
        <v>1175</v>
      </c>
      <c r="C144" t="s">
        <v>1919</v>
      </c>
      <c r="D144" t="s">
        <v>1175</v>
      </c>
      <c r="E144" t="s">
        <v>1175</v>
      </c>
      <c r="F144" t="s">
        <v>1175</v>
      </c>
      <c r="G144" t="s">
        <v>1175</v>
      </c>
      <c r="H144" t="s">
        <v>1920</v>
      </c>
      <c r="I144" t="s">
        <v>1175</v>
      </c>
    </row>
    <row r="145" spans="1:9">
      <c r="A145" t="s">
        <v>660</v>
      </c>
      <c r="B145" t="s">
        <v>1175</v>
      </c>
      <c r="C145" t="s">
        <v>1175</v>
      </c>
      <c r="D145" t="s">
        <v>1175</v>
      </c>
      <c r="E145" t="s">
        <v>1919</v>
      </c>
      <c r="F145" t="s">
        <v>1175</v>
      </c>
      <c r="G145" t="s">
        <v>1175</v>
      </c>
      <c r="H145" t="s">
        <v>1920</v>
      </c>
      <c r="I145" t="s">
        <v>1175</v>
      </c>
    </row>
    <row r="146" spans="1:9">
      <c r="A146" t="s">
        <v>654</v>
      </c>
      <c r="B146" t="s">
        <v>1175</v>
      </c>
      <c r="C146" t="s">
        <v>1175</v>
      </c>
      <c r="D146" t="s">
        <v>1175</v>
      </c>
      <c r="E146" t="s">
        <v>1175</v>
      </c>
      <c r="F146" t="s">
        <v>1175</v>
      </c>
      <c r="G146" t="s">
        <v>1175</v>
      </c>
      <c r="H146" t="s">
        <v>1175</v>
      </c>
      <c r="I146" t="s">
        <v>1921</v>
      </c>
    </row>
    <row r="147" spans="1:9">
      <c r="A147" t="s">
        <v>664</v>
      </c>
      <c r="B147" t="s">
        <v>1175</v>
      </c>
      <c r="C147" t="s">
        <v>1175</v>
      </c>
      <c r="D147" t="s">
        <v>1175</v>
      </c>
      <c r="E147" t="s">
        <v>1922</v>
      </c>
      <c r="F147" t="s">
        <v>1175</v>
      </c>
      <c r="G147" t="s">
        <v>1175</v>
      </c>
      <c r="H147" t="s">
        <v>1175</v>
      </c>
      <c r="I147" t="s">
        <v>1175</v>
      </c>
    </row>
    <row r="148" spans="1:9">
      <c r="A148" t="s">
        <v>662</v>
      </c>
      <c r="B148" t="s">
        <v>1175</v>
      </c>
      <c r="C148" t="s">
        <v>1922</v>
      </c>
      <c r="D148" t="s">
        <v>1175</v>
      </c>
      <c r="E148" t="s">
        <v>1175</v>
      </c>
      <c r="F148" t="s">
        <v>1175</v>
      </c>
      <c r="G148" t="s">
        <v>1175</v>
      </c>
      <c r="H148" t="s">
        <v>1175</v>
      </c>
      <c r="I148" t="s">
        <v>1175</v>
      </c>
    </row>
    <row r="149" spans="1:9">
      <c r="A149" t="s">
        <v>665</v>
      </c>
      <c r="B149" t="s">
        <v>1175</v>
      </c>
      <c r="C149" t="s">
        <v>1175</v>
      </c>
      <c r="D149" t="s">
        <v>1175</v>
      </c>
      <c r="E149" t="s">
        <v>1175</v>
      </c>
      <c r="F149" t="s">
        <v>1922</v>
      </c>
      <c r="G149" t="s">
        <v>1175</v>
      </c>
      <c r="H149" t="s">
        <v>1175</v>
      </c>
      <c r="I149" t="s">
        <v>1175</v>
      </c>
    </row>
    <row r="150" spans="1:9">
      <c r="A150" t="s">
        <v>667</v>
      </c>
      <c r="B150" t="s">
        <v>1175</v>
      </c>
      <c r="C150" t="s">
        <v>1175</v>
      </c>
      <c r="D150" t="s">
        <v>1175</v>
      </c>
      <c r="E150" t="s">
        <v>1175</v>
      </c>
      <c r="F150" t="s">
        <v>1175</v>
      </c>
      <c r="G150" t="s">
        <v>1175</v>
      </c>
      <c r="H150" t="s">
        <v>1175</v>
      </c>
      <c r="I150" t="s">
        <v>1923</v>
      </c>
    </row>
    <row r="151" spans="1:9">
      <c r="A151" t="s">
        <v>673</v>
      </c>
      <c r="B151" t="s">
        <v>1175</v>
      </c>
      <c r="C151" t="s">
        <v>1924</v>
      </c>
      <c r="D151" t="s">
        <v>1175</v>
      </c>
      <c r="E151" t="s">
        <v>1924</v>
      </c>
      <c r="F151" t="s">
        <v>1175</v>
      </c>
      <c r="G151" t="s">
        <v>1175</v>
      </c>
      <c r="H151" t="s">
        <v>1175</v>
      </c>
      <c r="I151" t="s">
        <v>1175</v>
      </c>
    </row>
    <row r="152" spans="1:9">
      <c r="A152" t="s">
        <v>1925</v>
      </c>
      <c r="B152" t="s">
        <v>1926</v>
      </c>
      <c r="C152" t="s">
        <v>1175</v>
      </c>
      <c r="D152" t="s">
        <v>1175</v>
      </c>
      <c r="E152" t="s">
        <v>1175</v>
      </c>
      <c r="F152" t="s">
        <v>1175</v>
      </c>
      <c r="G152" t="s">
        <v>1175</v>
      </c>
      <c r="H152" t="s">
        <v>1175</v>
      </c>
      <c r="I152" t="s">
        <v>1175</v>
      </c>
    </row>
    <row r="153" spans="1:9">
      <c r="A153" t="s">
        <v>675</v>
      </c>
      <c r="B153" t="s">
        <v>1175</v>
      </c>
      <c r="C153" t="s">
        <v>1175</v>
      </c>
      <c r="D153" t="s">
        <v>1175</v>
      </c>
      <c r="E153" t="s">
        <v>1175</v>
      </c>
      <c r="F153" t="s">
        <v>1175</v>
      </c>
      <c r="G153" t="s">
        <v>1927</v>
      </c>
      <c r="H153" t="s">
        <v>1175</v>
      </c>
      <c r="I153" t="s">
        <v>1175</v>
      </c>
    </row>
    <row r="154" spans="1:9">
      <c r="A154" t="s">
        <v>676</v>
      </c>
      <c r="B154" t="s">
        <v>1175</v>
      </c>
      <c r="C154" t="s">
        <v>1928</v>
      </c>
      <c r="D154" t="s">
        <v>1175</v>
      </c>
      <c r="E154" t="s">
        <v>1175</v>
      </c>
      <c r="F154" t="s">
        <v>1175</v>
      </c>
      <c r="G154" t="s">
        <v>1175</v>
      </c>
      <c r="H154" t="s">
        <v>1929</v>
      </c>
      <c r="I154" t="s">
        <v>1175</v>
      </c>
    </row>
    <row r="155" spans="1:9">
      <c r="A155" t="s">
        <v>677</v>
      </c>
      <c r="B155" t="s">
        <v>1175</v>
      </c>
      <c r="C155" t="s">
        <v>1175</v>
      </c>
      <c r="D155" t="s">
        <v>1175</v>
      </c>
      <c r="E155" t="s">
        <v>1928</v>
      </c>
      <c r="F155" t="s">
        <v>1175</v>
      </c>
      <c r="G155" t="s">
        <v>1175</v>
      </c>
      <c r="H155" t="s">
        <v>1929</v>
      </c>
      <c r="I155" t="s">
        <v>1175</v>
      </c>
    </row>
    <row r="156" spans="1:9">
      <c r="A156" t="s">
        <v>672</v>
      </c>
      <c r="B156" t="s">
        <v>1175</v>
      </c>
      <c r="C156" t="s">
        <v>1175</v>
      </c>
      <c r="D156" t="s">
        <v>1175</v>
      </c>
      <c r="E156" t="s">
        <v>1175</v>
      </c>
      <c r="F156" t="s">
        <v>1175</v>
      </c>
      <c r="G156" t="s">
        <v>1175</v>
      </c>
      <c r="H156" t="s">
        <v>1175</v>
      </c>
      <c r="I156" t="s">
        <v>1921</v>
      </c>
    </row>
    <row r="157" spans="1:9">
      <c r="A157" t="s">
        <v>679</v>
      </c>
      <c r="B157" t="s">
        <v>1175</v>
      </c>
      <c r="C157" t="s">
        <v>1175</v>
      </c>
      <c r="D157" t="s">
        <v>1175</v>
      </c>
      <c r="E157" t="s">
        <v>1930</v>
      </c>
      <c r="F157" t="s">
        <v>1175</v>
      </c>
      <c r="G157" t="s">
        <v>1175</v>
      </c>
      <c r="H157" t="s">
        <v>1175</v>
      </c>
      <c r="I157" t="s">
        <v>1175</v>
      </c>
    </row>
    <row r="158" spans="1:9">
      <c r="A158" t="s">
        <v>678</v>
      </c>
      <c r="B158" t="s">
        <v>1175</v>
      </c>
      <c r="C158" t="s">
        <v>1930</v>
      </c>
      <c r="D158" t="s">
        <v>1175</v>
      </c>
      <c r="E158" t="s">
        <v>1175</v>
      </c>
      <c r="F158" t="s">
        <v>1175</v>
      </c>
      <c r="G158" t="s">
        <v>1175</v>
      </c>
      <c r="H158" t="s">
        <v>1175</v>
      </c>
      <c r="I158" t="s">
        <v>1175</v>
      </c>
    </row>
    <row r="159" spans="1:9">
      <c r="A159" t="s">
        <v>680</v>
      </c>
      <c r="B159" t="s">
        <v>1175</v>
      </c>
      <c r="C159" t="s">
        <v>1175</v>
      </c>
      <c r="D159" t="s">
        <v>1175</v>
      </c>
      <c r="E159" t="s">
        <v>1175</v>
      </c>
      <c r="F159" t="s">
        <v>1930</v>
      </c>
      <c r="G159" t="s">
        <v>1175</v>
      </c>
      <c r="H159" t="s">
        <v>1175</v>
      </c>
      <c r="I159" t="s">
        <v>1175</v>
      </c>
    </row>
    <row r="160" spans="1:9">
      <c r="A160" t="s">
        <v>682</v>
      </c>
      <c r="B160" t="s">
        <v>1175</v>
      </c>
      <c r="C160" t="s">
        <v>1175</v>
      </c>
      <c r="D160" t="s">
        <v>1175</v>
      </c>
      <c r="E160" t="s">
        <v>1175</v>
      </c>
      <c r="F160" t="s">
        <v>1175</v>
      </c>
      <c r="G160" t="s">
        <v>1175</v>
      </c>
      <c r="H160" t="s">
        <v>1175</v>
      </c>
      <c r="I160" t="s">
        <v>1923</v>
      </c>
    </row>
    <row r="162" spans="1:8">
      <c r="A162" t="s">
        <v>783</v>
      </c>
      <c r="B162" t="s">
        <v>1171</v>
      </c>
    </row>
    <row r="163" spans="1:8">
      <c r="A163" t="s">
        <v>1931</v>
      </c>
      <c r="B163" t="s">
        <v>1932</v>
      </c>
    </row>
    <row r="164" spans="1:8">
      <c r="A164" t="s">
        <v>1933</v>
      </c>
      <c r="B164" t="s">
        <v>1934</v>
      </c>
    </row>
    <row r="165" spans="1:8">
      <c r="A165" t="s">
        <v>1935</v>
      </c>
      <c r="B165" t="s">
        <v>1936</v>
      </c>
    </row>
    <row r="166" spans="1:8">
      <c r="A166" t="s">
        <v>1937</v>
      </c>
      <c r="B166" t="s">
        <v>1938</v>
      </c>
    </row>
    <row r="167" spans="1:8">
      <c r="A167" t="s">
        <v>1939</v>
      </c>
      <c r="B167" t="s">
        <v>1940</v>
      </c>
    </row>
    <row r="168" spans="1:8">
      <c r="A168" t="s">
        <v>1941</v>
      </c>
      <c r="B168" t="s">
        <v>1942</v>
      </c>
    </row>
    <row r="169" spans="1:8">
      <c r="A169" t="s">
        <v>1171</v>
      </c>
      <c r="B169" t="s">
        <v>1171</v>
      </c>
      <c r="C169" t="s">
        <v>1171</v>
      </c>
      <c r="D169" t="s">
        <v>1171</v>
      </c>
      <c r="E169" t="s">
        <v>1171</v>
      </c>
      <c r="F169" t="s">
        <v>1171</v>
      </c>
      <c r="G169" t="s">
        <v>1171</v>
      </c>
      <c r="H169" t="s">
        <v>1171</v>
      </c>
    </row>
  </sheetData>
  <pageMargins left="0.7" right="0.7" top="0.75" bottom="0.75" header="0.3" footer="0.3"/>
  <headerFooter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5"/>
  <dimension ref="A1:W29"/>
  <sheetViews>
    <sheetView workbookViewId="0">
      <selection activeCell="R26" sqref="R26"/>
    </sheetView>
  </sheetViews>
  <sheetFormatPr defaultColWidth="9" defaultRowHeight="13.5"/>
  <cols>
    <col min="1" max="1" width="15.125" customWidth="1"/>
    <col min="2" max="17" width="11.75" customWidth="1"/>
    <col min="18" max="19" width="7.75" customWidth="1"/>
    <col min="20" max="23" width="11.75" customWidth="1"/>
  </cols>
  <sheetData>
    <row r="1" spans="1:23">
      <c r="A1" t="s">
        <v>794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809</v>
      </c>
      <c r="K1" t="s">
        <v>810</v>
      </c>
      <c r="L1" t="s">
        <v>811</v>
      </c>
      <c r="M1" t="s">
        <v>812</v>
      </c>
      <c r="N1" t="s">
        <v>813</v>
      </c>
      <c r="O1" t="s">
        <v>814</v>
      </c>
      <c r="P1" t="s">
        <v>815</v>
      </c>
      <c r="Q1" t="s">
        <v>816</v>
      </c>
      <c r="R1" t="s">
        <v>817</v>
      </c>
      <c r="S1" t="s">
        <v>818</v>
      </c>
      <c r="T1" t="s">
        <v>819</v>
      </c>
      <c r="U1" t="s">
        <v>820</v>
      </c>
      <c r="V1" t="s">
        <v>821</v>
      </c>
      <c r="W1" t="s">
        <v>1943</v>
      </c>
    </row>
    <row r="2" spans="1:23">
      <c r="A2" t="s">
        <v>365</v>
      </c>
      <c r="B2">
        <v>0</v>
      </c>
      <c r="C2">
        <v>0</v>
      </c>
      <c r="D2">
        <v>0</v>
      </c>
      <c r="E2">
        <v>0.45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</row>
    <row r="3" spans="1:23">
      <c r="A3" t="s">
        <v>435</v>
      </c>
      <c r="B3">
        <v>0</v>
      </c>
      <c r="C3">
        <v>0</v>
      </c>
      <c r="D3">
        <v>0</v>
      </c>
      <c r="E3">
        <v>0.1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</row>
    <row r="4" spans="1:23">
      <c r="A4" t="s">
        <v>1944</v>
      </c>
      <c r="B4">
        <v>0</v>
      </c>
      <c r="C4">
        <v>0</v>
      </c>
      <c r="D4">
        <v>0</v>
      </c>
      <c r="E4">
        <v>0</v>
      </c>
      <c r="F4">
        <v>0</v>
      </c>
      <c r="G4">
        <v>0.1</v>
      </c>
      <c r="H4">
        <v>0</v>
      </c>
      <c r="I4">
        <v>0.1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</row>
    <row r="5" spans="1:23">
      <c r="A5" t="s">
        <v>1945</v>
      </c>
      <c r="B5">
        <v>0</v>
      </c>
      <c r="C5">
        <v>0</v>
      </c>
      <c r="D5">
        <v>0</v>
      </c>
      <c r="E5">
        <v>0</v>
      </c>
      <c r="F5">
        <v>0</v>
      </c>
      <c r="G5">
        <v>0.1</v>
      </c>
      <c r="H5">
        <v>0</v>
      </c>
      <c r="I5">
        <v>0.1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>
      <c r="A6" t="s">
        <v>1946</v>
      </c>
      <c r="B6">
        <v>0</v>
      </c>
      <c r="C6">
        <v>0</v>
      </c>
      <c r="D6">
        <v>0</v>
      </c>
      <c r="E6">
        <v>0</v>
      </c>
      <c r="F6">
        <v>0</v>
      </c>
      <c r="G6">
        <v>0.1</v>
      </c>
      <c r="H6">
        <v>0</v>
      </c>
      <c r="I6">
        <v>0.1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1:23">
      <c r="A7" t="s">
        <v>867</v>
      </c>
      <c r="B7">
        <v>0</v>
      </c>
      <c r="C7">
        <v>0</v>
      </c>
      <c r="D7">
        <v>0</v>
      </c>
      <c r="E7">
        <v>0</v>
      </c>
      <c r="F7">
        <v>11790</v>
      </c>
      <c r="G7">
        <v>0</v>
      </c>
      <c r="H7">
        <v>5610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1:23">
      <c r="A8" t="s">
        <v>1947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0.1</v>
      </c>
      <c r="S8">
        <v>0</v>
      </c>
      <c r="T8">
        <v>0</v>
      </c>
      <c r="U8">
        <v>0</v>
      </c>
      <c r="V8">
        <v>0</v>
      </c>
      <c r="W8">
        <v>0</v>
      </c>
    </row>
    <row r="9" spans="1:23">
      <c r="A9" t="s">
        <v>1948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0.15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>
      <c r="A10" t="s">
        <v>79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0.45</v>
      </c>
      <c r="W10">
        <v>0</v>
      </c>
    </row>
    <row r="11" spans="1:23">
      <c r="A11" t="s">
        <v>605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0.35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>
      <c r="A12" t="s">
        <v>1949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  <row r="13" spans="1:23">
      <c r="A13" t="s">
        <v>77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0.9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>
      <c r="A14" t="s">
        <v>76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0.5</v>
      </c>
      <c r="V14">
        <v>0</v>
      </c>
      <c r="W14">
        <v>0</v>
      </c>
    </row>
    <row r="15" spans="1:23">
      <c r="A15" t="s">
        <v>637</v>
      </c>
      <c r="B15">
        <v>0</v>
      </c>
      <c r="C15">
        <v>0</v>
      </c>
      <c r="D15">
        <v>0</v>
      </c>
      <c r="E15">
        <v>0</v>
      </c>
      <c r="F15">
        <v>0</v>
      </c>
      <c r="G15">
        <v>0.1</v>
      </c>
      <c r="H15">
        <v>0</v>
      </c>
      <c r="I15">
        <v>0.1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</row>
    <row r="16" spans="1:23">
      <c r="A16" t="s">
        <v>641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0.07</v>
      </c>
      <c r="S16">
        <v>0</v>
      </c>
      <c r="T16">
        <v>0</v>
      </c>
      <c r="U16">
        <v>0</v>
      </c>
      <c r="V16">
        <v>0</v>
      </c>
      <c r="W16">
        <v>0</v>
      </c>
    </row>
    <row r="17" spans="1:23">
      <c r="A17" t="s">
        <v>895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0.15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>
      <c r="A18" t="s">
        <v>896</v>
      </c>
      <c r="B18">
        <v>0</v>
      </c>
      <c r="C18">
        <v>0</v>
      </c>
      <c r="D18">
        <v>0</v>
      </c>
      <c r="E18">
        <v>0</v>
      </c>
      <c r="F18">
        <v>0</v>
      </c>
      <c r="G18">
        <v>0.2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0.15</v>
      </c>
      <c r="P18">
        <v>0</v>
      </c>
      <c r="Q18">
        <v>0</v>
      </c>
      <c r="R18">
        <v>0.1</v>
      </c>
      <c r="S18">
        <v>0</v>
      </c>
      <c r="T18">
        <v>0</v>
      </c>
      <c r="U18">
        <v>0</v>
      </c>
      <c r="V18">
        <v>0</v>
      </c>
      <c r="W18">
        <v>0</v>
      </c>
    </row>
    <row r="19" spans="1:23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0.15</v>
      </c>
      <c r="S19">
        <v>0</v>
      </c>
      <c r="T19">
        <v>0</v>
      </c>
      <c r="U19">
        <v>0</v>
      </c>
      <c r="V19">
        <v>0</v>
      </c>
      <c r="W19">
        <v>0</v>
      </c>
    </row>
    <row r="20" spans="1:23">
      <c r="A20" t="s">
        <v>918</v>
      </c>
      <c r="B20">
        <v>0</v>
      </c>
      <c r="C20">
        <v>0</v>
      </c>
      <c r="D20">
        <v>0</v>
      </c>
      <c r="E20">
        <v>0</v>
      </c>
      <c r="F20">
        <v>0</v>
      </c>
      <c r="G20">
        <v>0.05</v>
      </c>
      <c r="H20">
        <v>0</v>
      </c>
      <c r="I20">
        <v>0.08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</row>
    <row r="21" spans="1:23">
      <c r="A21" t="s">
        <v>81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>
      <c r="A22" t="s">
        <v>78</v>
      </c>
      <c r="B22">
        <v>0</v>
      </c>
      <c r="C22">
        <v>0</v>
      </c>
      <c r="D22">
        <v>0</v>
      </c>
      <c r="E22">
        <v>0</v>
      </c>
      <c r="F22">
        <v>0</v>
      </c>
      <c r="G22">
        <v>0.05</v>
      </c>
      <c r="H22">
        <v>0</v>
      </c>
      <c r="I22">
        <v>0.2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</row>
    <row r="23" spans="1:23">
      <c r="A23" t="s">
        <v>923</v>
      </c>
      <c r="B23">
        <v>0</v>
      </c>
      <c r="C23">
        <v>0</v>
      </c>
      <c r="D23">
        <v>0</v>
      </c>
      <c r="E23">
        <v>0</v>
      </c>
      <c r="F23">
        <v>0</v>
      </c>
      <c r="G23">
        <v>0.08</v>
      </c>
      <c r="H23">
        <v>0</v>
      </c>
      <c r="I23">
        <v>0.02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</row>
    <row r="24" spans="1:23">
      <c r="A24" t="s">
        <v>82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0.3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</row>
    <row r="25" spans="1:23">
      <c r="A25" t="s">
        <v>1950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0.05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>
      <c r="A26" t="s">
        <v>80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0.1</v>
      </c>
    </row>
    <row r="27" spans="1:23">
      <c r="A27" t="s">
        <v>640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0.1</v>
      </c>
      <c r="S27">
        <v>0</v>
      </c>
      <c r="T27">
        <v>0</v>
      </c>
      <c r="U27">
        <v>0</v>
      </c>
      <c r="V27">
        <v>0</v>
      </c>
      <c r="W27">
        <v>0</v>
      </c>
    </row>
    <row r="28" spans="1:23">
      <c r="A28" t="s">
        <v>75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</row>
    <row r="29" spans="1:23">
      <c r="A29" t="s">
        <v>1171</v>
      </c>
    </row>
  </sheetData>
  <pageMargins left="0.7" right="0.7" top="0.75" bottom="0.75" header="0.3" footer="0.3"/>
  <headerFooter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1"/>
  <dimension ref="A1:AC323"/>
  <sheetViews>
    <sheetView topLeftCell="J163" workbookViewId="0">
      <selection activeCell="AA194" sqref="AA194"/>
    </sheetView>
  </sheetViews>
  <sheetFormatPr defaultColWidth="9" defaultRowHeight="13.5"/>
  <cols>
    <col min="1" max="2" width="9.93333333333333" customWidth="1"/>
    <col min="3" max="3" width="5.73333333333333" customWidth="1"/>
    <col min="4" max="4" width="14.4166666666667" customWidth="1"/>
    <col min="5" max="5" width="13.275" customWidth="1"/>
    <col min="6" max="6" width="7.125" customWidth="1"/>
    <col min="7" max="10" width="6.84166666666667" customWidth="1"/>
    <col min="11" max="11" width="18.875" customWidth="1"/>
    <col min="12" max="12" width="14.4166666666667" customWidth="1"/>
    <col min="13" max="13" width="46.4333333333333" customWidth="1"/>
    <col min="14" max="14" width="7.125" customWidth="1"/>
    <col min="15" max="15" width="6.00833333333333" customWidth="1"/>
    <col min="16" max="17" width="7.125" customWidth="1"/>
    <col min="18" max="18" width="6.00833333333333" customWidth="1"/>
    <col min="19" max="22" width="7.125" customWidth="1"/>
    <col min="23" max="23" width="6.00833333333333" customWidth="1"/>
    <col min="24" max="26" width="5.73333333333333" customWidth="1"/>
    <col min="27" max="27" width="9.93333333333333" customWidth="1"/>
    <col min="28" max="29" width="10.0583333333333" customWidth="1"/>
    <col min="30" max="39" width="12.625" customWidth="1"/>
    <col min="41" max="41" width="8.875" customWidth="1"/>
    <col min="42" max="42" width="5.125" customWidth="1"/>
    <col min="43" max="43" width="12.875" customWidth="1"/>
    <col min="44" max="46" width="5.125" customWidth="1"/>
    <col min="47" max="50" width="8.875" customWidth="1"/>
    <col min="51" max="51" width="12.875" customWidth="1"/>
    <col min="52" max="52" width="12.625" customWidth="1"/>
    <col min="53" max="53" width="6.375" customWidth="1"/>
    <col min="54" max="54" width="8.875" customWidth="1"/>
    <col min="55" max="55" width="6.125" customWidth="1"/>
    <col min="56" max="56" width="7" customWidth="1"/>
    <col min="57" max="57" width="12.875" customWidth="1"/>
    <col min="58" max="59" width="8.875" customWidth="1"/>
    <col min="60" max="60" width="5.375" customWidth="1"/>
    <col min="61" max="61" width="7" customWidth="1"/>
    <col min="62" max="66" width="5.125" customWidth="1"/>
    <col min="67" max="67" width="8.875" customWidth="1"/>
    <col min="68" max="70" width="5.125" customWidth="1"/>
    <col min="71" max="74" width="8.875" customWidth="1"/>
    <col min="75" max="75" width="12.875" customWidth="1"/>
    <col min="76" max="85" width="12.625" customWidth="1"/>
    <col min="87" max="87" width="8.875" customWidth="1"/>
    <col min="88" max="88" width="5.125" customWidth="1"/>
    <col min="89" max="89" width="12.875" customWidth="1"/>
    <col min="90" max="92" width="5.125" customWidth="1"/>
    <col min="94" max="96" width="8.875" customWidth="1"/>
    <col min="97" max="97" width="12.875" customWidth="1"/>
    <col min="98" max="98" width="12.625" customWidth="1"/>
    <col min="99" max="99" width="6.375" customWidth="1"/>
    <col min="100" max="100" width="8.875" customWidth="1"/>
    <col min="102" max="102" width="7" customWidth="1"/>
    <col min="104" max="105" width="8.875" customWidth="1"/>
    <col min="107" max="107" width="7" customWidth="1"/>
    <col min="108" max="112" width="5.125" customWidth="1"/>
    <col min="113" max="113" width="8.875" customWidth="1"/>
    <col min="114" max="114" width="5.125" customWidth="1"/>
    <col min="116" max="116" width="5.125" customWidth="1"/>
    <col min="117" max="117" width="8.875" customWidth="1"/>
    <col min="119" max="119" width="8.875" customWidth="1"/>
  </cols>
  <sheetData>
    <row r="1" spans="1:29">
      <c r="A1" s="7" t="s">
        <v>1156</v>
      </c>
      <c r="B1" s="7" t="s">
        <v>1157</v>
      </c>
      <c r="C1" s="7" t="s">
        <v>581</v>
      </c>
      <c r="D1" s="7" t="s">
        <v>1158</v>
      </c>
      <c r="E1" s="7" t="s">
        <v>588</v>
      </c>
      <c r="F1" s="7" t="s">
        <v>587</v>
      </c>
      <c r="G1" s="7" t="s">
        <v>1159</v>
      </c>
      <c r="H1" s="7" t="s">
        <v>1160</v>
      </c>
      <c r="I1" s="7" t="s">
        <v>1161</v>
      </c>
      <c r="J1" s="7" t="s">
        <v>1162</v>
      </c>
      <c r="K1" s="7" t="s">
        <v>1163</v>
      </c>
      <c r="L1" s="7" t="s">
        <v>1164</v>
      </c>
      <c r="M1" s="7" t="s">
        <v>1165</v>
      </c>
      <c r="N1" s="7" t="s">
        <v>145</v>
      </c>
      <c r="O1" s="7" t="s">
        <v>91</v>
      </c>
      <c r="P1" s="7" t="s">
        <v>47</v>
      </c>
      <c r="Q1" s="7" t="s">
        <v>98</v>
      </c>
      <c r="R1" s="7" t="s">
        <v>42</v>
      </c>
      <c r="S1" s="7" t="s">
        <v>32</v>
      </c>
      <c r="T1" s="7" t="s">
        <v>24</v>
      </c>
      <c r="U1" s="7" t="s">
        <v>110</v>
      </c>
      <c r="V1" s="7" t="s">
        <v>37</v>
      </c>
      <c r="W1" s="7" t="s">
        <v>582</v>
      </c>
      <c r="X1" s="7" t="s">
        <v>583</v>
      </c>
      <c r="Y1" s="7" t="s">
        <v>584</v>
      </c>
      <c r="Z1" s="7" t="s">
        <v>585</v>
      </c>
      <c r="AA1" s="7" t="s">
        <v>586</v>
      </c>
      <c r="AB1" s="7"/>
      <c r="AC1" s="7"/>
    </row>
    <row r="2" spans="1:29">
      <c r="A2" s="7" t="s">
        <v>1168</v>
      </c>
      <c r="B2" s="7" t="s">
        <v>1169</v>
      </c>
      <c r="C2" s="7" t="s">
        <v>61</v>
      </c>
      <c r="D2" s="7" t="s">
        <v>1170</v>
      </c>
      <c r="E2" s="7" t="s">
        <v>691</v>
      </c>
      <c r="F2" s="7">
        <v>41400</v>
      </c>
      <c r="G2" s="7" t="s">
        <v>32</v>
      </c>
      <c r="H2" s="7" t="s">
        <v>37</v>
      </c>
      <c r="I2" s="7"/>
      <c r="J2" s="7"/>
      <c r="K2" s="7" t="s">
        <v>1172</v>
      </c>
      <c r="L2" s="7" t="s">
        <v>1173</v>
      </c>
      <c r="M2" s="7" t="s">
        <v>1174</v>
      </c>
      <c r="N2" s="7">
        <v>13637</v>
      </c>
      <c r="O2" s="7">
        <v>0</v>
      </c>
      <c r="P2" s="7">
        <v>1873</v>
      </c>
      <c r="Q2" s="7">
        <v>0</v>
      </c>
      <c r="R2" s="7">
        <v>0</v>
      </c>
      <c r="S2" s="7">
        <v>24174</v>
      </c>
      <c r="T2" s="7">
        <v>0</v>
      </c>
      <c r="U2" s="7">
        <v>0</v>
      </c>
      <c r="V2" s="7">
        <v>7439</v>
      </c>
      <c r="W2" s="7">
        <v>0</v>
      </c>
      <c r="X2" s="7" t="s">
        <v>32</v>
      </c>
      <c r="Y2" s="7">
        <v>0</v>
      </c>
      <c r="Z2" s="7">
        <v>0</v>
      </c>
      <c r="AA2" s="7">
        <v>6</v>
      </c>
      <c r="AB2" s="7"/>
      <c r="AC2" s="7">
        <v>322</v>
      </c>
    </row>
    <row r="3" spans="1:29">
      <c r="A3" s="7" t="s">
        <v>1168</v>
      </c>
      <c r="B3" s="7" t="s">
        <v>1176</v>
      </c>
      <c r="C3" s="7" t="s">
        <v>61</v>
      </c>
      <c r="D3" s="7" t="s">
        <v>1170</v>
      </c>
      <c r="E3" s="7" t="s">
        <v>691</v>
      </c>
      <c r="F3" s="7">
        <v>41400</v>
      </c>
      <c r="G3" s="7" t="s">
        <v>98</v>
      </c>
      <c r="H3" s="7" t="s">
        <v>42</v>
      </c>
      <c r="I3" s="7" t="s">
        <v>37</v>
      </c>
      <c r="J3" s="7"/>
      <c r="K3" s="7" t="s">
        <v>1177</v>
      </c>
      <c r="L3" s="7" t="s">
        <v>1173</v>
      </c>
      <c r="M3" s="7" t="s">
        <v>1178</v>
      </c>
      <c r="N3" s="7">
        <v>13637</v>
      </c>
      <c r="O3" s="7">
        <v>0</v>
      </c>
      <c r="P3" s="7">
        <v>5432</v>
      </c>
      <c r="Q3" s="7">
        <v>11158</v>
      </c>
      <c r="R3" s="7">
        <v>4649</v>
      </c>
      <c r="S3" s="7">
        <v>0</v>
      </c>
      <c r="T3" s="7">
        <v>0</v>
      </c>
      <c r="U3" s="7">
        <v>0</v>
      </c>
      <c r="V3" s="7">
        <v>4649</v>
      </c>
      <c r="W3" s="7">
        <v>0</v>
      </c>
      <c r="X3" s="7" t="s">
        <v>32</v>
      </c>
      <c r="Y3" s="7">
        <v>0</v>
      </c>
      <c r="Z3" s="7">
        <v>0</v>
      </c>
      <c r="AA3" s="7">
        <v>6</v>
      </c>
      <c r="AB3" s="7"/>
      <c r="AC3" s="7"/>
    </row>
    <row r="4" spans="1:29">
      <c r="A4" s="7" t="s">
        <v>1168</v>
      </c>
      <c r="B4" s="7" t="s">
        <v>1176</v>
      </c>
      <c r="C4" s="7" t="s">
        <v>61</v>
      </c>
      <c r="D4" s="7" t="s">
        <v>1170</v>
      </c>
      <c r="E4" s="7" t="s">
        <v>691</v>
      </c>
      <c r="F4" s="7">
        <v>41400</v>
      </c>
      <c r="G4" s="7" t="s">
        <v>98</v>
      </c>
      <c r="H4" s="7" t="s">
        <v>42</v>
      </c>
      <c r="I4" s="7" t="s">
        <v>110</v>
      </c>
      <c r="J4" s="7"/>
      <c r="K4" s="7" t="s">
        <v>1179</v>
      </c>
      <c r="L4" s="7" t="s">
        <v>1173</v>
      </c>
      <c r="M4" s="7" t="s">
        <v>1180</v>
      </c>
      <c r="N4" s="7">
        <v>13637</v>
      </c>
      <c r="O4" s="7">
        <v>0</v>
      </c>
      <c r="P4" s="7">
        <v>5432</v>
      </c>
      <c r="Q4" s="7">
        <v>11158</v>
      </c>
      <c r="R4" s="7">
        <v>4649</v>
      </c>
      <c r="S4" s="7">
        <v>0</v>
      </c>
      <c r="T4" s="7">
        <v>0</v>
      </c>
      <c r="U4" s="7">
        <v>4649</v>
      </c>
      <c r="V4" s="7">
        <v>0</v>
      </c>
      <c r="W4" s="7">
        <v>0</v>
      </c>
      <c r="X4" s="7" t="s">
        <v>32</v>
      </c>
      <c r="Y4" s="7">
        <v>0</v>
      </c>
      <c r="Z4" s="7">
        <v>0</v>
      </c>
      <c r="AA4" s="7">
        <v>6</v>
      </c>
      <c r="AB4" s="7"/>
      <c r="AC4" s="7"/>
    </row>
    <row r="5" spans="1:29">
      <c r="A5" s="7" t="s">
        <v>1181</v>
      </c>
      <c r="B5" s="7" t="s">
        <v>1182</v>
      </c>
      <c r="C5" s="7" t="s">
        <v>61</v>
      </c>
      <c r="D5" s="7" t="s">
        <v>1183</v>
      </c>
      <c r="E5" s="7" t="s">
        <v>93</v>
      </c>
      <c r="F5" s="7">
        <v>41400</v>
      </c>
      <c r="G5" s="7" t="s">
        <v>98</v>
      </c>
      <c r="H5" s="7" t="s">
        <v>37</v>
      </c>
      <c r="I5" s="7"/>
      <c r="J5" s="7"/>
      <c r="K5" s="7" t="s">
        <v>1184</v>
      </c>
      <c r="L5" s="7"/>
      <c r="M5" s="7" t="s">
        <v>1185</v>
      </c>
      <c r="N5" s="7">
        <v>13637</v>
      </c>
      <c r="O5" s="7">
        <v>1112</v>
      </c>
      <c r="P5" s="7">
        <v>2810</v>
      </c>
      <c r="Q5" s="7">
        <v>9298</v>
      </c>
      <c r="R5" s="7">
        <v>0</v>
      </c>
      <c r="S5" s="7">
        <v>0</v>
      </c>
      <c r="T5" s="7">
        <v>0</v>
      </c>
      <c r="U5" s="7">
        <v>0</v>
      </c>
      <c r="V5" s="7">
        <v>7438</v>
      </c>
      <c r="W5" s="7">
        <v>0</v>
      </c>
      <c r="X5" s="7" t="s">
        <v>98</v>
      </c>
      <c r="Y5" s="7">
        <v>0</v>
      </c>
      <c r="Z5" s="7">
        <v>0</v>
      </c>
      <c r="AA5" s="7">
        <v>6</v>
      </c>
      <c r="AB5" s="7"/>
      <c r="AC5" s="7"/>
    </row>
    <row r="6" spans="1:29">
      <c r="A6" s="7" t="s">
        <v>1181</v>
      </c>
      <c r="B6" s="7" t="s">
        <v>1182</v>
      </c>
      <c r="C6" s="7" t="s">
        <v>61</v>
      </c>
      <c r="D6" s="7" t="s">
        <v>1186</v>
      </c>
      <c r="E6" s="7" t="s">
        <v>93</v>
      </c>
      <c r="F6" s="7">
        <v>41400</v>
      </c>
      <c r="G6" s="7" t="s">
        <v>110</v>
      </c>
      <c r="H6" s="7" t="s">
        <v>37</v>
      </c>
      <c r="I6" s="7"/>
      <c r="J6" s="7"/>
      <c r="K6" s="7" t="s">
        <v>1187</v>
      </c>
      <c r="L6" s="7"/>
      <c r="M6" s="7" t="s">
        <v>1188</v>
      </c>
      <c r="N6" s="7">
        <v>13637</v>
      </c>
      <c r="O6" s="7">
        <v>1112</v>
      </c>
      <c r="P6" s="7">
        <v>2810</v>
      </c>
      <c r="Q6" s="7">
        <v>0</v>
      </c>
      <c r="R6" s="7">
        <v>0</v>
      </c>
      <c r="S6" s="7">
        <v>0</v>
      </c>
      <c r="T6" s="7">
        <v>0</v>
      </c>
      <c r="U6" s="7">
        <v>9298</v>
      </c>
      <c r="V6" s="7">
        <v>7438</v>
      </c>
      <c r="W6" s="7">
        <v>0</v>
      </c>
      <c r="X6" s="7" t="s">
        <v>37</v>
      </c>
      <c r="Y6" s="7">
        <v>0</v>
      </c>
      <c r="Z6" s="7">
        <v>0</v>
      </c>
      <c r="AA6" s="7">
        <v>6</v>
      </c>
      <c r="AB6" s="7"/>
      <c r="AC6" s="7"/>
    </row>
    <row r="7" spans="1:29">
      <c r="A7" s="7" t="s">
        <v>1181</v>
      </c>
      <c r="B7" s="7" t="s">
        <v>1182</v>
      </c>
      <c r="C7" s="7" t="s">
        <v>61</v>
      </c>
      <c r="D7" s="7" t="s">
        <v>1189</v>
      </c>
      <c r="E7" s="7" t="s">
        <v>93</v>
      </c>
      <c r="F7" s="7">
        <v>41400</v>
      </c>
      <c r="G7" s="7" t="s">
        <v>98</v>
      </c>
      <c r="H7" s="7" t="s">
        <v>37</v>
      </c>
      <c r="I7" s="7"/>
      <c r="J7" s="7"/>
      <c r="K7" s="7" t="s">
        <v>1184</v>
      </c>
      <c r="L7" s="7"/>
      <c r="M7" s="7" t="s">
        <v>62</v>
      </c>
      <c r="N7" s="7">
        <v>13637</v>
      </c>
      <c r="O7" s="7">
        <v>1112</v>
      </c>
      <c r="P7" s="7">
        <v>2810</v>
      </c>
      <c r="Q7" s="7">
        <v>9298</v>
      </c>
      <c r="R7" s="7">
        <v>0</v>
      </c>
      <c r="S7" s="7">
        <v>0</v>
      </c>
      <c r="T7" s="7">
        <v>0</v>
      </c>
      <c r="U7" s="7">
        <v>0</v>
      </c>
      <c r="V7" s="7">
        <v>7438</v>
      </c>
      <c r="W7" s="7">
        <v>0</v>
      </c>
      <c r="X7" s="7" t="s">
        <v>98</v>
      </c>
      <c r="Y7" s="7">
        <v>0</v>
      </c>
      <c r="Z7" s="7">
        <v>0</v>
      </c>
      <c r="AA7" s="7">
        <v>6</v>
      </c>
      <c r="AB7" s="7"/>
      <c r="AC7" s="7"/>
    </row>
    <row r="8" spans="1:29">
      <c r="A8" s="7" t="s">
        <v>1181</v>
      </c>
      <c r="B8" s="7" t="s">
        <v>1182</v>
      </c>
      <c r="C8" s="7" t="s">
        <v>61</v>
      </c>
      <c r="D8" s="7" t="s">
        <v>1190</v>
      </c>
      <c r="E8" s="7" t="s">
        <v>93</v>
      </c>
      <c r="F8" s="7">
        <v>41400</v>
      </c>
      <c r="G8" s="7" t="s">
        <v>24</v>
      </c>
      <c r="H8" s="7" t="s">
        <v>37</v>
      </c>
      <c r="I8" s="7"/>
      <c r="J8" s="7"/>
      <c r="K8" s="7" t="s">
        <v>1191</v>
      </c>
      <c r="L8" s="7"/>
      <c r="M8" s="7" t="s">
        <v>1192</v>
      </c>
      <c r="N8" s="7">
        <v>13637</v>
      </c>
      <c r="O8" s="7">
        <v>1112</v>
      </c>
      <c r="P8" s="7">
        <v>2810</v>
      </c>
      <c r="Q8" s="7">
        <v>0</v>
      </c>
      <c r="R8" s="7">
        <v>0</v>
      </c>
      <c r="S8" s="7">
        <v>0</v>
      </c>
      <c r="T8" s="7">
        <v>9298</v>
      </c>
      <c r="U8" s="7">
        <v>0</v>
      </c>
      <c r="V8" s="7">
        <v>7438</v>
      </c>
      <c r="W8" s="7">
        <v>0</v>
      </c>
      <c r="X8" s="7" t="s">
        <v>91</v>
      </c>
      <c r="Y8" s="7">
        <v>0</v>
      </c>
      <c r="Z8" s="7">
        <v>0</v>
      </c>
      <c r="AA8" s="7">
        <v>6</v>
      </c>
      <c r="AB8" s="7"/>
      <c r="AC8" s="7"/>
    </row>
    <row r="9" spans="1:29">
      <c r="A9" s="7" t="s">
        <v>1168</v>
      </c>
      <c r="B9" s="7" t="s">
        <v>1193</v>
      </c>
      <c r="C9" s="7" t="s">
        <v>61</v>
      </c>
      <c r="D9" s="7" t="s">
        <v>1170</v>
      </c>
      <c r="E9" s="7" t="s">
        <v>692</v>
      </c>
      <c r="F9" s="7">
        <v>38100</v>
      </c>
      <c r="G9" s="7" t="s">
        <v>110</v>
      </c>
      <c r="H9" s="7" t="s">
        <v>37</v>
      </c>
      <c r="I9" s="7"/>
      <c r="J9" s="7"/>
      <c r="K9" s="7" t="s">
        <v>1187</v>
      </c>
      <c r="L9" s="7" t="s">
        <v>1173</v>
      </c>
      <c r="M9" s="7" t="s">
        <v>1194</v>
      </c>
      <c r="N9" s="7">
        <v>12550</v>
      </c>
      <c r="O9" s="7">
        <v>0</v>
      </c>
      <c r="P9" s="7">
        <v>1724</v>
      </c>
      <c r="Q9" s="7">
        <v>0</v>
      </c>
      <c r="R9" s="7">
        <v>0</v>
      </c>
      <c r="S9" s="7">
        <v>0</v>
      </c>
      <c r="T9" s="7">
        <v>0</v>
      </c>
      <c r="U9" s="7">
        <v>22818</v>
      </c>
      <c r="V9" s="7">
        <v>6846</v>
      </c>
      <c r="W9" s="7">
        <v>0</v>
      </c>
      <c r="X9" s="7" t="s">
        <v>110</v>
      </c>
      <c r="Y9" s="7">
        <v>0</v>
      </c>
      <c r="Z9" s="7">
        <v>0</v>
      </c>
      <c r="AA9" s="7">
        <v>6</v>
      </c>
      <c r="AB9" s="7"/>
      <c r="AC9" s="7"/>
    </row>
    <row r="10" spans="1:29">
      <c r="A10" s="7" t="s">
        <v>1168</v>
      </c>
      <c r="B10" s="7" t="s">
        <v>1169</v>
      </c>
      <c r="C10" s="7" t="s">
        <v>61</v>
      </c>
      <c r="D10" s="7" t="s">
        <v>1170</v>
      </c>
      <c r="E10" s="7" t="s">
        <v>692</v>
      </c>
      <c r="F10" s="7">
        <v>38100</v>
      </c>
      <c r="G10" s="7" t="s">
        <v>32</v>
      </c>
      <c r="H10" s="7" t="s">
        <v>37</v>
      </c>
      <c r="I10" s="7"/>
      <c r="J10" s="7"/>
      <c r="K10" s="7" t="s">
        <v>1172</v>
      </c>
      <c r="L10" s="7" t="s">
        <v>1173</v>
      </c>
      <c r="M10" s="7" t="s">
        <v>1195</v>
      </c>
      <c r="N10" s="7">
        <v>12550</v>
      </c>
      <c r="O10" s="7">
        <v>0</v>
      </c>
      <c r="P10" s="7">
        <v>1724</v>
      </c>
      <c r="Q10" s="7">
        <v>0</v>
      </c>
      <c r="R10" s="7">
        <v>0</v>
      </c>
      <c r="S10" s="7">
        <v>22247</v>
      </c>
      <c r="T10" s="7">
        <v>0</v>
      </c>
      <c r="U10" s="7">
        <v>0</v>
      </c>
      <c r="V10" s="7">
        <v>6846</v>
      </c>
      <c r="W10" s="7">
        <v>0</v>
      </c>
      <c r="X10" s="7" t="s">
        <v>32</v>
      </c>
      <c r="Y10" s="7">
        <v>0</v>
      </c>
      <c r="Z10" s="7">
        <v>0</v>
      </c>
      <c r="AA10" s="7">
        <v>6</v>
      </c>
      <c r="AB10" s="7"/>
      <c r="AC10" s="7"/>
    </row>
    <row r="11" spans="1:29">
      <c r="A11" s="7" t="s">
        <v>1168</v>
      </c>
      <c r="B11" s="7" t="s">
        <v>1169</v>
      </c>
      <c r="C11" s="7" t="s">
        <v>61</v>
      </c>
      <c r="D11" s="7" t="s">
        <v>1170</v>
      </c>
      <c r="E11" s="7" t="s">
        <v>692</v>
      </c>
      <c r="F11" s="7">
        <v>38100</v>
      </c>
      <c r="G11" s="7" t="s">
        <v>98</v>
      </c>
      <c r="H11" s="7" t="s">
        <v>37</v>
      </c>
      <c r="I11" s="7"/>
      <c r="J11" s="7"/>
      <c r="K11" s="7" t="s">
        <v>1184</v>
      </c>
      <c r="L11" s="7" t="s">
        <v>1173</v>
      </c>
      <c r="M11" s="7" t="s">
        <v>1196</v>
      </c>
      <c r="N11" s="7">
        <v>12550</v>
      </c>
      <c r="O11" s="7">
        <v>0</v>
      </c>
      <c r="P11" s="7">
        <v>1724</v>
      </c>
      <c r="Q11" s="7">
        <v>22247</v>
      </c>
      <c r="R11" s="7">
        <v>0</v>
      </c>
      <c r="S11" s="7">
        <v>0</v>
      </c>
      <c r="T11" s="7">
        <v>0</v>
      </c>
      <c r="U11" s="7">
        <v>0</v>
      </c>
      <c r="V11" s="7">
        <v>6846</v>
      </c>
      <c r="W11" s="7">
        <v>0</v>
      </c>
      <c r="X11" s="7" t="s">
        <v>47</v>
      </c>
      <c r="Y11" s="7">
        <v>0</v>
      </c>
      <c r="Z11" s="7">
        <v>0</v>
      </c>
      <c r="AA11" s="7">
        <v>6</v>
      </c>
      <c r="AB11" s="7"/>
      <c r="AC11" s="7"/>
    </row>
    <row r="12" spans="1:29">
      <c r="A12" s="7" t="s">
        <v>1181</v>
      </c>
      <c r="B12" s="7" t="s">
        <v>1182</v>
      </c>
      <c r="C12" s="7" t="s">
        <v>61</v>
      </c>
      <c r="D12" s="7" t="s">
        <v>1197</v>
      </c>
      <c r="E12" s="7" t="s">
        <v>93</v>
      </c>
      <c r="F12" s="7">
        <v>38100</v>
      </c>
      <c r="G12" s="7" t="s">
        <v>110</v>
      </c>
      <c r="H12" s="7" t="s">
        <v>37</v>
      </c>
      <c r="I12" s="7"/>
      <c r="J12" s="7"/>
      <c r="K12" s="7" t="s">
        <v>1187</v>
      </c>
      <c r="L12" s="7"/>
      <c r="M12" s="7" t="s">
        <v>1198</v>
      </c>
      <c r="N12" s="7">
        <v>12550</v>
      </c>
      <c r="O12" s="7">
        <v>1024</v>
      </c>
      <c r="P12" s="7">
        <v>2586</v>
      </c>
      <c r="Q12" s="7">
        <v>0</v>
      </c>
      <c r="R12" s="7">
        <v>0</v>
      </c>
      <c r="S12" s="7">
        <v>0</v>
      </c>
      <c r="T12" s="7">
        <v>0</v>
      </c>
      <c r="U12" s="7">
        <v>8557</v>
      </c>
      <c r="V12" s="7">
        <v>6845</v>
      </c>
      <c r="W12" s="7">
        <v>0</v>
      </c>
      <c r="X12" s="7" t="s">
        <v>37</v>
      </c>
      <c r="Y12" s="7">
        <v>0</v>
      </c>
      <c r="Z12" s="7">
        <v>0</v>
      </c>
      <c r="AA12" s="7">
        <v>6</v>
      </c>
      <c r="AB12" s="7"/>
      <c r="AC12" s="7"/>
    </row>
    <row r="13" spans="1:29">
      <c r="A13" s="7" t="s">
        <v>1181</v>
      </c>
      <c r="B13" s="7" t="s">
        <v>1182</v>
      </c>
      <c r="C13" s="7" t="s">
        <v>61</v>
      </c>
      <c r="D13" s="7" t="s">
        <v>1199</v>
      </c>
      <c r="E13" s="7" t="s">
        <v>93</v>
      </c>
      <c r="F13" s="7">
        <v>35300</v>
      </c>
      <c r="G13" s="7" t="s">
        <v>98</v>
      </c>
      <c r="H13" s="7" t="s">
        <v>37</v>
      </c>
      <c r="I13" s="7"/>
      <c r="J13" s="7"/>
      <c r="K13" s="7" t="s">
        <v>1184</v>
      </c>
      <c r="L13" s="7"/>
      <c r="M13" s="7" t="s">
        <v>1200</v>
      </c>
      <c r="N13" s="7">
        <v>11627</v>
      </c>
      <c r="O13" s="7">
        <v>949</v>
      </c>
      <c r="P13" s="7">
        <v>2396</v>
      </c>
      <c r="Q13" s="7">
        <v>7928</v>
      </c>
      <c r="R13" s="7">
        <v>0</v>
      </c>
      <c r="S13" s="7">
        <v>0</v>
      </c>
      <c r="T13" s="7">
        <v>0</v>
      </c>
      <c r="U13" s="7">
        <v>0</v>
      </c>
      <c r="V13" s="7">
        <v>6342</v>
      </c>
      <c r="W13" s="7">
        <v>0</v>
      </c>
      <c r="X13" s="7" t="s">
        <v>98</v>
      </c>
      <c r="Y13" s="7">
        <v>0</v>
      </c>
      <c r="Z13" s="7">
        <v>0</v>
      </c>
      <c r="AA13" s="7">
        <v>6</v>
      </c>
      <c r="AB13" s="7"/>
      <c r="AC13" s="7"/>
    </row>
    <row r="14" spans="1:29">
      <c r="A14" s="7" t="s">
        <v>1181</v>
      </c>
      <c r="B14" s="7" t="s">
        <v>1182</v>
      </c>
      <c r="C14" s="7" t="s">
        <v>61</v>
      </c>
      <c r="D14" s="7" t="s">
        <v>1186</v>
      </c>
      <c r="E14" s="7" t="s">
        <v>93</v>
      </c>
      <c r="F14" s="7">
        <v>35300</v>
      </c>
      <c r="G14" s="7" t="s">
        <v>110</v>
      </c>
      <c r="H14" s="7" t="s">
        <v>37</v>
      </c>
      <c r="I14" s="7"/>
      <c r="J14" s="7"/>
      <c r="K14" s="7" t="s">
        <v>1187</v>
      </c>
      <c r="L14" s="7"/>
      <c r="M14" s="7" t="s">
        <v>1201</v>
      </c>
      <c r="N14" s="7">
        <v>11627</v>
      </c>
      <c r="O14" s="7">
        <v>949</v>
      </c>
      <c r="P14" s="7">
        <v>2396</v>
      </c>
      <c r="Q14" s="7">
        <v>0</v>
      </c>
      <c r="R14" s="7">
        <v>0</v>
      </c>
      <c r="S14" s="7">
        <v>0</v>
      </c>
      <c r="T14" s="7">
        <v>0</v>
      </c>
      <c r="U14" s="7">
        <v>7928</v>
      </c>
      <c r="V14" s="7">
        <v>6342</v>
      </c>
      <c r="W14" s="7">
        <v>0</v>
      </c>
      <c r="X14" s="7" t="s">
        <v>37</v>
      </c>
      <c r="Y14" s="7">
        <v>0</v>
      </c>
      <c r="Z14" s="7">
        <v>0</v>
      </c>
      <c r="AA14" s="7">
        <v>6</v>
      </c>
      <c r="AB14" s="7"/>
      <c r="AC14" s="7"/>
    </row>
    <row r="15" spans="1:29">
      <c r="A15" s="7" t="s">
        <v>1181</v>
      </c>
      <c r="B15" s="7" t="s">
        <v>1182</v>
      </c>
      <c r="C15" s="7" t="s">
        <v>61</v>
      </c>
      <c r="D15" s="7" t="s">
        <v>1183</v>
      </c>
      <c r="E15" s="7" t="s">
        <v>93</v>
      </c>
      <c r="F15" s="7">
        <v>35300</v>
      </c>
      <c r="G15" s="7" t="s">
        <v>98</v>
      </c>
      <c r="H15" s="7" t="s">
        <v>37</v>
      </c>
      <c r="I15" s="7"/>
      <c r="J15" s="7"/>
      <c r="K15" s="7" t="s">
        <v>1184</v>
      </c>
      <c r="L15" s="7"/>
      <c r="M15" s="7" t="s">
        <v>1202</v>
      </c>
      <c r="N15" s="7">
        <v>11627</v>
      </c>
      <c r="O15" s="7">
        <v>949</v>
      </c>
      <c r="P15" s="7">
        <v>2396</v>
      </c>
      <c r="Q15" s="7">
        <v>7928</v>
      </c>
      <c r="R15" s="7">
        <v>0</v>
      </c>
      <c r="S15" s="7">
        <v>0</v>
      </c>
      <c r="T15" s="7">
        <v>0</v>
      </c>
      <c r="U15" s="7">
        <v>0</v>
      </c>
      <c r="V15" s="7">
        <v>6342</v>
      </c>
      <c r="W15" s="7">
        <v>0</v>
      </c>
      <c r="X15" s="7" t="s">
        <v>98</v>
      </c>
      <c r="Y15" s="7">
        <v>0</v>
      </c>
      <c r="Z15" s="7">
        <v>0</v>
      </c>
      <c r="AA15" s="7">
        <v>6</v>
      </c>
      <c r="AB15" s="7"/>
      <c r="AC15" s="7"/>
    </row>
    <row r="16" spans="1:29">
      <c r="A16" s="7" t="s">
        <v>1181</v>
      </c>
      <c r="B16" s="7" t="s">
        <v>1182</v>
      </c>
      <c r="C16" s="7" t="s">
        <v>61</v>
      </c>
      <c r="D16" s="7" t="s">
        <v>1203</v>
      </c>
      <c r="E16" s="7" t="s">
        <v>93</v>
      </c>
      <c r="F16" s="7">
        <v>35300</v>
      </c>
      <c r="G16" s="7" t="s">
        <v>24</v>
      </c>
      <c r="H16" s="7" t="s">
        <v>37</v>
      </c>
      <c r="I16" s="7"/>
      <c r="J16" s="7"/>
      <c r="K16" s="7" t="s">
        <v>1191</v>
      </c>
      <c r="L16" s="7"/>
      <c r="M16" s="7" t="s">
        <v>1204</v>
      </c>
      <c r="N16" s="7">
        <v>11627</v>
      </c>
      <c r="O16" s="7">
        <v>949</v>
      </c>
      <c r="P16" s="7">
        <v>2396</v>
      </c>
      <c r="Q16" s="7">
        <v>0</v>
      </c>
      <c r="R16" s="7">
        <v>0</v>
      </c>
      <c r="S16" s="7">
        <v>0</v>
      </c>
      <c r="T16" s="7">
        <v>7928</v>
      </c>
      <c r="U16" s="7">
        <v>0</v>
      </c>
      <c r="V16" s="7">
        <v>6342</v>
      </c>
      <c r="W16" s="7">
        <v>0</v>
      </c>
      <c r="X16" s="7" t="s">
        <v>91</v>
      </c>
      <c r="Y16" s="7">
        <v>0</v>
      </c>
      <c r="Z16" s="7">
        <v>0</v>
      </c>
      <c r="AA16" s="7">
        <v>6</v>
      </c>
      <c r="AB16" s="7"/>
      <c r="AC16" s="7"/>
    </row>
    <row r="17" spans="1:29">
      <c r="A17" s="7" t="s">
        <v>1168</v>
      </c>
      <c r="B17" s="7" t="s">
        <v>1205</v>
      </c>
      <c r="C17" s="7" t="s">
        <v>61</v>
      </c>
      <c r="D17" s="7" t="s">
        <v>1170</v>
      </c>
      <c r="E17" s="7" t="s">
        <v>690</v>
      </c>
      <c r="F17" s="7">
        <v>35300</v>
      </c>
      <c r="G17" s="7" t="s">
        <v>98</v>
      </c>
      <c r="H17" s="7" t="s">
        <v>32</v>
      </c>
      <c r="I17" s="7" t="s">
        <v>37</v>
      </c>
      <c r="J17" s="7"/>
      <c r="K17" s="7" t="s">
        <v>1206</v>
      </c>
      <c r="L17" s="7" t="s">
        <v>1173</v>
      </c>
      <c r="M17" s="7" t="s">
        <v>263</v>
      </c>
      <c r="N17" s="7">
        <v>11627</v>
      </c>
      <c r="O17" s="7">
        <v>0</v>
      </c>
      <c r="P17" s="7">
        <v>4631</v>
      </c>
      <c r="Q17" s="7">
        <v>5285</v>
      </c>
      <c r="R17" s="7">
        <v>0</v>
      </c>
      <c r="S17" s="7">
        <v>5285</v>
      </c>
      <c r="T17" s="7">
        <v>0</v>
      </c>
      <c r="U17" s="7">
        <v>0</v>
      </c>
      <c r="V17" s="7">
        <v>5285</v>
      </c>
      <c r="W17" s="7">
        <v>0</v>
      </c>
      <c r="X17" s="7" t="s">
        <v>42</v>
      </c>
      <c r="Y17" s="7">
        <v>0</v>
      </c>
      <c r="Z17" s="7">
        <v>0</v>
      </c>
      <c r="AA17" s="7">
        <v>6</v>
      </c>
      <c r="AB17" s="7"/>
      <c r="AC17" s="7"/>
    </row>
    <row r="18" spans="1:29">
      <c r="A18" s="7" t="s">
        <v>1168</v>
      </c>
      <c r="B18" s="7" t="s">
        <v>1205</v>
      </c>
      <c r="C18" s="7" t="s">
        <v>61</v>
      </c>
      <c r="D18" s="7" t="s">
        <v>1170</v>
      </c>
      <c r="E18" s="7" t="s">
        <v>690</v>
      </c>
      <c r="F18" s="7">
        <v>35300</v>
      </c>
      <c r="G18" s="7" t="s">
        <v>32</v>
      </c>
      <c r="H18" s="7" t="s">
        <v>110</v>
      </c>
      <c r="I18" s="7" t="s">
        <v>37</v>
      </c>
      <c r="J18" s="7"/>
      <c r="K18" s="7" t="s">
        <v>1207</v>
      </c>
      <c r="L18" s="7" t="s">
        <v>1173</v>
      </c>
      <c r="M18" s="7" t="s">
        <v>1208</v>
      </c>
      <c r="N18" s="7">
        <v>11627</v>
      </c>
      <c r="O18" s="7">
        <v>0</v>
      </c>
      <c r="P18" s="7">
        <v>4632</v>
      </c>
      <c r="Q18" s="7">
        <v>0</v>
      </c>
      <c r="R18" s="7">
        <v>0</v>
      </c>
      <c r="S18" s="7">
        <v>5285</v>
      </c>
      <c r="T18" s="7">
        <v>0</v>
      </c>
      <c r="U18" s="7">
        <v>5285</v>
      </c>
      <c r="V18" s="7">
        <v>5285</v>
      </c>
      <c r="W18" s="7">
        <v>0</v>
      </c>
      <c r="X18" s="7" t="s">
        <v>98</v>
      </c>
      <c r="Y18" s="7">
        <v>0</v>
      </c>
      <c r="Z18" s="7">
        <v>0</v>
      </c>
      <c r="AA18" s="7">
        <v>6</v>
      </c>
      <c r="AB18" s="7"/>
      <c r="AC18" s="7"/>
    </row>
    <row r="19" spans="1:29">
      <c r="A19" s="7" t="s">
        <v>1168</v>
      </c>
      <c r="B19" s="7" t="s">
        <v>1176</v>
      </c>
      <c r="C19" s="7" t="s">
        <v>61</v>
      </c>
      <c r="D19" s="7" t="s">
        <v>1170</v>
      </c>
      <c r="E19" s="7" t="s">
        <v>690</v>
      </c>
      <c r="F19" s="7">
        <v>35300</v>
      </c>
      <c r="G19" s="7" t="s">
        <v>98</v>
      </c>
      <c r="H19" s="7" t="s">
        <v>37</v>
      </c>
      <c r="I19" s="7"/>
      <c r="J19" s="7"/>
      <c r="K19" s="7" t="s">
        <v>1184</v>
      </c>
      <c r="L19" s="7" t="s">
        <v>1173</v>
      </c>
      <c r="M19" s="7" t="s">
        <v>285</v>
      </c>
      <c r="N19" s="7">
        <v>11627</v>
      </c>
      <c r="O19" s="7">
        <v>0</v>
      </c>
      <c r="P19" s="7">
        <v>3833</v>
      </c>
      <c r="Q19" s="7">
        <v>12156</v>
      </c>
      <c r="R19" s="7">
        <v>0</v>
      </c>
      <c r="S19" s="7">
        <v>0</v>
      </c>
      <c r="T19" s="7">
        <v>0</v>
      </c>
      <c r="U19" s="7">
        <v>0</v>
      </c>
      <c r="V19" s="7">
        <v>6342</v>
      </c>
      <c r="W19" s="7">
        <v>0</v>
      </c>
      <c r="X19" s="7" t="s">
        <v>42</v>
      </c>
      <c r="Y19" s="7">
        <v>0</v>
      </c>
      <c r="Z19" s="7">
        <v>0</v>
      </c>
      <c r="AA19" s="7">
        <v>6</v>
      </c>
      <c r="AB19" s="7"/>
      <c r="AC19" s="7"/>
    </row>
    <row r="20" spans="1:29">
      <c r="A20" s="7" t="s">
        <v>1181</v>
      </c>
      <c r="B20" s="7" t="s">
        <v>1182</v>
      </c>
      <c r="C20" s="7" t="s">
        <v>61</v>
      </c>
      <c r="D20" s="7" t="s">
        <v>1209</v>
      </c>
      <c r="E20" s="7" t="s">
        <v>93</v>
      </c>
      <c r="F20" s="7">
        <v>35300</v>
      </c>
      <c r="G20" s="7" t="s">
        <v>98</v>
      </c>
      <c r="H20" s="7" t="s">
        <v>37</v>
      </c>
      <c r="I20" s="7"/>
      <c r="J20" s="7"/>
      <c r="K20" s="7" t="s">
        <v>1184</v>
      </c>
      <c r="L20" s="7"/>
      <c r="M20" s="7" t="s">
        <v>1210</v>
      </c>
      <c r="N20" s="7">
        <v>11627</v>
      </c>
      <c r="O20" s="7">
        <v>949</v>
      </c>
      <c r="P20" s="7">
        <v>2396</v>
      </c>
      <c r="Q20" s="7">
        <v>7928</v>
      </c>
      <c r="R20" s="7">
        <v>0</v>
      </c>
      <c r="S20" s="7">
        <v>0</v>
      </c>
      <c r="T20" s="7">
        <v>0</v>
      </c>
      <c r="U20" s="7">
        <v>0</v>
      </c>
      <c r="V20" s="7">
        <v>6342</v>
      </c>
      <c r="W20" s="7">
        <v>0</v>
      </c>
      <c r="X20" s="7" t="s">
        <v>98</v>
      </c>
      <c r="Y20" s="7">
        <v>0</v>
      </c>
      <c r="Z20" s="7">
        <v>0</v>
      </c>
      <c r="AA20" s="7">
        <v>6</v>
      </c>
      <c r="AB20" s="7"/>
      <c r="AC20" s="7"/>
    </row>
    <row r="21" spans="1:29">
      <c r="A21" s="7" t="s">
        <v>1181</v>
      </c>
      <c r="B21" s="7" t="s">
        <v>1182</v>
      </c>
      <c r="C21" s="7" t="s">
        <v>61</v>
      </c>
      <c r="D21" s="7" t="s">
        <v>1211</v>
      </c>
      <c r="E21" s="7" t="s">
        <v>93</v>
      </c>
      <c r="F21" s="7">
        <v>34100</v>
      </c>
      <c r="G21" s="7" t="s">
        <v>32</v>
      </c>
      <c r="H21" s="7" t="s">
        <v>37</v>
      </c>
      <c r="I21" s="7"/>
      <c r="J21" s="7"/>
      <c r="K21" s="7" t="s">
        <v>1172</v>
      </c>
      <c r="L21" s="7"/>
      <c r="M21" s="7" t="s">
        <v>1212</v>
      </c>
      <c r="N21" s="7">
        <v>11232</v>
      </c>
      <c r="O21" s="7">
        <v>916</v>
      </c>
      <c r="P21" s="7">
        <v>2315</v>
      </c>
      <c r="Q21" s="7">
        <v>0</v>
      </c>
      <c r="R21" s="7">
        <v>0</v>
      </c>
      <c r="S21" s="7">
        <v>7658</v>
      </c>
      <c r="T21" s="7">
        <v>0</v>
      </c>
      <c r="U21" s="7">
        <v>0</v>
      </c>
      <c r="V21" s="7">
        <v>6127</v>
      </c>
      <c r="W21" s="7">
        <v>0</v>
      </c>
      <c r="X21" s="7" t="s">
        <v>47</v>
      </c>
      <c r="Y21" s="7">
        <v>0</v>
      </c>
      <c r="Z21" s="7">
        <v>0</v>
      </c>
      <c r="AA21" s="7">
        <v>6</v>
      </c>
      <c r="AB21" s="7"/>
      <c r="AC21" s="7"/>
    </row>
    <row r="22" spans="1:29">
      <c r="A22" s="7" t="s">
        <v>1181</v>
      </c>
      <c r="B22" s="7" t="s">
        <v>1182</v>
      </c>
      <c r="C22" s="7" t="s">
        <v>38</v>
      </c>
      <c r="D22" s="7" t="s">
        <v>1213</v>
      </c>
      <c r="E22" s="7" t="s">
        <v>598</v>
      </c>
      <c r="F22" s="7">
        <v>42100</v>
      </c>
      <c r="G22" s="7" t="s">
        <v>32</v>
      </c>
      <c r="H22" s="7" t="s">
        <v>37</v>
      </c>
      <c r="I22" s="7"/>
      <c r="J22" s="7"/>
      <c r="K22" s="7" t="s">
        <v>1172</v>
      </c>
      <c r="L22" s="7"/>
      <c r="M22" s="7" t="s">
        <v>1214</v>
      </c>
      <c r="N22" s="7">
        <v>16179</v>
      </c>
      <c r="O22" s="7">
        <v>1320</v>
      </c>
      <c r="P22" s="7">
        <v>3334</v>
      </c>
      <c r="Q22" s="7">
        <v>0</v>
      </c>
      <c r="R22" s="7">
        <v>0</v>
      </c>
      <c r="S22" s="7">
        <v>11031</v>
      </c>
      <c r="T22" s="7">
        <v>0</v>
      </c>
      <c r="U22" s="7">
        <v>0</v>
      </c>
      <c r="V22" s="7">
        <v>8825</v>
      </c>
      <c r="W22" s="7">
        <v>0</v>
      </c>
      <c r="X22" s="7" t="s">
        <v>37</v>
      </c>
      <c r="Y22" s="7" t="s">
        <v>91</v>
      </c>
      <c r="Z22" s="7">
        <v>0</v>
      </c>
      <c r="AA22" s="7">
        <v>6</v>
      </c>
      <c r="AB22" s="7"/>
      <c r="AC22" s="7"/>
    </row>
    <row r="23" spans="1:29">
      <c r="A23" s="7" t="s">
        <v>1181</v>
      </c>
      <c r="B23" s="7" t="s">
        <v>1182</v>
      </c>
      <c r="C23" s="7" t="s">
        <v>38</v>
      </c>
      <c r="D23" s="7" t="s">
        <v>1215</v>
      </c>
      <c r="E23" s="7" t="s">
        <v>93</v>
      </c>
      <c r="F23" s="7">
        <v>41400</v>
      </c>
      <c r="G23" s="7" t="s">
        <v>98</v>
      </c>
      <c r="H23" s="7" t="s">
        <v>37</v>
      </c>
      <c r="I23" s="7"/>
      <c r="J23" s="7"/>
      <c r="K23" s="7" t="s">
        <v>1184</v>
      </c>
      <c r="L23" s="7"/>
      <c r="M23" s="7" t="s">
        <v>1216</v>
      </c>
      <c r="N23" s="7">
        <v>15910</v>
      </c>
      <c r="O23" s="7">
        <v>1298</v>
      </c>
      <c r="P23" s="7">
        <v>3278</v>
      </c>
      <c r="Q23" s="7">
        <v>10848</v>
      </c>
      <c r="R23" s="7">
        <v>0</v>
      </c>
      <c r="S23" s="7">
        <v>0</v>
      </c>
      <c r="T23" s="7">
        <v>0</v>
      </c>
      <c r="U23" s="7">
        <v>0</v>
      </c>
      <c r="V23" s="7">
        <v>8678</v>
      </c>
      <c r="W23" s="7">
        <v>0</v>
      </c>
      <c r="X23" s="7" t="s">
        <v>98</v>
      </c>
      <c r="Y23" s="7" t="s">
        <v>47</v>
      </c>
      <c r="Z23" s="7">
        <v>0</v>
      </c>
      <c r="AA23" s="7">
        <v>6</v>
      </c>
      <c r="AB23" s="7"/>
      <c r="AC23" s="7"/>
    </row>
    <row r="24" spans="1:29">
      <c r="A24" s="7" t="s">
        <v>1181</v>
      </c>
      <c r="B24" s="7" t="s">
        <v>1182</v>
      </c>
      <c r="C24" s="7" t="s">
        <v>38</v>
      </c>
      <c r="D24" s="7" t="s">
        <v>1217</v>
      </c>
      <c r="E24" s="7" t="s">
        <v>93</v>
      </c>
      <c r="F24" s="7">
        <v>41400</v>
      </c>
      <c r="G24" s="7" t="s">
        <v>24</v>
      </c>
      <c r="H24" s="7" t="s">
        <v>37</v>
      </c>
      <c r="I24" s="7"/>
      <c r="J24" s="7"/>
      <c r="K24" s="7" t="s">
        <v>1191</v>
      </c>
      <c r="L24" s="7"/>
      <c r="M24" s="7" t="s">
        <v>1218</v>
      </c>
      <c r="N24" s="7">
        <v>15910</v>
      </c>
      <c r="O24" s="7">
        <v>1298</v>
      </c>
      <c r="P24" s="7">
        <v>3278</v>
      </c>
      <c r="Q24" s="7">
        <v>0</v>
      </c>
      <c r="R24" s="7">
        <v>0</v>
      </c>
      <c r="S24" s="7">
        <v>0</v>
      </c>
      <c r="T24" s="7">
        <v>10848</v>
      </c>
      <c r="U24" s="7">
        <v>0</v>
      </c>
      <c r="V24" s="7">
        <v>8678</v>
      </c>
      <c r="W24" s="7">
        <v>0</v>
      </c>
      <c r="X24" s="7" t="s">
        <v>32</v>
      </c>
      <c r="Y24" s="7" t="s">
        <v>91</v>
      </c>
      <c r="Z24" s="7">
        <v>0</v>
      </c>
      <c r="AA24" s="7">
        <v>6</v>
      </c>
      <c r="AB24" s="7"/>
      <c r="AC24" s="7"/>
    </row>
    <row r="25" spans="1:29">
      <c r="A25" s="7" t="s">
        <v>1181</v>
      </c>
      <c r="B25" s="7" t="s">
        <v>1182</v>
      </c>
      <c r="C25" s="7" t="s">
        <v>38</v>
      </c>
      <c r="D25" s="7" t="s">
        <v>1219</v>
      </c>
      <c r="E25" s="7" t="s">
        <v>93</v>
      </c>
      <c r="F25" s="7">
        <v>41400</v>
      </c>
      <c r="G25" s="7" t="s">
        <v>98</v>
      </c>
      <c r="H25" s="7" t="s">
        <v>37</v>
      </c>
      <c r="I25" s="7"/>
      <c r="J25" s="7"/>
      <c r="K25" s="7" t="s">
        <v>1184</v>
      </c>
      <c r="L25" s="7"/>
      <c r="M25" s="7" t="s">
        <v>1220</v>
      </c>
      <c r="N25" s="7">
        <v>15910</v>
      </c>
      <c r="O25" s="7">
        <v>1298</v>
      </c>
      <c r="P25" s="7">
        <v>3278</v>
      </c>
      <c r="Q25" s="7">
        <v>10848</v>
      </c>
      <c r="R25" s="7">
        <v>0</v>
      </c>
      <c r="S25" s="7">
        <v>0</v>
      </c>
      <c r="T25" s="7">
        <v>0</v>
      </c>
      <c r="U25" s="7">
        <v>0</v>
      </c>
      <c r="V25" s="7">
        <v>8678</v>
      </c>
      <c r="W25" s="7">
        <v>0</v>
      </c>
      <c r="X25" s="7" t="s">
        <v>98</v>
      </c>
      <c r="Y25" s="7" t="s">
        <v>47</v>
      </c>
      <c r="Z25" s="7">
        <v>0</v>
      </c>
      <c r="AA25" s="7">
        <v>6</v>
      </c>
      <c r="AB25" s="7"/>
      <c r="AC25" s="7"/>
    </row>
    <row r="26" spans="1:29">
      <c r="A26" s="7" t="s">
        <v>1181</v>
      </c>
      <c r="B26" s="7" t="s">
        <v>1182</v>
      </c>
      <c r="C26" s="7" t="s">
        <v>38</v>
      </c>
      <c r="D26" s="7" t="s">
        <v>1221</v>
      </c>
      <c r="E26" s="7" t="s">
        <v>93</v>
      </c>
      <c r="F26" s="7">
        <v>41400</v>
      </c>
      <c r="G26" s="7" t="s">
        <v>32</v>
      </c>
      <c r="H26" s="7" t="s">
        <v>37</v>
      </c>
      <c r="I26" s="7"/>
      <c r="J26" s="7"/>
      <c r="K26" s="7" t="s">
        <v>1172</v>
      </c>
      <c r="L26" s="7"/>
      <c r="M26" s="7" t="s">
        <v>1222</v>
      </c>
      <c r="N26" s="7">
        <v>15910</v>
      </c>
      <c r="O26" s="7">
        <v>1298</v>
      </c>
      <c r="P26" s="7">
        <v>3278</v>
      </c>
      <c r="Q26" s="7">
        <v>0</v>
      </c>
      <c r="R26" s="7">
        <v>0</v>
      </c>
      <c r="S26" s="7">
        <v>10848</v>
      </c>
      <c r="T26" s="7">
        <v>0</v>
      </c>
      <c r="U26" s="7">
        <v>0</v>
      </c>
      <c r="V26" s="7">
        <v>8678</v>
      </c>
      <c r="W26" s="7">
        <v>0</v>
      </c>
      <c r="X26" s="7" t="s">
        <v>37</v>
      </c>
      <c r="Y26" s="7" t="s">
        <v>91</v>
      </c>
      <c r="Z26" s="7">
        <v>0</v>
      </c>
      <c r="AA26" s="7">
        <v>6</v>
      </c>
      <c r="AB26" s="7"/>
      <c r="AC26" s="7"/>
    </row>
    <row r="27" spans="1:29">
      <c r="A27" s="7" t="s">
        <v>1181</v>
      </c>
      <c r="B27" s="7" t="s">
        <v>1182</v>
      </c>
      <c r="C27" s="7" t="s">
        <v>38</v>
      </c>
      <c r="D27" s="7" t="s">
        <v>1951</v>
      </c>
      <c r="E27" s="7" t="s">
        <v>787</v>
      </c>
      <c r="F27" s="7">
        <v>41400</v>
      </c>
      <c r="G27" s="7" t="s">
        <v>110</v>
      </c>
      <c r="H27" s="7" t="s">
        <v>37</v>
      </c>
      <c r="I27" s="7"/>
      <c r="J27" s="7"/>
      <c r="K27" s="7" t="s">
        <v>1187</v>
      </c>
      <c r="L27" s="7"/>
      <c r="M27" s="7" t="s">
        <v>252</v>
      </c>
      <c r="N27" s="7">
        <v>15910</v>
      </c>
      <c r="O27" s="7">
        <v>1298</v>
      </c>
      <c r="P27" s="7">
        <v>3278</v>
      </c>
      <c r="Q27" s="7">
        <v>0</v>
      </c>
      <c r="R27" s="7">
        <v>0</v>
      </c>
      <c r="S27" s="7">
        <v>0</v>
      </c>
      <c r="T27" s="7">
        <v>0</v>
      </c>
      <c r="U27" s="7">
        <v>10848</v>
      </c>
      <c r="V27" s="7">
        <v>8678</v>
      </c>
      <c r="W27" s="7">
        <v>0</v>
      </c>
      <c r="X27" s="7" t="s">
        <v>32</v>
      </c>
      <c r="Y27" s="7" t="s">
        <v>110</v>
      </c>
      <c r="Z27" s="7">
        <v>0</v>
      </c>
      <c r="AA27" s="7">
        <v>6</v>
      </c>
      <c r="AB27" s="7"/>
      <c r="AC27" s="7"/>
    </row>
    <row r="28" spans="1:29">
      <c r="A28" s="7" t="s">
        <v>1168</v>
      </c>
      <c r="B28" s="7" t="s">
        <v>1176</v>
      </c>
      <c r="C28" s="7" t="s">
        <v>38</v>
      </c>
      <c r="D28" s="7" t="s">
        <v>1225</v>
      </c>
      <c r="E28" s="7" t="s">
        <v>93</v>
      </c>
      <c r="F28" s="7">
        <v>41400</v>
      </c>
      <c r="G28" s="7" t="s">
        <v>37</v>
      </c>
      <c r="H28" s="7"/>
      <c r="I28" s="7"/>
      <c r="J28" s="7"/>
      <c r="K28" s="7" t="s">
        <v>37</v>
      </c>
      <c r="L28" s="7" t="s">
        <v>1226</v>
      </c>
      <c r="M28" s="7" t="s">
        <v>1227</v>
      </c>
      <c r="N28" s="7">
        <v>15910</v>
      </c>
      <c r="O28" s="7">
        <v>0</v>
      </c>
      <c r="P28" s="7">
        <v>7430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18803</v>
      </c>
      <c r="W28" s="7">
        <v>0</v>
      </c>
      <c r="X28" s="7" t="s">
        <v>98</v>
      </c>
      <c r="Y28" s="7" t="s">
        <v>37</v>
      </c>
      <c r="Z28" s="7">
        <v>0</v>
      </c>
      <c r="AA28" s="7">
        <v>6</v>
      </c>
      <c r="AB28" s="7"/>
      <c r="AC28" s="7"/>
    </row>
    <row r="29" spans="1:29">
      <c r="A29" s="7" t="s">
        <v>1168</v>
      </c>
      <c r="B29" s="7" t="s">
        <v>1228</v>
      </c>
      <c r="C29" s="7" t="s">
        <v>38</v>
      </c>
      <c r="D29" s="7" t="s">
        <v>1229</v>
      </c>
      <c r="E29" s="7" t="s">
        <v>93</v>
      </c>
      <c r="F29" s="7">
        <v>41400</v>
      </c>
      <c r="G29" s="7" t="s">
        <v>98</v>
      </c>
      <c r="H29" s="7" t="s">
        <v>37</v>
      </c>
      <c r="I29" s="7"/>
      <c r="J29" s="7"/>
      <c r="K29" s="7" t="s">
        <v>1184</v>
      </c>
      <c r="L29" s="7" t="s">
        <v>1226</v>
      </c>
      <c r="M29" s="7" t="s">
        <v>1230</v>
      </c>
      <c r="N29" s="7">
        <v>15910</v>
      </c>
      <c r="O29" s="7">
        <v>0</v>
      </c>
      <c r="P29" s="7">
        <v>5245</v>
      </c>
      <c r="Q29" s="7">
        <v>17356</v>
      </c>
      <c r="R29" s="7">
        <v>0</v>
      </c>
      <c r="S29" s="7">
        <v>0</v>
      </c>
      <c r="T29" s="7">
        <v>0</v>
      </c>
      <c r="U29" s="7">
        <v>0</v>
      </c>
      <c r="V29" s="7">
        <v>10125</v>
      </c>
      <c r="W29" s="7">
        <v>0</v>
      </c>
      <c r="X29" s="7" t="s">
        <v>47</v>
      </c>
      <c r="Y29" s="7" t="s">
        <v>37</v>
      </c>
      <c r="Z29" s="7">
        <v>0</v>
      </c>
      <c r="AA29" s="7">
        <v>6</v>
      </c>
      <c r="AB29" s="7"/>
      <c r="AC29" s="7"/>
    </row>
    <row r="30" spans="1:29">
      <c r="A30" s="7" t="s">
        <v>1168</v>
      </c>
      <c r="B30" s="7" t="s">
        <v>1228</v>
      </c>
      <c r="C30" s="7" t="s">
        <v>38</v>
      </c>
      <c r="D30" s="7" t="s">
        <v>1231</v>
      </c>
      <c r="E30" s="7" t="s">
        <v>93</v>
      </c>
      <c r="F30" s="7">
        <v>41400</v>
      </c>
      <c r="G30" s="7" t="s">
        <v>32</v>
      </c>
      <c r="H30" s="7" t="s">
        <v>37</v>
      </c>
      <c r="I30" s="7"/>
      <c r="J30" s="7"/>
      <c r="K30" s="7" t="s">
        <v>1172</v>
      </c>
      <c r="L30" s="7" t="s">
        <v>1226</v>
      </c>
      <c r="M30" s="7" t="s">
        <v>1232</v>
      </c>
      <c r="N30" s="7">
        <v>15910</v>
      </c>
      <c r="O30" s="7">
        <v>0</v>
      </c>
      <c r="P30" s="7">
        <v>6119</v>
      </c>
      <c r="Q30" s="7">
        <v>0</v>
      </c>
      <c r="R30" s="7">
        <v>0</v>
      </c>
      <c r="S30" s="7">
        <v>17718</v>
      </c>
      <c r="T30" s="7">
        <v>0</v>
      </c>
      <c r="U30" s="7">
        <v>0</v>
      </c>
      <c r="V30" s="7">
        <v>7232</v>
      </c>
      <c r="W30" s="7">
        <v>0</v>
      </c>
      <c r="X30" s="7" t="s">
        <v>32</v>
      </c>
      <c r="Y30" s="7" t="s">
        <v>47</v>
      </c>
      <c r="Z30" s="7">
        <v>0</v>
      </c>
      <c r="AA30" s="7">
        <v>6</v>
      </c>
      <c r="AB30" s="7"/>
      <c r="AC30" s="7"/>
    </row>
    <row r="31" spans="1:29">
      <c r="A31" s="7" t="s">
        <v>1168</v>
      </c>
      <c r="B31" s="7" t="s">
        <v>1233</v>
      </c>
      <c r="C31" s="7" t="s">
        <v>38</v>
      </c>
      <c r="D31" s="7" t="s">
        <v>1234</v>
      </c>
      <c r="E31" s="7" t="s">
        <v>93</v>
      </c>
      <c r="F31" s="7">
        <v>41400</v>
      </c>
      <c r="G31" s="7" t="s">
        <v>110</v>
      </c>
      <c r="H31" s="7" t="s">
        <v>37</v>
      </c>
      <c r="I31" s="7"/>
      <c r="J31" s="7"/>
      <c r="K31" s="7" t="s">
        <v>1187</v>
      </c>
      <c r="L31" s="7" t="s">
        <v>1226</v>
      </c>
      <c r="M31" s="7" t="s">
        <v>1235</v>
      </c>
      <c r="N31" s="7">
        <v>15910</v>
      </c>
      <c r="O31" s="7">
        <v>0</v>
      </c>
      <c r="P31" s="7">
        <v>4371</v>
      </c>
      <c r="Q31" s="7">
        <v>0</v>
      </c>
      <c r="R31" s="7">
        <v>0</v>
      </c>
      <c r="S31" s="7">
        <v>0</v>
      </c>
      <c r="T31" s="7">
        <v>0</v>
      </c>
      <c r="U31" s="7">
        <v>20611</v>
      </c>
      <c r="V31" s="7">
        <v>10848</v>
      </c>
      <c r="W31" s="7">
        <v>0</v>
      </c>
      <c r="X31" s="7" t="s">
        <v>110</v>
      </c>
      <c r="Y31" s="7" t="s">
        <v>37</v>
      </c>
      <c r="Z31" s="7">
        <v>0</v>
      </c>
      <c r="AA31" s="7">
        <v>6</v>
      </c>
      <c r="AB31" s="7"/>
      <c r="AC31" s="7"/>
    </row>
    <row r="32" spans="1:29">
      <c r="A32" s="7" t="s">
        <v>1168</v>
      </c>
      <c r="B32" s="7" t="s">
        <v>1176</v>
      </c>
      <c r="C32" s="7" t="s">
        <v>38</v>
      </c>
      <c r="D32" s="7" t="s">
        <v>1236</v>
      </c>
      <c r="E32" s="7" t="s">
        <v>93</v>
      </c>
      <c r="F32" s="7">
        <v>41400</v>
      </c>
      <c r="G32" s="7" t="s">
        <v>98</v>
      </c>
      <c r="H32" s="7" t="s">
        <v>32</v>
      </c>
      <c r="I32" s="7" t="s">
        <v>37</v>
      </c>
      <c r="J32" s="7"/>
      <c r="K32" s="7" t="s">
        <v>1206</v>
      </c>
      <c r="L32" s="7" t="s">
        <v>1226</v>
      </c>
      <c r="M32" s="7" t="s">
        <v>1237</v>
      </c>
      <c r="N32" s="7">
        <v>15910</v>
      </c>
      <c r="O32" s="7">
        <v>0</v>
      </c>
      <c r="P32" s="7">
        <v>6337</v>
      </c>
      <c r="Q32" s="7">
        <v>7955</v>
      </c>
      <c r="R32" s="7">
        <v>0</v>
      </c>
      <c r="S32" s="7">
        <v>7955</v>
      </c>
      <c r="T32" s="7">
        <v>0</v>
      </c>
      <c r="U32" s="7">
        <v>0</v>
      </c>
      <c r="V32" s="7">
        <v>7955</v>
      </c>
      <c r="W32" s="7">
        <v>0</v>
      </c>
      <c r="X32" s="7" t="s">
        <v>42</v>
      </c>
      <c r="Y32" s="7" t="s">
        <v>47</v>
      </c>
      <c r="Z32" s="7">
        <v>0</v>
      </c>
      <c r="AA32" s="7">
        <v>6</v>
      </c>
      <c r="AB32" s="7"/>
      <c r="AC32" s="7"/>
    </row>
    <row r="33" spans="1:29">
      <c r="A33" s="7" t="s">
        <v>1168</v>
      </c>
      <c r="B33" s="7" t="s">
        <v>1176</v>
      </c>
      <c r="C33" s="7" t="s">
        <v>38</v>
      </c>
      <c r="D33" s="7" t="s">
        <v>1238</v>
      </c>
      <c r="E33" s="7" t="s">
        <v>93</v>
      </c>
      <c r="F33" s="7">
        <v>41400</v>
      </c>
      <c r="G33" s="7" t="s">
        <v>98</v>
      </c>
      <c r="H33" s="7" t="s">
        <v>110</v>
      </c>
      <c r="I33" s="7" t="s">
        <v>37</v>
      </c>
      <c r="J33" s="7"/>
      <c r="K33" s="7" t="s">
        <v>1239</v>
      </c>
      <c r="L33" s="7" t="s">
        <v>1226</v>
      </c>
      <c r="M33" s="7" t="s">
        <v>1240</v>
      </c>
      <c r="N33" s="7">
        <v>15910</v>
      </c>
      <c r="O33" s="7">
        <v>0</v>
      </c>
      <c r="P33" s="7">
        <v>6337</v>
      </c>
      <c r="Q33" s="7">
        <v>7955</v>
      </c>
      <c r="R33" s="7">
        <v>0</v>
      </c>
      <c r="S33" s="7">
        <v>0</v>
      </c>
      <c r="T33" s="7">
        <v>0</v>
      </c>
      <c r="U33" s="7">
        <v>7955</v>
      </c>
      <c r="V33" s="7">
        <v>7955</v>
      </c>
      <c r="W33" s="7">
        <v>0</v>
      </c>
      <c r="X33" s="7" t="s">
        <v>98</v>
      </c>
      <c r="Y33" s="7" t="s">
        <v>37</v>
      </c>
      <c r="Z33" s="7">
        <v>0</v>
      </c>
      <c r="AA33" s="7">
        <v>6</v>
      </c>
      <c r="AB33" s="7"/>
      <c r="AC33" s="7"/>
    </row>
    <row r="34" spans="1:29">
      <c r="A34" s="7" t="s">
        <v>1168</v>
      </c>
      <c r="B34" s="7" t="s">
        <v>1176</v>
      </c>
      <c r="C34" s="7" t="s">
        <v>38</v>
      </c>
      <c r="D34" s="7" t="s">
        <v>1241</v>
      </c>
      <c r="E34" s="7" t="s">
        <v>93</v>
      </c>
      <c r="F34" s="7">
        <v>41400</v>
      </c>
      <c r="G34" s="7" t="s">
        <v>32</v>
      </c>
      <c r="H34" s="7" t="s">
        <v>110</v>
      </c>
      <c r="I34" s="7" t="s">
        <v>37</v>
      </c>
      <c r="J34" s="7"/>
      <c r="K34" s="7" t="s">
        <v>1207</v>
      </c>
      <c r="L34" s="7" t="s">
        <v>1226</v>
      </c>
      <c r="M34" s="7" t="s">
        <v>1242</v>
      </c>
      <c r="N34" s="7">
        <v>15910</v>
      </c>
      <c r="O34" s="7">
        <v>0</v>
      </c>
      <c r="P34" s="7">
        <v>6337</v>
      </c>
      <c r="Q34" s="7">
        <v>0</v>
      </c>
      <c r="R34" s="7">
        <v>0</v>
      </c>
      <c r="S34" s="7">
        <v>7955</v>
      </c>
      <c r="T34" s="7">
        <v>0</v>
      </c>
      <c r="U34" s="7">
        <v>7955</v>
      </c>
      <c r="V34" s="7">
        <v>7955</v>
      </c>
      <c r="W34" s="7">
        <v>0</v>
      </c>
      <c r="X34" s="7" t="s">
        <v>32</v>
      </c>
      <c r="Y34" s="7" t="s">
        <v>37</v>
      </c>
      <c r="Z34" s="7">
        <v>0</v>
      </c>
      <c r="AA34" s="7">
        <v>6</v>
      </c>
      <c r="AB34" s="7"/>
      <c r="AC34" s="7"/>
    </row>
    <row r="35" spans="1:29">
      <c r="A35" s="7" t="s">
        <v>1168</v>
      </c>
      <c r="B35" s="7" t="s">
        <v>1228</v>
      </c>
      <c r="C35" s="7" t="s">
        <v>38</v>
      </c>
      <c r="D35" s="7" t="s">
        <v>1243</v>
      </c>
      <c r="E35" s="7" t="s">
        <v>93</v>
      </c>
      <c r="F35" s="7">
        <v>41400</v>
      </c>
      <c r="G35" s="7" t="s">
        <v>24</v>
      </c>
      <c r="H35" s="7" t="s">
        <v>37</v>
      </c>
      <c r="I35" s="7"/>
      <c r="J35" s="7"/>
      <c r="K35" s="7" t="s">
        <v>1191</v>
      </c>
      <c r="L35" s="7" t="s">
        <v>1226</v>
      </c>
      <c r="M35" s="7" t="s">
        <v>1244</v>
      </c>
      <c r="N35" s="7">
        <v>15910</v>
      </c>
      <c r="O35" s="7">
        <v>0</v>
      </c>
      <c r="P35" s="7">
        <v>7452</v>
      </c>
      <c r="Q35" s="7">
        <v>0</v>
      </c>
      <c r="R35" s="7">
        <v>0</v>
      </c>
      <c r="S35" s="7">
        <v>0</v>
      </c>
      <c r="T35" s="7">
        <v>8967</v>
      </c>
      <c r="U35" s="7">
        <v>0</v>
      </c>
      <c r="V35" s="7">
        <v>11209</v>
      </c>
      <c r="W35" s="7">
        <v>0</v>
      </c>
      <c r="X35" s="7" t="s">
        <v>98</v>
      </c>
      <c r="Y35" s="7" t="s">
        <v>110</v>
      </c>
      <c r="Z35" s="7">
        <v>0</v>
      </c>
      <c r="AA35" s="7">
        <v>6</v>
      </c>
      <c r="AB35" s="7"/>
      <c r="AC35" s="7"/>
    </row>
    <row r="36" spans="1:29">
      <c r="A36" s="7" t="s">
        <v>1168</v>
      </c>
      <c r="B36" s="7" t="s">
        <v>1176</v>
      </c>
      <c r="C36" s="7" t="s">
        <v>38</v>
      </c>
      <c r="D36" s="7" t="s">
        <v>1245</v>
      </c>
      <c r="E36" s="7" t="s">
        <v>654</v>
      </c>
      <c r="F36" s="7">
        <v>41400</v>
      </c>
      <c r="G36" s="7" t="s">
        <v>98</v>
      </c>
      <c r="H36" s="7" t="s">
        <v>42</v>
      </c>
      <c r="I36" s="7" t="s">
        <v>110</v>
      </c>
      <c r="J36" s="7"/>
      <c r="K36" s="7" t="s">
        <v>1179</v>
      </c>
      <c r="L36" s="7" t="s">
        <v>1173</v>
      </c>
      <c r="M36" s="7" t="s">
        <v>1246</v>
      </c>
      <c r="N36" s="7">
        <v>15910</v>
      </c>
      <c r="O36" s="7">
        <v>0</v>
      </c>
      <c r="P36" s="7">
        <v>6338</v>
      </c>
      <c r="Q36" s="7">
        <v>13018</v>
      </c>
      <c r="R36" s="7">
        <v>5424</v>
      </c>
      <c r="S36" s="7">
        <v>0</v>
      </c>
      <c r="T36" s="7">
        <v>0</v>
      </c>
      <c r="U36" s="7">
        <v>5424</v>
      </c>
      <c r="V36" s="7">
        <v>0</v>
      </c>
      <c r="W36" s="7">
        <v>0</v>
      </c>
      <c r="X36" s="7" t="s">
        <v>32</v>
      </c>
      <c r="Y36" s="7" t="s">
        <v>47</v>
      </c>
      <c r="Z36" s="7">
        <v>0</v>
      </c>
      <c r="AA36" s="7">
        <v>6</v>
      </c>
      <c r="AB36" s="7"/>
      <c r="AC36" s="7"/>
    </row>
    <row r="37" spans="1:29">
      <c r="A37" s="7" t="s">
        <v>1168</v>
      </c>
      <c r="B37" s="7" t="s">
        <v>1176</v>
      </c>
      <c r="C37" s="7" t="s">
        <v>38</v>
      </c>
      <c r="D37" s="7" t="s">
        <v>1247</v>
      </c>
      <c r="E37" s="7" t="s">
        <v>654</v>
      </c>
      <c r="F37" s="7">
        <v>41400</v>
      </c>
      <c r="G37" s="7" t="s">
        <v>98</v>
      </c>
      <c r="H37" s="7" t="s">
        <v>42</v>
      </c>
      <c r="I37" s="7" t="s">
        <v>37</v>
      </c>
      <c r="J37" s="7"/>
      <c r="K37" s="7" t="s">
        <v>1177</v>
      </c>
      <c r="L37" s="7" t="s">
        <v>1173</v>
      </c>
      <c r="M37" s="7" t="s">
        <v>39</v>
      </c>
      <c r="N37" s="7">
        <v>15910</v>
      </c>
      <c r="O37" s="7">
        <v>0</v>
      </c>
      <c r="P37" s="7">
        <v>6338</v>
      </c>
      <c r="Q37" s="7">
        <v>13018</v>
      </c>
      <c r="R37" s="7">
        <v>5424</v>
      </c>
      <c r="S37" s="7">
        <v>0</v>
      </c>
      <c r="T37" s="7">
        <v>0</v>
      </c>
      <c r="U37" s="7">
        <v>0</v>
      </c>
      <c r="V37" s="7">
        <v>5424</v>
      </c>
      <c r="W37" s="7">
        <v>0</v>
      </c>
      <c r="X37" s="7" t="s">
        <v>32</v>
      </c>
      <c r="Y37" s="7" t="s">
        <v>37</v>
      </c>
      <c r="Z37" s="7">
        <v>0</v>
      </c>
      <c r="AA37" s="7">
        <v>6</v>
      </c>
      <c r="AB37" s="7"/>
      <c r="AC37" s="7"/>
    </row>
    <row r="38" spans="1:29">
      <c r="A38" s="7" t="s">
        <v>1168</v>
      </c>
      <c r="B38" s="7" t="s">
        <v>1248</v>
      </c>
      <c r="C38" s="7" t="s">
        <v>38</v>
      </c>
      <c r="D38" s="7" t="s">
        <v>1249</v>
      </c>
      <c r="E38" s="7" t="s">
        <v>654</v>
      </c>
      <c r="F38" s="7">
        <v>41400</v>
      </c>
      <c r="G38" s="7" t="s">
        <v>98</v>
      </c>
      <c r="H38" s="7" t="s">
        <v>37</v>
      </c>
      <c r="I38" s="7"/>
      <c r="J38" s="7"/>
      <c r="K38" s="7" t="s">
        <v>1184</v>
      </c>
      <c r="L38" s="7" t="s">
        <v>1173</v>
      </c>
      <c r="M38" s="7" t="s">
        <v>1250</v>
      </c>
      <c r="N38" s="7">
        <v>15910</v>
      </c>
      <c r="O38" s="7">
        <v>0</v>
      </c>
      <c r="P38" s="7">
        <v>2185</v>
      </c>
      <c r="Q38" s="7">
        <v>28203</v>
      </c>
      <c r="R38" s="7">
        <v>0</v>
      </c>
      <c r="S38" s="7">
        <v>0</v>
      </c>
      <c r="T38" s="7">
        <v>0</v>
      </c>
      <c r="U38" s="7">
        <v>0</v>
      </c>
      <c r="V38" s="7">
        <v>8679</v>
      </c>
      <c r="W38" s="7">
        <v>0</v>
      </c>
      <c r="X38" s="7" t="s">
        <v>47</v>
      </c>
      <c r="Y38" s="7" t="s">
        <v>37</v>
      </c>
      <c r="Z38" s="7">
        <v>0</v>
      </c>
      <c r="AA38" s="7">
        <v>6</v>
      </c>
      <c r="AB38" s="7"/>
      <c r="AC38" s="7"/>
    </row>
    <row r="39" spans="1:29">
      <c r="A39" s="7" t="s">
        <v>1168</v>
      </c>
      <c r="B39" s="7" t="s">
        <v>1248</v>
      </c>
      <c r="C39" s="7" t="s">
        <v>38</v>
      </c>
      <c r="D39" s="7" t="s">
        <v>1251</v>
      </c>
      <c r="E39" s="7" t="s">
        <v>654</v>
      </c>
      <c r="F39" s="7">
        <v>41400</v>
      </c>
      <c r="G39" s="7" t="s">
        <v>32</v>
      </c>
      <c r="H39" s="7" t="s">
        <v>37</v>
      </c>
      <c r="I39" s="7"/>
      <c r="J39" s="7"/>
      <c r="K39" s="7" t="s">
        <v>1172</v>
      </c>
      <c r="L39" s="7" t="s">
        <v>1173</v>
      </c>
      <c r="M39" s="7" t="s">
        <v>1252</v>
      </c>
      <c r="N39" s="7">
        <v>15910</v>
      </c>
      <c r="O39" s="7">
        <v>0</v>
      </c>
      <c r="P39" s="7">
        <v>2185</v>
      </c>
      <c r="Q39" s="7">
        <v>0</v>
      </c>
      <c r="R39" s="7">
        <v>0</v>
      </c>
      <c r="S39" s="7">
        <v>28203</v>
      </c>
      <c r="T39" s="7">
        <v>0</v>
      </c>
      <c r="U39" s="7">
        <v>0</v>
      </c>
      <c r="V39" s="7">
        <v>8679</v>
      </c>
      <c r="W39" s="7">
        <v>0</v>
      </c>
      <c r="X39" s="7" t="s">
        <v>32</v>
      </c>
      <c r="Y39" s="7" t="s">
        <v>47</v>
      </c>
      <c r="Z39" s="7">
        <v>0</v>
      </c>
      <c r="AA39" s="7">
        <v>6</v>
      </c>
      <c r="AB39" s="7"/>
      <c r="AC39" s="7"/>
    </row>
    <row r="40" spans="1:29">
      <c r="A40" s="7" t="s">
        <v>1168</v>
      </c>
      <c r="B40" s="7" t="s">
        <v>1193</v>
      </c>
      <c r="C40" s="7" t="s">
        <v>38</v>
      </c>
      <c r="D40" s="7" t="s">
        <v>1253</v>
      </c>
      <c r="E40" s="7" t="s">
        <v>654</v>
      </c>
      <c r="F40" s="7">
        <v>41400</v>
      </c>
      <c r="G40" s="7" t="s">
        <v>110</v>
      </c>
      <c r="H40" s="7" t="s">
        <v>37</v>
      </c>
      <c r="I40" s="7"/>
      <c r="J40" s="7"/>
      <c r="K40" s="7" t="s">
        <v>1187</v>
      </c>
      <c r="L40" s="7" t="s">
        <v>1173</v>
      </c>
      <c r="M40" s="7" t="s">
        <v>1254</v>
      </c>
      <c r="N40" s="7">
        <v>15910</v>
      </c>
      <c r="O40" s="7">
        <v>0</v>
      </c>
      <c r="P40" s="7">
        <v>2185</v>
      </c>
      <c r="Q40" s="7">
        <v>0</v>
      </c>
      <c r="R40" s="7">
        <v>0</v>
      </c>
      <c r="S40" s="7">
        <v>0</v>
      </c>
      <c r="T40" s="7">
        <v>0</v>
      </c>
      <c r="U40" s="7">
        <v>28927</v>
      </c>
      <c r="V40" s="7">
        <v>8679</v>
      </c>
      <c r="W40" s="7">
        <v>0</v>
      </c>
      <c r="X40" s="7" t="s">
        <v>110</v>
      </c>
      <c r="Y40" s="7" t="s">
        <v>37</v>
      </c>
      <c r="Z40" s="7">
        <v>0</v>
      </c>
      <c r="AA40" s="7">
        <v>6</v>
      </c>
      <c r="AB40" s="7"/>
      <c r="AC40" s="7"/>
    </row>
    <row r="41" spans="1:29">
      <c r="A41" s="7" t="s">
        <v>1168</v>
      </c>
      <c r="B41" s="7" t="s">
        <v>1176</v>
      </c>
      <c r="C41" s="7" t="s">
        <v>38</v>
      </c>
      <c r="D41" s="7" t="s">
        <v>1255</v>
      </c>
      <c r="E41" s="7" t="s">
        <v>654</v>
      </c>
      <c r="F41" s="7">
        <v>41400</v>
      </c>
      <c r="G41" s="7" t="s">
        <v>110</v>
      </c>
      <c r="H41" s="7"/>
      <c r="I41" s="7"/>
      <c r="J41" s="7"/>
      <c r="K41" s="7" t="s">
        <v>110</v>
      </c>
      <c r="L41" s="7" t="s">
        <v>1173</v>
      </c>
      <c r="M41" s="7" t="s">
        <v>1256</v>
      </c>
      <c r="N41" s="7">
        <v>15910</v>
      </c>
      <c r="O41" s="7">
        <v>0</v>
      </c>
      <c r="P41" s="7">
        <v>6118</v>
      </c>
      <c r="Q41" s="7">
        <v>0</v>
      </c>
      <c r="R41" s="7">
        <v>0</v>
      </c>
      <c r="S41" s="7">
        <v>0</v>
      </c>
      <c r="T41" s="7">
        <v>0</v>
      </c>
      <c r="U41" s="7">
        <v>22419</v>
      </c>
      <c r="V41" s="7">
        <v>0</v>
      </c>
      <c r="W41" s="7">
        <v>0</v>
      </c>
      <c r="X41" s="7" t="s">
        <v>98</v>
      </c>
      <c r="Y41" s="7" t="s">
        <v>110</v>
      </c>
      <c r="Z41" s="7">
        <v>0</v>
      </c>
      <c r="AA41" s="7">
        <v>6</v>
      </c>
      <c r="AB41" s="7"/>
      <c r="AC41" s="7"/>
    </row>
    <row r="42" spans="1:29">
      <c r="A42" s="7" t="s">
        <v>1168</v>
      </c>
      <c r="B42" s="7" t="s">
        <v>1228</v>
      </c>
      <c r="C42" s="7" t="s">
        <v>38</v>
      </c>
      <c r="D42" s="7" t="s">
        <v>1257</v>
      </c>
      <c r="E42" s="7" t="s">
        <v>667</v>
      </c>
      <c r="F42" s="7">
        <v>41400</v>
      </c>
      <c r="G42" s="7" t="s">
        <v>24</v>
      </c>
      <c r="H42" s="7" t="s">
        <v>37</v>
      </c>
      <c r="I42" s="7"/>
      <c r="J42" s="7"/>
      <c r="K42" s="7" t="s">
        <v>1191</v>
      </c>
      <c r="L42" s="7" t="s">
        <v>1173</v>
      </c>
      <c r="M42" s="7" t="s">
        <v>1258</v>
      </c>
      <c r="N42" s="7">
        <v>15910</v>
      </c>
      <c r="O42" s="7">
        <v>0</v>
      </c>
      <c r="P42" s="7">
        <v>7452</v>
      </c>
      <c r="Q42" s="7">
        <v>0</v>
      </c>
      <c r="R42" s="7">
        <v>0</v>
      </c>
      <c r="S42" s="7">
        <v>0</v>
      </c>
      <c r="T42" s="7">
        <v>8967</v>
      </c>
      <c r="U42" s="7">
        <v>0</v>
      </c>
      <c r="V42" s="7">
        <v>11209</v>
      </c>
      <c r="W42" s="7">
        <v>0</v>
      </c>
      <c r="X42" s="7" t="s">
        <v>98</v>
      </c>
      <c r="Y42" s="7" t="s">
        <v>110</v>
      </c>
      <c r="Z42" s="7">
        <v>0</v>
      </c>
      <c r="AA42" s="7">
        <v>6</v>
      </c>
      <c r="AB42" s="7"/>
      <c r="AC42" s="7"/>
    </row>
    <row r="43" spans="1:29">
      <c r="A43" s="7" t="s">
        <v>1181</v>
      </c>
      <c r="B43" s="7" t="s">
        <v>1182</v>
      </c>
      <c r="C43" s="7" t="s">
        <v>38</v>
      </c>
      <c r="D43" s="7" t="s">
        <v>1259</v>
      </c>
      <c r="E43" s="7" t="s">
        <v>601</v>
      </c>
      <c r="F43" s="7">
        <v>35900</v>
      </c>
      <c r="G43" s="7" t="s">
        <v>32</v>
      </c>
      <c r="H43" s="7" t="s">
        <v>37</v>
      </c>
      <c r="I43" s="7"/>
      <c r="J43" s="7"/>
      <c r="K43" s="7" t="s">
        <v>1172</v>
      </c>
      <c r="L43" s="7"/>
      <c r="M43" s="7" t="s">
        <v>1260</v>
      </c>
      <c r="N43" s="7">
        <v>13796</v>
      </c>
      <c r="O43" s="7">
        <v>1126</v>
      </c>
      <c r="P43" s="7">
        <v>2843</v>
      </c>
      <c r="Q43" s="7">
        <v>0</v>
      </c>
      <c r="R43" s="7">
        <v>0</v>
      </c>
      <c r="S43" s="7">
        <v>9407</v>
      </c>
      <c r="T43" s="7">
        <v>0</v>
      </c>
      <c r="U43" s="7">
        <v>0</v>
      </c>
      <c r="V43" s="7">
        <v>7525</v>
      </c>
      <c r="W43" s="7">
        <v>0</v>
      </c>
      <c r="X43" s="7" t="s">
        <v>37</v>
      </c>
      <c r="Y43" s="7" t="s">
        <v>91</v>
      </c>
      <c r="Z43" s="7">
        <v>0</v>
      </c>
      <c r="AA43" s="7">
        <v>6</v>
      </c>
      <c r="AB43" s="7"/>
      <c r="AC43" s="7"/>
    </row>
    <row r="44" spans="1:29">
      <c r="A44" s="7" t="s">
        <v>1181</v>
      </c>
      <c r="B44" s="7" t="s">
        <v>1182</v>
      </c>
      <c r="C44" s="7" t="s">
        <v>38</v>
      </c>
      <c r="D44" s="7" t="s">
        <v>1219</v>
      </c>
      <c r="E44" s="7" t="s">
        <v>93</v>
      </c>
      <c r="F44" s="7">
        <v>35300</v>
      </c>
      <c r="G44" s="7" t="s">
        <v>98</v>
      </c>
      <c r="H44" s="7" t="s">
        <v>37</v>
      </c>
      <c r="I44" s="7"/>
      <c r="J44" s="7"/>
      <c r="K44" s="7" t="s">
        <v>1184</v>
      </c>
      <c r="L44" s="7"/>
      <c r="M44" s="7" t="s">
        <v>1261</v>
      </c>
      <c r="N44" s="7">
        <v>13566</v>
      </c>
      <c r="O44" s="7">
        <v>1107</v>
      </c>
      <c r="P44" s="7">
        <v>2795</v>
      </c>
      <c r="Q44" s="7">
        <v>9249</v>
      </c>
      <c r="R44" s="7">
        <v>0</v>
      </c>
      <c r="S44" s="7">
        <v>0</v>
      </c>
      <c r="T44" s="7">
        <v>0</v>
      </c>
      <c r="U44" s="7">
        <v>0</v>
      </c>
      <c r="V44" s="7">
        <v>7400</v>
      </c>
      <c r="W44" s="7">
        <v>0</v>
      </c>
      <c r="X44" s="7" t="s">
        <v>98</v>
      </c>
      <c r="Y44" s="7" t="s">
        <v>47</v>
      </c>
      <c r="Z44" s="7">
        <v>0</v>
      </c>
      <c r="AA44" s="7">
        <v>6</v>
      </c>
      <c r="AB44" s="7"/>
      <c r="AC44" s="7"/>
    </row>
    <row r="45" spans="1:29">
      <c r="A45" s="7" t="s">
        <v>1181</v>
      </c>
      <c r="B45" s="7" t="s">
        <v>1182</v>
      </c>
      <c r="C45" s="7" t="s">
        <v>38</v>
      </c>
      <c r="D45" s="7" t="s">
        <v>1215</v>
      </c>
      <c r="E45" s="7" t="s">
        <v>93</v>
      </c>
      <c r="F45" s="7">
        <v>35300</v>
      </c>
      <c r="G45" s="7" t="s">
        <v>98</v>
      </c>
      <c r="H45" s="7" t="s">
        <v>37</v>
      </c>
      <c r="I45" s="7"/>
      <c r="J45" s="7"/>
      <c r="K45" s="7" t="s">
        <v>1184</v>
      </c>
      <c r="L45" s="7"/>
      <c r="M45" s="7" t="s">
        <v>1262</v>
      </c>
      <c r="N45" s="7">
        <v>13566</v>
      </c>
      <c r="O45" s="7">
        <v>1107</v>
      </c>
      <c r="P45" s="7">
        <v>2795</v>
      </c>
      <c r="Q45" s="7">
        <v>9249</v>
      </c>
      <c r="R45" s="7">
        <v>0</v>
      </c>
      <c r="S45" s="7">
        <v>0</v>
      </c>
      <c r="T45" s="7">
        <v>0</v>
      </c>
      <c r="U45" s="7">
        <v>0</v>
      </c>
      <c r="V45" s="7">
        <v>7400</v>
      </c>
      <c r="W45" s="7">
        <v>0</v>
      </c>
      <c r="X45" s="7" t="s">
        <v>98</v>
      </c>
      <c r="Y45" s="7" t="s">
        <v>47</v>
      </c>
      <c r="Z45" s="7">
        <v>0</v>
      </c>
      <c r="AA45" s="7">
        <v>6</v>
      </c>
      <c r="AB45" s="7"/>
      <c r="AC45" s="7"/>
    </row>
    <row r="46" spans="1:29">
      <c r="A46" s="7" t="s">
        <v>1181</v>
      </c>
      <c r="B46" s="7" t="s">
        <v>1182</v>
      </c>
      <c r="C46" s="7" t="s">
        <v>38</v>
      </c>
      <c r="D46" s="7" t="s">
        <v>1263</v>
      </c>
      <c r="E46" s="7" t="s">
        <v>93</v>
      </c>
      <c r="F46" s="7">
        <v>35300</v>
      </c>
      <c r="G46" s="7" t="s">
        <v>32</v>
      </c>
      <c r="H46" s="7" t="s">
        <v>37</v>
      </c>
      <c r="I46" s="7"/>
      <c r="J46" s="7"/>
      <c r="K46" s="7" t="s">
        <v>1172</v>
      </c>
      <c r="L46" s="7"/>
      <c r="M46" s="7" t="s">
        <v>1264</v>
      </c>
      <c r="N46" s="7">
        <v>13566</v>
      </c>
      <c r="O46" s="7">
        <v>1107</v>
      </c>
      <c r="P46" s="7">
        <v>2795</v>
      </c>
      <c r="Q46" s="7">
        <v>0</v>
      </c>
      <c r="R46" s="7">
        <v>0</v>
      </c>
      <c r="S46" s="7">
        <v>9249</v>
      </c>
      <c r="T46" s="7">
        <v>0</v>
      </c>
      <c r="U46" s="7">
        <v>0</v>
      </c>
      <c r="V46" s="7">
        <v>7400</v>
      </c>
      <c r="W46" s="7">
        <v>0</v>
      </c>
      <c r="X46" s="7" t="s">
        <v>37</v>
      </c>
      <c r="Y46" s="7" t="s">
        <v>91</v>
      </c>
      <c r="Z46" s="7">
        <v>0</v>
      </c>
      <c r="AA46" s="7">
        <v>6</v>
      </c>
      <c r="AB46" s="7"/>
      <c r="AC46" s="7"/>
    </row>
    <row r="47" spans="1:29">
      <c r="A47" s="7" t="s">
        <v>1168</v>
      </c>
      <c r="B47" s="7" t="s">
        <v>1228</v>
      </c>
      <c r="C47" s="7" t="s">
        <v>38</v>
      </c>
      <c r="D47" s="7" t="s">
        <v>1265</v>
      </c>
      <c r="E47" s="7" t="s">
        <v>93</v>
      </c>
      <c r="F47" s="7">
        <v>35300</v>
      </c>
      <c r="G47" s="7" t="s">
        <v>32</v>
      </c>
      <c r="H47" s="7" t="s">
        <v>37</v>
      </c>
      <c r="I47" s="7"/>
      <c r="J47" s="7"/>
      <c r="K47" s="7" t="s">
        <v>1172</v>
      </c>
      <c r="L47" s="7" t="s">
        <v>1226</v>
      </c>
      <c r="M47" s="7" t="s">
        <v>1266</v>
      </c>
      <c r="N47" s="7">
        <v>13566</v>
      </c>
      <c r="O47" s="7">
        <v>0</v>
      </c>
      <c r="P47" s="7">
        <v>5217</v>
      </c>
      <c r="Q47" s="7">
        <v>0</v>
      </c>
      <c r="R47" s="7">
        <v>0</v>
      </c>
      <c r="S47" s="7">
        <v>15107</v>
      </c>
      <c r="T47" s="7">
        <v>0</v>
      </c>
      <c r="U47" s="7">
        <v>0</v>
      </c>
      <c r="V47" s="7">
        <v>6166</v>
      </c>
      <c r="W47" s="7">
        <v>0</v>
      </c>
      <c r="X47" s="7" t="s">
        <v>32</v>
      </c>
      <c r="Y47" s="7" t="s">
        <v>47</v>
      </c>
      <c r="Z47" s="7">
        <v>0</v>
      </c>
      <c r="AA47" s="7">
        <v>6</v>
      </c>
      <c r="AB47" s="7"/>
      <c r="AC47" s="7"/>
    </row>
    <row r="48" spans="1:29">
      <c r="A48" s="7" t="s">
        <v>1168</v>
      </c>
      <c r="B48" s="7" t="s">
        <v>1228</v>
      </c>
      <c r="C48" s="7" t="s">
        <v>38</v>
      </c>
      <c r="D48" s="7" t="s">
        <v>1267</v>
      </c>
      <c r="E48" s="7" t="s">
        <v>93</v>
      </c>
      <c r="F48" s="7">
        <v>35300</v>
      </c>
      <c r="G48" s="7" t="s">
        <v>98</v>
      </c>
      <c r="H48" s="7" t="s">
        <v>37</v>
      </c>
      <c r="I48" s="7"/>
      <c r="J48" s="7"/>
      <c r="K48" s="7" t="s">
        <v>1184</v>
      </c>
      <c r="L48" s="7" t="s">
        <v>1226</v>
      </c>
      <c r="M48" s="7" t="s">
        <v>1268</v>
      </c>
      <c r="N48" s="7">
        <v>13566</v>
      </c>
      <c r="O48" s="7">
        <v>0</v>
      </c>
      <c r="P48" s="7">
        <v>4472</v>
      </c>
      <c r="Q48" s="7">
        <v>14799</v>
      </c>
      <c r="R48" s="7">
        <v>0</v>
      </c>
      <c r="S48" s="7">
        <v>0</v>
      </c>
      <c r="T48" s="7">
        <v>0</v>
      </c>
      <c r="U48" s="7">
        <v>0</v>
      </c>
      <c r="V48" s="7">
        <v>8633</v>
      </c>
      <c r="W48" s="7">
        <v>0</v>
      </c>
      <c r="X48" s="7" t="s">
        <v>47</v>
      </c>
      <c r="Y48" s="7" t="s">
        <v>37</v>
      </c>
      <c r="Z48" s="7">
        <v>0</v>
      </c>
      <c r="AA48" s="7">
        <v>6</v>
      </c>
      <c r="AB48" s="7"/>
      <c r="AC48" s="7"/>
    </row>
    <row r="49" spans="1:29">
      <c r="A49" s="7" t="s">
        <v>1168</v>
      </c>
      <c r="B49" s="7" t="s">
        <v>1169</v>
      </c>
      <c r="C49" s="7" t="s">
        <v>38</v>
      </c>
      <c r="D49" s="7" t="s">
        <v>1269</v>
      </c>
      <c r="E49" s="7" t="s">
        <v>93</v>
      </c>
      <c r="F49" s="7">
        <v>35300</v>
      </c>
      <c r="G49" s="7" t="s">
        <v>24</v>
      </c>
      <c r="H49" s="7" t="s">
        <v>37</v>
      </c>
      <c r="I49" s="7"/>
      <c r="J49" s="7"/>
      <c r="K49" s="7" t="s">
        <v>1191</v>
      </c>
      <c r="L49" s="7" t="s">
        <v>1226</v>
      </c>
      <c r="M49" s="7" t="s">
        <v>1270</v>
      </c>
      <c r="N49" s="7">
        <v>13566</v>
      </c>
      <c r="O49" s="7">
        <v>0</v>
      </c>
      <c r="P49" s="7">
        <v>5962</v>
      </c>
      <c r="Q49" s="7">
        <v>0</v>
      </c>
      <c r="R49" s="7">
        <v>0</v>
      </c>
      <c r="S49" s="7">
        <v>0</v>
      </c>
      <c r="T49" s="7">
        <v>8941</v>
      </c>
      <c r="U49" s="7">
        <v>0</v>
      </c>
      <c r="V49" s="7">
        <v>9558</v>
      </c>
      <c r="W49" s="7">
        <v>0</v>
      </c>
      <c r="X49" s="7" t="s">
        <v>98</v>
      </c>
      <c r="Y49" s="7" t="s">
        <v>110</v>
      </c>
      <c r="Z49" s="7">
        <v>0</v>
      </c>
      <c r="AA49" s="7">
        <v>6</v>
      </c>
      <c r="AB49" s="7"/>
      <c r="AC49" s="7"/>
    </row>
    <row r="50" spans="1:29">
      <c r="A50" s="7" t="s">
        <v>1168</v>
      </c>
      <c r="B50" s="7" t="s">
        <v>1228</v>
      </c>
      <c r="C50" s="7" t="s">
        <v>38</v>
      </c>
      <c r="D50" s="7" t="s">
        <v>1271</v>
      </c>
      <c r="E50" s="7" t="s">
        <v>93</v>
      </c>
      <c r="F50" s="7">
        <v>35300</v>
      </c>
      <c r="G50" s="7" t="s">
        <v>110</v>
      </c>
      <c r="H50" s="7" t="s">
        <v>37</v>
      </c>
      <c r="I50" s="7"/>
      <c r="J50" s="7"/>
      <c r="K50" s="7" t="s">
        <v>1187</v>
      </c>
      <c r="L50" s="7" t="s">
        <v>1226</v>
      </c>
      <c r="M50" s="7" t="s">
        <v>1272</v>
      </c>
      <c r="N50" s="7">
        <v>13566</v>
      </c>
      <c r="O50" s="7">
        <v>0</v>
      </c>
      <c r="P50" s="7">
        <v>3726</v>
      </c>
      <c r="Q50" s="7">
        <v>0</v>
      </c>
      <c r="R50" s="7">
        <v>0</v>
      </c>
      <c r="S50" s="7">
        <v>0</v>
      </c>
      <c r="T50" s="7">
        <v>0</v>
      </c>
      <c r="U50" s="7">
        <v>16957</v>
      </c>
      <c r="V50" s="7">
        <v>9249</v>
      </c>
      <c r="W50" s="7">
        <v>0</v>
      </c>
      <c r="X50" s="7" t="s">
        <v>110</v>
      </c>
      <c r="Y50" s="7" t="s">
        <v>37</v>
      </c>
      <c r="Z50" s="7">
        <v>0</v>
      </c>
      <c r="AA50" s="7">
        <v>6</v>
      </c>
      <c r="AB50" s="7"/>
      <c r="AC50" s="7"/>
    </row>
    <row r="51" spans="1:29">
      <c r="A51" s="7" t="s">
        <v>1168</v>
      </c>
      <c r="B51" s="7" t="s">
        <v>1176</v>
      </c>
      <c r="C51" s="7" t="s">
        <v>38</v>
      </c>
      <c r="D51" s="7" t="s">
        <v>1273</v>
      </c>
      <c r="E51" s="7" t="s">
        <v>93</v>
      </c>
      <c r="F51" s="7">
        <v>35300</v>
      </c>
      <c r="G51" s="7" t="s">
        <v>32</v>
      </c>
      <c r="H51" s="7" t="s">
        <v>110</v>
      </c>
      <c r="I51" s="7" t="s">
        <v>37</v>
      </c>
      <c r="J51" s="7"/>
      <c r="K51" s="7" t="s">
        <v>1207</v>
      </c>
      <c r="L51" s="7" t="s">
        <v>1226</v>
      </c>
      <c r="M51" s="7" t="s">
        <v>1274</v>
      </c>
      <c r="N51" s="7">
        <v>13566</v>
      </c>
      <c r="O51" s="7">
        <v>0</v>
      </c>
      <c r="P51" s="7">
        <v>5403</v>
      </c>
      <c r="Q51" s="7">
        <v>0</v>
      </c>
      <c r="R51" s="7">
        <v>0</v>
      </c>
      <c r="S51" s="7">
        <v>6783</v>
      </c>
      <c r="T51" s="7">
        <v>0</v>
      </c>
      <c r="U51" s="7">
        <v>6783</v>
      </c>
      <c r="V51" s="7">
        <v>6783</v>
      </c>
      <c r="W51" s="7">
        <v>0</v>
      </c>
      <c r="X51" s="7" t="s">
        <v>32</v>
      </c>
      <c r="Y51" s="7" t="s">
        <v>37</v>
      </c>
      <c r="Z51" s="7">
        <v>0</v>
      </c>
      <c r="AA51" s="7">
        <v>6</v>
      </c>
      <c r="AB51" s="7"/>
      <c r="AC51" s="7"/>
    </row>
    <row r="52" spans="1:29">
      <c r="A52" s="7" t="s">
        <v>1168</v>
      </c>
      <c r="B52" s="7" t="s">
        <v>1176</v>
      </c>
      <c r="C52" s="7" t="s">
        <v>38</v>
      </c>
      <c r="D52" s="7" t="s">
        <v>1275</v>
      </c>
      <c r="E52" s="7" t="s">
        <v>93</v>
      </c>
      <c r="F52" s="7">
        <v>35300</v>
      </c>
      <c r="G52" s="7" t="s">
        <v>98</v>
      </c>
      <c r="H52" s="7" t="s">
        <v>110</v>
      </c>
      <c r="I52" s="7" t="s">
        <v>37</v>
      </c>
      <c r="J52" s="7"/>
      <c r="K52" s="7" t="s">
        <v>1239</v>
      </c>
      <c r="L52" s="7" t="s">
        <v>1226</v>
      </c>
      <c r="M52" s="7" t="s">
        <v>1276</v>
      </c>
      <c r="N52" s="7">
        <v>13566</v>
      </c>
      <c r="O52" s="7">
        <v>0</v>
      </c>
      <c r="P52" s="7">
        <v>5403</v>
      </c>
      <c r="Q52" s="7">
        <v>6783</v>
      </c>
      <c r="R52" s="7">
        <v>0</v>
      </c>
      <c r="S52" s="7">
        <v>0</v>
      </c>
      <c r="T52" s="7">
        <v>0</v>
      </c>
      <c r="U52" s="7">
        <v>6783</v>
      </c>
      <c r="V52" s="7">
        <v>6783</v>
      </c>
      <c r="W52" s="7">
        <v>0</v>
      </c>
      <c r="X52" s="7" t="s">
        <v>98</v>
      </c>
      <c r="Y52" s="7" t="s">
        <v>37</v>
      </c>
      <c r="Z52" s="7">
        <v>0</v>
      </c>
      <c r="AA52" s="7">
        <v>6</v>
      </c>
      <c r="AB52" s="7"/>
      <c r="AC52" s="7"/>
    </row>
    <row r="53" spans="1:29">
      <c r="A53" s="7" t="s">
        <v>1168</v>
      </c>
      <c r="B53" s="7" t="s">
        <v>1176</v>
      </c>
      <c r="C53" s="7" t="s">
        <v>38</v>
      </c>
      <c r="D53" s="7" t="s">
        <v>1277</v>
      </c>
      <c r="E53" s="7" t="s">
        <v>93</v>
      </c>
      <c r="F53" s="7">
        <v>35300</v>
      </c>
      <c r="G53" s="7" t="s">
        <v>98</v>
      </c>
      <c r="H53" s="7" t="s">
        <v>32</v>
      </c>
      <c r="I53" s="7" t="s">
        <v>37</v>
      </c>
      <c r="J53" s="7"/>
      <c r="K53" s="7" t="s">
        <v>1206</v>
      </c>
      <c r="L53" s="7" t="s">
        <v>1226</v>
      </c>
      <c r="M53" s="7" t="s">
        <v>272</v>
      </c>
      <c r="N53" s="7">
        <v>13566</v>
      </c>
      <c r="O53" s="7">
        <v>0</v>
      </c>
      <c r="P53" s="7">
        <v>5403</v>
      </c>
      <c r="Q53" s="7">
        <v>6783</v>
      </c>
      <c r="R53" s="7">
        <v>0</v>
      </c>
      <c r="S53" s="7">
        <v>6783</v>
      </c>
      <c r="T53" s="7">
        <v>0</v>
      </c>
      <c r="U53" s="7">
        <v>0</v>
      </c>
      <c r="V53" s="7">
        <v>6783</v>
      </c>
      <c r="W53" s="7">
        <v>0</v>
      </c>
      <c r="X53" s="7" t="s">
        <v>42</v>
      </c>
      <c r="Y53" s="7" t="s">
        <v>47</v>
      </c>
      <c r="Z53" s="7">
        <v>0</v>
      </c>
      <c r="AA53" s="7">
        <v>6</v>
      </c>
      <c r="AB53" s="7"/>
      <c r="AC53" s="7"/>
    </row>
    <row r="54" spans="1:29">
      <c r="A54" s="7" t="s">
        <v>1168</v>
      </c>
      <c r="B54" s="7" t="s">
        <v>1176</v>
      </c>
      <c r="C54" s="7" t="s">
        <v>38</v>
      </c>
      <c r="D54" s="7" t="s">
        <v>1278</v>
      </c>
      <c r="E54" s="7" t="s">
        <v>93</v>
      </c>
      <c r="F54" s="7">
        <v>35300</v>
      </c>
      <c r="G54" s="7" t="s">
        <v>37</v>
      </c>
      <c r="H54" s="7"/>
      <c r="I54" s="7"/>
      <c r="J54" s="7"/>
      <c r="K54" s="7" t="s">
        <v>37</v>
      </c>
      <c r="L54" s="7" t="s">
        <v>1226</v>
      </c>
      <c r="M54" s="7" t="s">
        <v>1279</v>
      </c>
      <c r="N54" s="7">
        <v>13566</v>
      </c>
      <c r="O54" s="7">
        <v>0</v>
      </c>
      <c r="P54" s="7">
        <v>6335</v>
      </c>
      <c r="Q54" s="7">
        <v>0</v>
      </c>
      <c r="R54" s="7">
        <v>0</v>
      </c>
      <c r="S54" s="7">
        <v>0</v>
      </c>
      <c r="T54" s="7">
        <v>0</v>
      </c>
      <c r="U54" s="7">
        <v>0</v>
      </c>
      <c r="V54" s="7">
        <v>16032</v>
      </c>
      <c r="W54" s="7">
        <v>0</v>
      </c>
      <c r="X54" s="7" t="s">
        <v>98</v>
      </c>
      <c r="Y54" s="7" t="s">
        <v>37</v>
      </c>
      <c r="Z54" s="7">
        <v>0</v>
      </c>
      <c r="AA54" s="7">
        <v>6</v>
      </c>
      <c r="AB54" s="7"/>
      <c r="AC54" s="7"/>
    </row>
    <row r="55" spans="1:29">
      <c r="A55" s="7" t="s">
        <v>1168</v>
      </c>
      <c r="B55" s="7" t="s">
        <v>1176</v>
      </c>
      <c r="C55" s="7" t="s">
        <v>38</v>
      </c>
      <c r="D55" s="7" t="s">
        <v>1280</v>
      </c>
      <c r="E55" s="7" t="s">
        <v>672</v>
      </c>
      <c r="F55" s="7">
        <v>35300</v>
      </c>
      <c r="G55" s="7" t="s">
        <v>98</v>
      </c>
      <c r="H55" s="7" t="s">
        <v>42</v>
      </c>
      <c r="I55" s="7" t="s">
        <v>110</v>
      </c>
      <c r="J55" s="7"/>
      <c r="K55" s="7" t="s">
        <v>1179</v>
      </c>
      <c r="L55" s="7" t="s">
        <v>1173</v>
      </c>
      <c r="M55" s="7" t="s">
        <v>1281</v>
      </c>
      <c r="N55" s="7">
        <v>13566</v>
      </c>
      <c r="O55" s="7">
        <v>0</v>
      </c>
      <c r="P55" s="7">
        <v>5404</v>
      </c>
      <c r="Q55" s="7">
        <v>11100</v>
      </c>
      <c r="R55" s="7">
        <v>4625</v>
      </c>
      <c r="S55" s="7">
        <v>0</v>
      </c>
      <c r="T55" s="7">
        <v>0</v>
      </c>
      <c r="U55" s="7">
        <v>4625</v>
      </c>
      <c r="V55" s="7">
        <v>0</v>
      </c>
      <c r="W55" s="7">
        <v>0</v>
      </c>
      <c r="X55" s="7" t="s">
        <v>32</v>
      </c>
      <c r="Y55" s="7" t="s">
        <v>47</v>
      </c>
      <c r="Z55" s="7">
        <v>0</v>
      </c>
      <c r="AA55" s="7">
        <v>6</v>
      </c>
      <c r="AB55" s="7"/>
      <c r="AC55" s="7"/>
    </row>
    <row r="56" spans="1:29">
      <c r="A56" s="7" t="s">
        <v>1168</v>
      </c>
      <c r="B56" s="7" t="s">
        <v>1176</v>
      </c>
      <c r="C56" s="7" t="s">
        <v>38</v>
      </c>
      <c r="D56" s="7" t="s">
        <v>1282</v>
      </c>
      <c r="E56" s="7" t="s">
        <v>672</v>
      </c>
      <c r="F56" s="7">
        <v>35300</v>
      </c>
      <c r="G56" s="7" t="s">
        <v>98</v>
      </c>
      <c r="H56" s="7" t="s">
        <v>42</v>
      </c>
      <c r="I56" s="7" t="s">
        <v>37</v>
      </c>
      <c r="J56" s="7"/>
      <c r="K56" s="7" t="s">
        <v>1177</v>
      </c>
      <c r="L56" s="7" t="s">
        <v>1173</v>
      </c>
      <c r="M56" s="7" t="s">
        <v>1283</v>
      </c>
      <c r="N56" s="7">
        <v>13566</v>
      </c>
      <c r="O56" s="7">
        <v>0</v>
      </c>
      <c r="P56" s="7">
        <v>5404</v>
      </c>
      <c r="Q56" s="7">
        <v>11100</v>
      </c>
      <c r="R56" s="7">
        <v>4625</v>
      </c>
      <c r="S56" s="7">
        <v>0</v>
      </c>
      <c r="T56" s="7">
        <v>0</v>
      </c>
      <c r="U56" s="7">
        <v>0</v>
      </c>
      <c r="V56" s="7">
        <v>4625</v>
      </c>
      <c r="W56" s="7">
        <v>0</v>
      </c>
      <c r="X56" s="7" t="s">
        <v>32</v>
      </c>
      <c r="Y56" s="7" t="s">
        <v>37</v>
      </c>
      <c r="Z56" s="7">
        <v>0</v>
      </c>
      <c r="AA56" s="7">
        <v>6</v>
      </c>
      <c r="AB56" s="7"/>
      <c r="AC56" s="7"/>
    </row>
    <row r="57" spans="1:29">
      <c r="A57" s="7" t="s">
        <v>1168</v>
      </c>
      <c r="B57" s="7" t="s">
        <v>1248</v>
      </c>
      <c r="C57" s="7" t="s">
        <v>38</v>
      </c>
      <c r="D57" s="7" t="s">
        <v>1284</v>
      </c>
      <c r="E57" s="7" t="s">
        <v>672</v>
      </c>
      <c r="F57" s="7">
        <v>35300</v>
      </c>
      <c r="G57" s="7" t="s">
        <v>98</v>
      </c>
      <c r="H57" s="7" t="s">
        <v>37</v>
      </c>
      <c r="I57" s="7"/>
      <c r="J57" s="7"/>
      <c r="K57" s="7" t="s">
        <v>1184</v>
      </c>
      <c r="L57" s="7" t="s">
        <v>1173</v>
      </c>
      <c r="M57" s="7" t="s">
        <v>1285</v>
      </c>
      <c r="N57" s="7">
        <v>13566</v>
      </c>
      <c r="O57" s="7">
        <v>0</v>
      </c>
      <c r="P57" s="7">
        <v>1863</v>
      </c>
      <c r="Q57" s="7">
        <v>24048</v>
      </c>
      <c r="R57" s="7">
        <v>0</v>
      </c>
      <c r="S57" s="7">
        <v>0</v>
      </c>
      <c r="T57" s="7">
        <v>0</v>
      </c>
      <c r="U57" s="7">
        <v>0</v>
      </c>
      <c r="V57" s="7">
        <v>7400</v>
      </c>
      <c r="W57" s="7">
        <v>0</v>
      </c>
      <c r="X57" s="7" t="s">
        <v>47</v>
      </c>
      <c r="Y57" s="7" t="s">
        <v>37</v>
      </c>
      <c r="Z57" s="7">
        <v>0</v>
      </c>
      <c r="AA57" s="7">
        <v>6</v>
      </c>
      <c r="AB57" s="7"/>
      <c r="AC57" s="7"/>
    </row>
    <row r="58" spans="1:29">
      <c r="A58" s="7" t="s">
        <v>1168</v>
      </c>
      <c r="B58" s="7" t="s">
        <v>1248</v>
      </c>
      <c r="C58" s="7" t="s">
        <v>38</v>
      </c>
      <c r="D58" s="7" t="s">
        <v>1286</v>
      </c>
      <c r="E58" s="7" t="s">
        <v>672</v>
      </c>
      <c r="F58" s="7">
        <v>35300</v>
      </c>
      <c r="G58" s="7" t="s">
        <v>32</v>
      </c>
      <c r="H58" s="7" t="s">
        <v>37</v>
      </c>
      <c r="I58" s="7"/>
      <c r="J58" s="7"/>
      <c r="K58" s="7" t="s">
        <v>1172</v>
      </c>
      <c r="L58" s="7" t="s">
        <v>1173</v>
      </c>
      <c r="M58" s="7" t="s">
        <v>1287</v>
      </c>
      <c r="N58" s="7">
        <v>13566</v>
      </c>
      <c r="O58" s="7">
        <v>0</v>
      </c>
      <c r="P58" s="7">
        <v>1863</v>
      </c>
      <c r="Q58" s="7">
        <v>0</v>
      </c>
      <c r="R58" s="7">
        <v>0</v>
      </c>
      <c r="S58" s="7">
        <v>24048</v>
      </c>
      <c r="T58" s="7">
        <v>0</v>
      </c>
      <c r="U58" s="7">
        <v>0</v>
      </c>
      <c r="V58" s="7">
        <v>7400</v>
      </c>
      <c r="W58" s="7">
        <v>0</v>
      </c>
      <c r="X58" s="7" t="s">
        <v>32</v>
      </c>
      <c r="Y58" s="7" t="s">
        <v>47</v>
      </c>
      <c r="Z58" s="7">
        <v>0</v>
      </c>
      <c r="AA58" s="7">
        <v>6</v>
      </c>
      <c r="AB58" s="7"/>
      <c r="AC58" s="7"/>
    </row>
    <row r="59" spans="1:29">
      <c r="A59" s="7" t="s">
        <v>1168</v>
      </c>
      <c r="B59" s="7" t="s">
        <v>1248</v>
      </c>
      <c r="C59" s="7" t="s">
        <v>38</v>
      </c>
      <c r="D59" s="7" t="s">
        <v>1288</v>
      </c>
      <c r="E59" s="7" t="s">
        <v>672</v>
      </c>
      <c r="F59" s="7">
        <v>35300</v>
      </c>
      <c r="G59" s="7" t="s">
        <v>110</v>
      </c>
      <c r="H59" s="7" t="s">
        <v>37</v>
      </c>
      <c r="I59" s="7"/>
      <c r="J59" s="7"/>
      <c r="K59" s="7" t="s">
        <v>1187</v>
      </c>
      <c r="L59" s="7" t="s">
        <v>1173</v>
      </c>
      <c r="M59" s="7" t="s">
        <v>1289</v>
      </c>
      <c r="N59" s="7">
        <v>13566</v>
      </c>
      <c r="O59" s="7">
        <v>0</v>
      </c>
      <c r="P59" s="7">
        <v>1863</v>
      </c>
      <c r="Q59" s="7">
        <v>0</v>
      </c>
      <c r="R59" s="7">
        <v>0</v>
      </c>
      <c r="S59" s="7">
        <v>0</v>
      </c>
      <c r="T59" s="7">
        <v>0</v>
      </c>
      <c r="U59" s="7">
        <v>24048</v>
      </c>
      <c r="V59" s="7">
        <v>7400</v>
      </c>
      <c r="W59" s="7">
        <v>0</v>
      </c>
      <c r="X59" s="7" t="s">
        <v>110</v>
      </c>
      <c r="Y59" s="7" t="s">
        <v>37</v>
      </c>
      <c r="Z59" s="7">
        <v>0</v>
      </c>
      <c r="AA59" s="7">
        <v>6</v>
      </c>
      <c r="AB59" s="7"/>
      <c r="AC59" s="7"/>
    </row>
    <row r="60" spans="1:29">
      <c r="A60" s="7" t="s">
        <v>1168</v>
      </c>
      <c r="B60" s="7" t="s">
        <v>1205</v>
      </c>
      <c r="C60" s="7" t="s">
        <v>38</v>
      </c>
      <c r="D60" s="7" t="s">
        <v>1290</v>
      </c>
      <c r="E60" s="7" t="s">
        <v>672</v>
      </c>
      <c r="F60" s="7">
        <v>35300</v>
      </c>
      <c r="G60" s="7" t="s">
        <v>110</v>
      </c>
      <c r="H60" s="7"/>
      <c r="I60" s="7"/>
      <c r="J60" s="7"/>
      <c r="K60" s="7" t="s">
        <v>110</v>
      </c>
      <c r="L60" s="7" t="s">
        <v>1173</v>
      </c>
      <c r="M60" s="7" t="s">
        <v>1291</v>
      </c>
      <c r="N60" s="7">
        <v>13566</v>
      </c>
      <c r="O60" s="7">
        <v>0</v>
      </c>
      <c r="P60" s="7">
        <v>5217</v>
      </c>
      <c r="Q60" s="7">
        <v>0</v>
      </c>
      <c r="R60" s="7">
        <v>0</v>
      </c>
      <c r="S60" s="7">
        <v>0</v>
      </c>
      <c r="T60" s="7">
        <v>0</v>
      </c>
      <c r="U60" s="7">
        <v>18499</v>
      </c>
      <c r="V60" s="7">
        <v>0</v>
      </c>
      <c r="W60" s="7">
        <v>0</v>
      </c>
      <c r="X60" s="7" t="s">
        <v>98</v>
      </c>
      <c r="Y60" s="7" t="s">
        <v>110</v>
      </c>
      <c r="Z60" s="7">
        <v>0</v>
      </c>
      <c r="AA60" s="7">
        <v>6</v>
      </c>
      <c r="AB60" s="7"/>
      <c r="AC60" s="7"/>
    </row>
    <row r="61" spans="1:29">
      <c r="A61" s="7" t="s">
        <v>1168</v>
      </c>
      <c r="B61" s="7" t="s">
        <v>1169</v>
      </c>
      <c r="C61" s="7" t="s">
        <v>38</v>
      </c>
      <c r="D61" s="7" t="s">
        <v>1292</v>
      </c>
      <c r="E61" s="7" t="s">
        <v>682</v>
      </c>
      <c r="F61" s="7">
        <v>35300</v>
      </c>
      <c r="G61" s="7" t="s">
        <v>24</v>
      </c>
      <c r="H61" s="7" t="s">
        <v>37</v>
      </c>
      <c r="I61" s="7"/>
      <c r="J61" s="7"/>
      <c r="K61" s="7" t="s">
        <v>1191</v>
      </c>
      <c r="L61" s="7" t="s">
        <v>1173</v>
      </c>
      <c r="M61" s="7" t="s">
        <v>1293</v>
      </c>
      <c r="N61" s="7">
        <v>13566</v>
      </c>
      <c r="O61" s="7">
        <v>0</v>
      </c>
      <c r="P61" s="7">
        <v>5962</v>
      </c>
      <c r="Q61" s="7">
        <v>0</v>
      </c>
      <c r="R61" s="7">
        <v>0</v>
      </c>
      <c r="S61" s="7">
        <v>0</v>
      </c>
      <c r="T61" s="7">
        <v>8941</v>
      </c>
      <c r="U61" s="7">
        <v>0</v>
      </c>
      <c r="V61" s="7">
        <v>9558</v>
      </c>
      <c r="W61" s="7">
        <v>0</v>
      </c>
      <c r="X61" s="7" t="s">
        <v>98</v>
      </c>
      <c r="Y61" s="7" t="s">
        <v>110</v>
      </c>
      <c r="Z61" s="7">
        <v>0</v>
      </c>
      <c r="AA61" s="7">
        <v>6</v>
      </c>
      <c r="AB61" s="7"/>
      <c r="AC61" s="7"/>
    </row>
    <row r="62" spans="1:29">
      <c r="A62" s="7" t="s">
        <v>1181</v>
      </c>
      <c r="B62" s="7" t="s">
        <v>1182</v>
      </c>
      <c r="C62" s="7" t="s">
        <v>38</v>
      </c>
      <c r="D62" s="7" t="s">
        <v>1952</v>
      </c>
      <c r="E62" s="7" t="s">
        <v>787</v>
      </c>
      <c r="F62" s="7">
        <v>35300</v>
      </c>
      <c r="G62" s="7" t="s">
        <v>110</v>
      </c>
      <c r="H62" s="7" t="s">
        <v>37</v>
      </c>
      <c r="I62" s="7"/>
      <c r="J62" s="7"/>
      <c r="K62" s="7" t="s">
        <v>1187</v>
      </c>
      <c r="L62" s="7"/>
      <c r="M62" s="7" t="s">
        <v>1953</v>
      </c>
      <c r="N62" s="7">
        <v>13566</v>
      </c>
      <c r="O62" s="7">
        <v>1107</v>
      </c>
      <c r="P62" s="7">
        <v>2795</v>
      </c>
      <c r="Q62" s="7">
        <v>0</v>
      </c>
      <c r="R62" s="7">
        <v>0</v>
      </c>
      <c r="S62" s="7">
        <v>0</v>
      </c>
      <c r="T62" s="7">
        <v>0</v>
      </c>
      <c r="U62" s="7">
        <v>9249</v>
      </c>
      <c r="V62" s="7">
        <v>7400</v>
      </c>
      <c r="W62" s="7">
        <v>0</v>
      </c>
      <c r="X62" s="7" t="s">
        <v>32</v>
      </c>
      <c r="Y62" s="7" t="s">
        <v>110</v>
      </c>
      <c r="Z62" s="7">
        <v>0</v>
      </c>
      <c r="AA62" s="7">
        <v>6</v>
      </c>
      <c r="AB62" s="7"/>
      <c r="AC62" s="7"/>
    </row>
    <row r="63" spans="1:29">
      <c r="A63" s="7" t="s">
        <v>1181</v>
      </c>
      <c r="B63" s="7" t="s">
        <v>1182</v>
      </c>
      <c r="C63" s="7" t="s">
        <v>38</v>
      </c>
      <c r="D63" s="7" t="s">
        <v>1296</v>
      </c>
      <c r="E63" s="7" t="s">
        <v>93</v>
      </c>
      <c r="F63" s="7">
        <v>35300</v>
      </c>
      <c r="G63" s="7" t="s">
        <v>24</v>
      </c>
      <c r="H63" s="7" t="s">
        <v>37</v>
      </c>
      <c r="I63" s="7"/>
      <c r="J63" s="7"/>
      <c r="K63" s="7" t="s">
        <v>1191</v>
      </c>
      <c r="L63" s="7"/>
      <c r="M63" s="7" t="s">
        <v>1297</v>
      </c>
      <c r="N63" s="7">
        <v>13566</v>
      </c>
      <c r="O63" s="7">
        <v>1107</v>
      </c>
      <c r="P63" s="7">
        <v>2795</v>
      </c>
      <c r="Q63" s="7">
        <v>0</v>
      </c>
      <c r="R63" s="7">
        <v>0</v>
      </c>
      <c r="S63" s="7">
        <v>0</v>
      </c>
      <c r="T63" s="7">
        <v>9249</v>
      </c>
      <c r="U63" s="7">
        <v>0</v>
      </c>
      <c r="V63" s="7">
        <v>7400</v>
      </c>
      <c r="W63" s="7">
        <v>0</v>
      </c>
      <c r="X63" s="7" t="s">
        <v>32</v>
      </c>
      <c r="Y63" s="7" t="s">
        <v>91</v>
      </c>
      <c r="Z63" s="7">
        <v>0</v>
      </c>
      <c r="AA63" s="7">
        <v>6</v>
      </c>
      <c r="AB63" s="7"/>
      <c r="AC63" s="7"/>
    </row>
    <row r="64" spans="1:29">
      <c r="A64" s="7" t="s">
        <v>1181</v>
      </c>
      <c r="B64" s="7" t="s">
        <v>1182</v>
      </c>
      <c r="C64" s="7" t="s">
        <v>38</v>
      </c>
      <c r="D64" s="7" t="s">
        <v>1298</v>
      </c>
      <c r="E64" s="7" t="s">
        <v>93</v>
      </c>
      <c r="F64" s="7">
        <v>35300</v>
      </c>
      <c r="G64" s="7" t="s">
        <v>110</v>
      </c>
      <c r="H64" s="7" t="s">
        <v>37</v>
      </c>
      <c r="I64" s="7"/>
      <c r="J64" s="7"/>
      <c r="K64" s="7" t="s">
        <v>1187</v>
      </c>
      <c r="L64" s="7"/>
      <c r="M64" s="7" t="s">
        <v>1299</v>
      </c>
      <c r="N64" s="7">
        <v>13566</v>
      </c>
      <c r="O64" s="7">
        <v>1107</v>
      </c>
      <c r="P64" s="7">
        <v>2795</v>
      </c>
      <c r="Q64" s="7">
        <v>0</v>
      </c>
      <c r="R64" s="7">
        <v>0</v>
      </c>
      <c r="S64" s="7">
        <v>0</v>
      </c>
      <c r="T64" s="7">
        <v>0</v>
      </c>
      <c r="U64" s="7">
        <v>9249</v>
      </c>
      <c r="V64" s="7">
        <v>7400</v>
      </c>
      <c r="W64" s="7">
        <v>0</v>
      </c>
      <c r="X64" s="7" t="s">
        <v>32</v>
      </c>
      <c r="Y64" s="7" t="s">
        <v>110</v>
      </c>
      <c r="Z64" s="7">
        <v>0</v>
      </c>
      <c r="AA64" s="7">
        <v>6</v>
      </c>
      <c r="AB64" s="7"/>
      <c r="AC64" s="7"/>
    </row>
    <row r="65" spans="1:29">
      <c r="A65" s="7" t="s">
        <v>1181</v>
      </c>
      <c r="B65" s="7" t="s">
        <v>1182</v>
      </c>
      <c r="C65" s="7" t="s">
        <v>38</v>
      </c>
      <c r="D65" s="7" t="s">
        <v>1300</v>
      </c>
      <c r="E65" s="7" t="s">
        <v>93</v>
      </c>
      <c r="F65" s="7">
        <v>35300</v>
      </c>
      <c r="G65" s="7" t="s">
        <v>110</v>
      </c>
      <c r="H65" s="7" t="s">
        <v>37</v>
      </c>
      <c r="I65" s="7"/>
      <c r="J65" s="7"/>
      <c r="K65" s="7" t="s">
        <v>1187</v>
      </c>
      <c r="L65" s="7"/>
      <c r="M65" s="7" t="s">
        <v>1301</v>
      </c>
      <c r="N65" s="7">
        <v>13566</v>
      </c>
      <c r="O65" s="7">
        <v>1107</v>
      </c>
      <c r="P65" s="7">
        <v>2795</v>
      </c>
      <c r="Q65" s="7">
        <v>0</v>
      </c>
      <c r="R65" s="7">
        <v>0</v>
      </c>
      <c r="S65" s="7">
        <v>0</v>
      </c>
      <c r="T65" s="7">
        <v>0</v>
      </c>
      <c r="U65" s="7">
        <v>9249</v>
      </c>
      <c r="V65" s="7">
        <v>7400</v>
      </c>
      <c r="W65" s="7">
        <v>0</v>
      </c>
      <c r="X65" s="7" t="s">
        <v>32</v>
      </c>
      <c r="Y65" s="7" t="s">
        <v>110</v>
      </c>
      <c r="Z65" s="7">
        <v>0</v>
      </c>
      <c r="AA65" s="7">
        <v>6</v>
      </c>
      <c r="AB65" s="7"/>
      <c r="AC65" s="7"/>
    </row>
    <row r="66" spans="1:29">
      <c r="A66" s="7" t="s">
        <v>1181</v>
      </c>
      <c r="B66" s="7" t="s">
        <v>1182</v>
      </c>
      <c r="C66" s="7" t="s">
        <v>56</v>
      </c>
      <c r="D66" s="7" t="s">
        <v>1302</v>
      </c>
      <c r="E66" s="7" t="s">
        <v>93</v>
      </c>
      <c r="F66" s="7">
        <v>41400</v>
      </c>
      <c r="G66" s="7" t="s">
        <v>32</v>
      </c>
      <c r="H66" s="7" t="s">
        <v>37</v>
      </c>
      <c r="I66" s="7"/>
      <c r="J66" s="7"/>
      <c r="K66" s="7" t="s">
        <v>1172</v>
      </c>
      <c r="L66" s="7"/>
      <c r="M66" s="7" t="s">
        <v>1303</v>
      </c>
      <c r="N66" s="7">
        <v>11364</v>
      </c>
      <c r="O66" s="7">
        <v>927</v>
      </c>
      <c r="P66" s="7">
        <v>2342</v>
      </c>
      <c r="Q66" s="7">
        <v>0</v>
      </c>
      <c r="R66" s="7">
        <v>0</v>
      </c>
      <c r="S66" s="7">
        <v>7748</v>
      </c>
      <c r="T66" s="7">
        <v>0</v>
      </c>
      <c r="U66" s="7">
        <v>0</v>
      </c>
      <c r="V66" s="7">
        <v>6199</v>
      </c>
      <c r="W66" s="7">
        <v>0</v>
      </c>
      <c r="X66" s="7">
        <v>0</v>
      </c>
      <c r="Y66" s="7">
        <v>0</v>
      </c>
      <c r="Z66" s="7">
        <v>0</v>
      </c>
      <c r="AA66" s="7">
        <v>6</v>
      </c>
      <c r="AB66" s="7"/>
      <c r="AC66" s="7"/>
    </row>
    <row r="67" spans="1:29">
      <c r="A67" s="7" t="s">
        <v>1181</v>
      </c>
      <c r="B67" s="7" t="s">
        <v>1182</v>
      </c>
      <c r="C67" s="7" t="s">
        <v>56</v>
      </c>
      <c r="D67" s="7" t="s">
        <v>1304</v>
      </c>
      <c r="E67" s="7" t="s">
        <v>93</v>
      </c>
      <c r="F67" s="7">
        <v>41400</v>
      </c>
      <c r="G67" s="7" t="s">
        <v>98</v>
      </c>
      <c r="H67" s="7" t="s">
        <v>37</v>
      </c>
      <c r="I67" s="7"/>
      <c r="J67" s="7"/>
      <c r="K67" s="7" t="s">
        <v>1184</v>
      </c>
      <c r="L67" s="7"/>
      <c r="M67" s="7" t="s">
        <v>261</v>
      </c>
      <c r="N67" s="7">
        <v>11364</v>
      </c>
      <c r="O67" s="7">
        <v>927</v>
      </c>
      <c r="P67" s="7">
        <v>2342</v>
      </c>
      <c r="Q67" s="7">
        <v>7748</v>
      </c>
      <c r="R67" s="7">
        <v>0</v>
      </c>
      <c r="S67" s="7">
        <v>0</v>
      </c>
      <c r="T67" s="7">
        <v>0</v>
      </c>
      <c r="U67" s="7">
        <v>0</v>
      </c>
      <c r="V67" s="7">
        <v>6199</v>
      </c>
      <c r="W67" s="7">
        <v>0</v>
      </c>
      <c r="X67" s="7">
        <v>0</v>
      </c>
      <c r="Y67" s="7">
        <v>0</v>
      </c>
      <c r="Z67" s="7">
        <v>0</v>
      </c>
      <c r="AA67" s="7">
        <v>6</v>
      </c>
      <c r="AB67" s="7"/>
      <c r="AC67" s="7"/>
    </row>
    <row r="68" spans="1:29">
      <c r="A68" s="7" t="s">
        <v>1181</v>
      </c>
      <c r="B68" s="7" t="s">
        <v>1182</v>
      </c>
      <c r="C68" s="7" t="s">
        <v>56</v>
      </c>
      <c r="D68" s="7" t="s">
        <v>1305</v>
      </c>
      <c r="E68" s="7" t="s">
        <v>93</v>
      </c>
      <c r="F68" s="7">
        <v>41400</v>
      </c>
      <c r="G68" s="7" t="s">
        <v>98</v>
      </c>
      <c r="H68" s="7" t="s">
        <v>37</v>
      </c>
      <c r="I68" s="7"/>
      <c r="J68" s="7"/>
      <c r="K68" s="7" t="s">
        <v>1184</v>
      </c>
      <c r="L68" s="7"/>
      <c r="M68" s="7" t="s">
        <v>1306</v>
      </c>
      <c r="N68" s="7">
        <v>11364</v>
      </c>
      <c r="O68" s="7">
        <v>927</v>
      </c>
      <c r="P68" s="7">
        <v>2342</v>
      </c>
      <c r="Q68" s="7">
        <v>7748</v>
      </c>
      <c r="R68" s="7">
        <v>0</v>
      </c>
      <c r="S68" s="7">
        <v>0</v>
      </c>
      <c r="T68" s="7">
        <v>0</v>
      </c>
      <c r="U68" s="7">
        <v>0</v>
      </c>
      <c r="V68" s="7">
        <v>6199</v>
      </c>
      <c r="W68" s="7">
        <v>0</v>
      </c>
      <c r="X68" s="7">
        <v>0</v>
      </c>
      <c r="Y68" s="7">
        <v>0</v>
      </c>
      <c r="Z68" s="7">
        <v>0</v>
      </c>
      <c r="AA68" s="7">
        <v>6</v>
      </c>
      <c r="AB68" s="7"/>
      <c r="AC68" s="7"/>
    </row>
    <row r="69" spans="1:29">
      <c r="A69" s="7" t="s">
        <v>1181</v>
      </c>
      <c r="B69" s="7" t="s">
        <v>1182</v>
      </c>
      <c r="C69" s="7" t="s">
        <v>56</v>
      </c>
      <c r="D69" s="7" t="s">
        <v>1307</v>
      </c>
      <c r="E69" s="7" t="s">
        <v>93</v>
      </c>
      <c r="F69" s="7">
        <v>41400</v>
      </c>
      <c r="G69" s="7" t="s">
        <v>110</v>
      </c>
      <c r="H69" s="7" t="s">
        <v>37</v>
      </c>
      <c r="I69" s="7"/>
      <c r="J69" s="7"/>
      <c r="K69" s="7" t="s">
        <v>1187</v>
      </c>
      <c r="L69" s="7"/>
      <c r="M69" s="7" t="s">
        <v>1308</v>
      </c>
      <c r="N69" s="7">
        <v>11364</v>
      </c>
      <c r="O69" s="7">
        <v>927</v>
      </c>
      <c r="P69" s="7">
        <v>2342</v>
      </c>
      <c r="Q69" s="7">
        <v>0</v>
      </c>
      <c r="R69" s="7">
        <v>0</v>
      </c>
      <c r="S69" s="7">
        <v>0</v>
      </c>
      <c r="T69" s="7">
        <v>0</v>
      </c>
      <c r="U69" s="7">
        <v>7748</v>
      </c>
      <c r="V69" s="7">
        <v>6199</v>
      </c>
      <c r="W69" s="7">
        <v>0</v>
      </c>
      <c r="X69" s="7">
        <v>0</v>
      </c>
      <c r="Y69" s="7">
        <v>0</v>
      </c>
      <c r="Z69" s="7">
        <v>0</v>
      </c>
      <c r="AA69" s="7">
        <v>6</v>
      </c>
      <c r="AB69" s="7"/>
      <c r="AC69" s="7"/>
    </row>
    <row r="70" spans="1:29">
      <c r="A70" s="7" t="s">
        <v>1181</v>
      </c>
      <c r="B70" s="7" t="s">
        <v>1182</v>
      </c>
      <c r="C70" s="7" t="s">
        <v>56</v>
      </c>
      <c r="D70" s="7" t="s">
        <v>1309</v>
      </c>
      <c r="E70" s="7" t="s">
        <v>93</v>
      </c>
      <c r="F70" s="7">
        <v>41400</v>
      </c>
      <c r="G70" s="7" t="s">
        <v>24</v>
      </c>
      <c r="H70" s="7" t="s">
        <v>37</v>
      </c>
      <c r="I70" s="7"/>
      <c r="J70" s="7"/>
      <c r="K70" s="7" t="s">
        <v>1191</v>
      </c>
      <c r="L70" s="7"/>
      <c r="M70" s="7" t="s">
        <v>1310</v>
      </c>
      <c r="N70" s="7">
        <v>11364</v>
      </c>
      <c r="O70" s="7">
        <v>927</v>
      </c>
      <c r="P70" s="7">
        <v>2342</v>
      </c>
      <c r="Q70" s="7">
        <v>0</v>
      </c>
      <c r="R70" s="7">
        <v>0</v>
      </c>
      <c r="S70" s="7">
        <v>0</v>
      </c>
      <c r="T70" s="7">
        <v>7748</v>
      </c>
      <c r="U70" s="7">
        <v>0</v>
      </c>
      <c r="V70" s="7">
        <v>6199</v>
      </c>
      <c r="W70" s="7">
        <v>0</v>
      </c>
      <c r="X70" s="7">
        <v>0</v>
      </c>
      <c r="Y70" s="7">
        <v>0</v>
      </c>
      <c r="Z70" s="7">
        <v>0</v>
      </c>
      <c r="AA70" s="7">
        <v>6</v>
      </c>
      <c r="AB70" s="7"/>
      <c r="AC70" s="7"/>
    </row>
    <row r="71" spans="1:29">
      <c r="A71" s="7" t="s">
        <v>1168</v>
      </c>
      <c r="B71" s="7" t="s">
        <v>1176</v>
      </c>
      <c r="C71" s="7" t="s">
        <v>56</v>
      </c>
      <c r="D71" s="7" t="s">
        <v>1311</v>
      </c>
      <c r="E71" s="7" t="s">
        <v>93</v>
      </c>
      <c r="F71" s="7">
        <v>41400</v>
      </c>
      <c r="G71" s="7" t="s">
        <v>37</v>
      </c>
      <c r="H71" s="7"/>
      <c r="I71" s="7"/>
      <c r="J71" s="7"/>
      <c r="K71" s="7" t="s">
        <v>37</v>
      </c>
      <c r="L71" s="7" t="s">
        <v>1226</v>
      </c>
      <c r="M71" s="7" t="s">
        <v>1312</v>
      </c>
      <c r="N71" s="7">
        <v>11364</v>
      </c>
      <c r="O71" s="7">
        <v>0</v>
      </c>
      <c r="P71" s="7">
        <v>5307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13430</v>
      </c>
      <c r="W71" s="7">
        <v>0</v>
      </c>
      <c r="X71" s="7">
        <v>0</v>
      </c>
      <c r="Y71" s="7">
        <v>0</v>
      </c>
      <c r="Z71" s="7">
        <v>0</v>
      </c>
      <c r="AA71" s="7">
        <v>6</v>
      </c>
      <c r="AB71" s="7"/>
      <c r="AC71" s="7"/>
    </row>
    <row r="72" spans="1:29">
      <c r="A72" s="7" t="s">
        <v>1168</v>
      </c>
      <c r="B72" s="7" t="s">
        <v>1228</v>
      </c>
      <c r="C72" s="7" t="s">
        <v>56</v>
      </c>
      <c r="D72" s="7" t="s">
        <v>1313</v>
      </c>
      <c r="E72" s="7" t="s">
        <v>93</v>
      </c>
      <c r="F72" s="7">
        <v>41400</v>
      </c>
      <c r="G72" s="7" t="s">
        <v>98</v>
      </c>
      <c r="H72" s="7" t="s">
        <v>37</v>
      </c>
      <c r="I72" s="7"/>
      <c r="J72" s="7"/>
      <c r="K72" s="7" t="s">
        <v>1184</v>
      </c>
      <c r="L72" s="7" t="s">
        <v>1226</v>
      </c>
      <c r="M72" s="7" t="s">
        <v>1314</v>
      </c>
      <c r="N72" s="7">
        <v>11364</v>
      </c>
      <c r="O72" s="7">
        <v>0</v>
      </c>
      <c r="P72" s="7">
        <v>3746</v>
      </c>
      <c r="Q72" s="7">
        <v>12397</v>
      </c>
      <c r="R72" s="7">
        <v>0</v>
      </c>
      <c r="S72" s="7">
        <v>0</v>
      </c>
      <c r="T72" s="7">
        <v>0</v>
      </c>
      <c r="U72" s="7">
        <v>0</v>
      </c>
      <c r="V72" s="7">
        <v>7232</v>
      </c>
      <c r="W72" s="7">
        <v>0</v>
      </c>
      <c r="X72" s="7">
        <v>0</v>
      </c>
      <c r="Y72" s="7">
        <v>0</v>
      </c>
      <c r="Z72" s="7">
        <v>0</v>
      </c>
      <c r="AA72" s="7">
        <v>6</v>
      </c>
      <c r="AB72" s="7"/>
      <c r="AC72" s="7"/>
    </row>
    <row r="73" spans="1:29">
      <c r="A73" s="7" t="s">
        <v>1168</v>
      </c>
      <c r="B73" s="7" t="s">
        <v>1228</v>
      </c>
      <c r="C73" s="7" t="s">
        <v>56</v>
      </c>
      <c r="D73" s="7" t="s">
        <v>1315</v>
      </c>
      <c r="E73" s="7" t="s">
        <v>93</v>
      </c>
      <c r="F73" s="7">
        <v>41400</v>
      </c>
      <c r="G73" s="7" t="s">
        <v>32</v>
      </c>
      <c r="H73" s="7" t="s">
        <v>37</v>
      </c>
      <c r="I73" s="7"/>
      <c r="J73" s="7"/>
      <c r="K73" s="7" t="s">
        <v>1172</v>
      </c>
      <c r="L73" s="7" t="s">
        <v>1226</v>
      </c>
      <c r="M73" s="7" t="s">
        <v>1316</v>
      </c>
      <c r="N73" s="7">
        <v>11364</v>
      </c>
      <c r="O73" s="7">
        <v>0</v>
      </c>
      <c r="P73" s="7">
        <v>4370</v>
      </c>
      <c r="Q73" s="7">
        <v>0</v>
      </c>
      <c r="R73" s="7">
        <v>0</v>
      </c>
      <c r="S73" s="7">
        <v>12655</v>
      </c>
      <c r="T73" s="7">
        <v>0</v>
      </c>
      <c r="U73" s="7">
        <v>0</v>
      </c>
      <c r="V73" s="7">
        <v>5165</v>
      </c>
      <c r="W73" s="7">
        <v>0</v>
      </c>
      <c r="X73" s="7">
        <v>0</v>
      </c>
      <c r="Y73" s="7">
        <v>0</v>
      </c>
      <c r="Z73" s="7">
        <v>0</v>
      </c>
      <c r="AA73" s="7">
        <v>6</v>
      </c>
      <c r="AB73" s="7"/>
      <c r="AC73" s="7"/>
    </row>
    <row r="74" spans="1:29">
      <c r="A74" s="7" t="s">
        <v>1168</v>
      </c>
      <c r="B74" s="7" t="s">
        <v>1233</v>
      </c>
      <c r="C74" s="7" t="s">
        <v>56</v>
      </c>
      <c r="D74" s="7" t="s">
        <v>1317</v>
      </c>
      <c r="E74" s="7" t="s">
        <v>93</v>
      </c>
      <c r="F74" s="7">
        <v>41400</v>
      </c>
      <c r="G74" s="7" t="s">
        <v>110</v>
      </c>
      <c r="H74" s="7" t="s">
        <v>37</v>
      </c>
      <c r="I74" s="7"/>
      <c r="J74" s="7"/>
      <c r="K74" s="7" t="s">
        <v>1187</v>
      </c>
      <c r="L74" s="7" t="s">
        <v>1226</v>
      </c>
      <c r="M74" s="7" t="s">
        <v>1318</v>
      </c>
      <c r="N74" s="7">
        <v>11364</v>
      </c>
      <c r="O74" s="7">
        <v>0</v>
      </c>
      <c r="P74" s="7">
        <v>3122</v>
      </c>
      <c r="Q74" s="7">
        <v>0</v>
      </c>
      <c r="R74" s="7">
        <v>0</v>
      </c>
      <c r="S74" s="7">
        <v>0</v>
      </c>
      <c r="T74" s="7">
        <v>0</v>
      </c>
      <c r="U74" s="7">
        <v>14722</v>
      </c>
      <c r="V74" s="7">
        <v>7748</v>
      </c>
      <c r="W74" s="7">
        <v>0</v>
      </c>
      <c r="X74" s="7">
        <v>0</v>
      </c>
      <c r="Y74" s="7">
        <v>0</v>
      </c>
      <c r="Z74" s="7">
        <v>0</v>
      </c>
      <c r="AA74" s="7">
        <v>6</v>
      </c>
      <c r="AB74" s="7"/>
      <c r="AC74" s="7"/>
    </row>
    <row r="75" spans="1:29">
      <c r="A75" s="7" t="s">
        <v>1168</v>
      </c>
      <c r="B75" s="7" t="s">
        <v>1176</v>
      </c>
      <c r="C75" s="7" t="s">
        <v>56</v>
      </c>
      <c r="D75" s="7" t="s">
        <v>1319</v>
      </c>
      <c r="E75" s="7" t="s">
        <v>93</v>
      </c>
      <c r="F75" s="7">
        <v>41400</v>
      </c>
      <c r="G75" s="7" t="s">
        <v>98</v>
      </c>
      <c r="H75" s="7" t="s">
        <v>32</v>
      </c>
      <c r="I75" s="7" t="s">
        <v>37</v>
      </c>
      <c r="J75" s="7"/>
      <c r="K75" s="7" t="s">
        <v>1206</v>
      </c>
      <c r="L75" s="7" t="s">
        <v>1226</v>
      </c>
      <c r="M75" s="7" t="s">
        <v>1320</v>
      </c>
      <c r="N75" s="7">
        <v>11364</v>
      </c>
      <c r="O75" s="7">
        <v>0</v>
      </c>
      <c r="P75" s="7">
        <v>4526</v>
      </c>
      <c r="Q75" s="7">
        <v>5682</v>
      </c>
      <c r="R75" s="7">
        <v>0</v>
      </c>
      <c r="S75" s="7">
        <v>5682</v>
      </c>
      <c r="T75" s="7">
        <v>0</v>
      </c>
      <c r="U75" s="7">
        <v>0</v>
      </c>
      <c r="V75" s="7">
        <v>5682</v>
      </c>
      <c r="W75" s="7">
        <v>0</v>
      </c>
      <c r="X75" s="7">
        <v>0</v>
      </c>
      <c r="Y75" s="7">
        <v>0</v>
      </c>
      <c r="Z75" s="7">
        <v>0</v>
      </c>
      <c r="AA75" s="7">
        <v>6</v>
      </c>
      <c r="AB75" s="7"/>
      <c r="AC75" s="7"/>
    </row>
    <row r="76" spans="1:29">
      <c r="A76" s="7" t="s">
        <v>1168</v>
      </c>
      <c r="B76" s="7" t="s">
        <v>1176</v>
      </c>
      <c r="C76" s="7" t="s">
        <v>56</v>
      </c>
      <c r="D76" s="7" t="s">
        <v>1321</v>
      </c>
      <c r="E76" s="7" t="s">
        <v>93</v>
      </c>
      <c r="F76" s="7">
        <v>41400</v>
      </c>
      <c r="G76" s="7" t="s">
        <v>98</v>
      </c>
      <c r="H76" s="7" t="s">
        <v>110</v>
      </c>
      <c r="I76" s="7" t="s">
        <v>37</v>
      </c>
      <c r="J76" s="7"/>
      <c r="K76" s="7" t="s">
        <v>1239</v>
      </c>
      <c r="L76" s="7" t="s">
        <v>1226</v>
      </c>
      <c r="M76" s="7" t="s">
        <v>1322</v>
      </c>
      <c r="N76" s="7">
        <v>11364</v>
      </c>
      <c r="O76" s="7">
        <v>0</v>
      </c>
      <c r="P76" s="7">
        <v>4526</v>
      </c>
      <c r="Q76" s="7">
        <v>5682</v>
      </c>
      <c r="R76" s="7">
        <v>0</v>
      </c>
      <c r="S76" s="7">
        <v>0</v>
      </c>
      <c r="T76" s="7">
        <v>0</v>
      </c>
      <c r="U76" s="7">
        <v>5682</v>
      </c>
      <c r="V76" s="7">
        <v>5682</v>
      </c>
      <c r="W76" s="7">
        <v>0</v>
      </c>
      <c r="X76" s="7">
        <v>0</v>
      </c>
      <c r="Y76" s="7">
        <v>0</v>
      </c>
      <c r="Z76" s="7">
        <v>0</v>
      </c>
      <c r="AA76" s="7">
        <v>6</v>
      </c>
      <c r="AB76" s="7"/>
      <c r="AC76" s="7"/>
    </row>
    <row r="77" spans="1:29">
      <c r="A77" s="7" t="s">
        <v>1168</v>
      </c>
      <c r="B77" s="7" t="s">
        <v>1176</v>
      </c>
      <c r="C77" s="7" t="s">
        <v>56</v>
      </c>
      <c r="D77" s="7" t="s">
        <v>1323</v>
      </c>
      <c r="E77" s="7" t="s">
        <v>93</v>
      </c>
      <c r="F77" s="7">
        <v>41400</v>
      </c>
      <c r="G77" s="7" t="s">
        <v>32</v>
      </c>
      <c r="H77" s="7" t="s">
        <v>110</v>
      </c>
      <c r="I77" s="7" t="s">
        <v>37</v>
      </c>
      <c r="J77" s="7"/>
      <c r="K77" s="7" t="s">
        <v>1207</v>
      </c>
      <c r="L77" s="7" t="s">
        <v>1226</v>
      </c>
      <c r="M77" s="7" t="s">
        <v>1324</v>
      </c>
      <c r="N77" s="7">
        <v>11364</v>
      </c>
      <c r="O77" s="7">
        <v>0</v>
      </c>
      <c r="P77" s="7">
        <v>4526</v>
      </c>
      <c r="Q77" s="7">
        <v>0</v>
      </c>
      <c r="R77" s="7">
        <v>0</v>
      </c>
      <c r="S77" s="7">
        <v>5682</v>
      </c>
      <c r="T77" s="7">
        <v>0</v>
      </c>
      <c r="U77" s="7">
        <v>5682</v>
      </c>
      <c r="V77" s="7">
        <v>5682</v>
      </c>
      <c r="W77" s="7">
        <v>0</v>
      </c>
      <c r="X77" s="7">
        <v>0</v>
      </c>
      <c r="Y77" s="7">
        <v>0</v>
      </c>
      <c r="Z77" s="7">
        <v>0</v>
      </c>
      <c r="AA77" s="7">
        <v>6</v>
      </c>
      <c r="AB77" s="7"/>
      <c r="AC77" s="7"/>
    </row>
    <row r="78" spans="1:29">
      <c r="A78" s="7" t="s">
        <v>1168</v>
      </c>
      <c r="B78" s="7" t="s">
        <v>1248</v>
      </c>
      <c r="C78" s="7" t="s">
        <v>56</v>
      </c>
      <c r="D78" s="7" t="s">
        <v>1325</v>
      </c>
      <c r="E78" s="7" t="s">
        <v>93</v>
      </c>
      <c r="F78" s="7">
        <v>41400</v>
      </c>
      <c r="G78" s="7" t="s">
        <v>24</v>
      </c>
      <c r="H78" s="7"/>
      <c r="I78" s="7"/>
      <c r="J78" s="7"/>
      <c r="K78" s="7" t="s">
        <v>24</v>
      </c>
      <c r="L78" s="7" t="s">
        <v>1226</v>
      </c>
      <c r="M78" s="7" t="s">
        <v>1326</v>
      </c>
      <c r="N78" s="7">
        <v>11364</v>
      </c>
      <c r="O78" s="7">
        <v>0</v>
      </c>
      <c r="P78" s="7">
        <v>6930</v>
      </c>
      <c r="Q78" s="7">
        <v>0</v>
      </c>
      <c r="R78" s="7">
        <v>0</v>
      </c>
      <c r="S78" s="7">
        <v>0</v>
      </c>
      <c r="T78" s="7">
        <v>9091</v>
      </c>
      <c r="U78" s="7">
        <v>0</v>
      </c>
      <c r="V78" s="7">
        <v>0</v>
      </c>
      <c r="W78" s="7">
        <v>0</v>
      </c>
      <c r="X78" s="7">
        <v>0</v>
      </c>
      <c r="Y78" s="7">
        <v>0</v>
      </c>
      <c r="Z78" s="7">
        <v>0</v>
      </c>
      <c r="AA78" s="7">
        <v>6</v>
      </c>
      <c r="AB78" s="7"/>
      <c r="AC78" s="7"/>
    </row>
    <row r="79" spans="1:29">
      <c r="A79" s="7" t="s">
        <v>1168</v>
      </c>
      <c r="B79" s="7" t="s">
        <v>1176</v>
      </c>
      <c r="C79" s="7" t="s">
        <v>56</v>
      </c>
      <c r="D79" s="7" t="s">
        <v>1327</v>
      </c>
      <c r="E79" s="7" t="s">
        <v>665</v>
      </c>
      <c r="F79" s="7">
        <v>41400</v>
      </c>
      <c r="G79" s="7" t="s">
        <v>98</v>
      </c>
      <c r="H79" s="7" t="s">
        <v>42</v>
      </c>
      <c r="I79" s="7" t="s">
        <v>110</v>
      </c>
      <c r="J79" s="7"/>
      <c r="K79" s="7" t="s">
        <v>1179</v>
      </c>
      <c r="L79" s="7" t="s">
        <v>1173</v>
      </c>
      <c r="M79" s="7" t="s">
        <v>1328</v>
      </c>
      <c r="N79" s="7">
        <v>11364</v>
      </c>
      <c r="O79" s="7">
        <v>0</v>
      </c>
      <c r="P79" s="7">
        <v>4527</v>
      </c>
      <c r="Q79" s="7">
        <v>9298</v>
      </c>
      <c r="R79" s="7">
        <v>3875</v>
      </c>
      <c r="S79" s="7">
        <v>0</v>
      </c>
      <c r="T79" s="7">
        <v>0</v>
      </c>
      <c r="U79" s="7">
        <v>3875</v>
      </c>
      <c r="V79" s="7">
        <v>0</v>
      </c>
      <c r="W79" s="7">
        <v>0</v>
      </c>
      <c r="X79" s="7">
        <v>0</v>
      </c>
      <c r="Y79" s="7">
        <v>0</v>
      </c>
      <c r="Z79" s="7">
        <v>0</v>
      </c>
      <c r="AA79" s="7">
        <v>6</v>
      </c>
      <c r="AB79" s="7"/>
      <c r="AC79" s="7"/>
    </row>
    <row r="80" spans="1:29">
      <c r="A80" s="7" t="s">
        <v>1168</v>
      </c>
      <c r="B80" s="7" t="s">
        <v>1176</v>
      </c>
      <c r="C80" s="7" t="s">
        <v>56</v>
      </c>
      <c r="D80" s="7" t="s">
        <v>1329</v>
      </c>
      <c r="E80" s="7" t="s">
        <v>662</v>
      </c>
      <c r="F80" s="7">
        <v>41400</v>
      </c>
      <c r="G80" s="7" t="s">
        <v>98</v>
      </c>
      <c r="H80" s="7" t="s">
        <v>42</v>
      </c>
      <c r="I80" s="7" t="s">
        <v>37</v>
      </c>
      <c r="J80" s="7"/>
      <c r="K80" s="7" t="s">
        <v>1177</v>
      </c>
      <c r="L80" s="7" t="s">
        <v>1173</v>
      </c>
      <c r="M80" s="7" t="s">
        <v>57</v>
      </c>
      <c r="N80" s="7">
        <v>11364</v>
      </c>
      <c r="O80" s="7">
        <v>0</v>
      </c>
      <c r="P80" s="7">
        <v>4527</v>
      </c>
      <c r="Q80" s="7">
        <v>9298</v>
      </c>
      <c r="R80" s="7">
        <v>3875</v>
      </c>
      <c r="S80" s="7">
        <v>0</v>
      </c>
      <c r="T80" s="7">
        <v>0</v>
      </c>
      <c r="U80" s="7">
        <v>0</v>
      </c>
      <c r="V80" s="7">
        <v>3875</v>
      </c>
      <c r="W80" s="7">
        <v>0</v>
      </c>
      <c r="X80" s="7">
        <v>0</v>
      </c>
      <c r="Y80" s="7">
        <v>0</v>
      </c>
      <c r="Z80" s="7">
        <v>0</v>
      </c>
      <c r="AA80" s="7">
        <v>6</v>
      </c>
      <c r="AB80" s="7"/>
      <c r="AC80" s="7"/>
    </row>
    <row r="81" spans="1:29">
      <c r="A81" s="7" t="s">
        <v>1168</v>
      </c>
      <c r="B81" s="7" t="s">
        <v>1205</v>
      </c>
      <c r="C81" s="7" t="s">
        <v>56</v>
      </c>
      <c r="D81" s="7" t="s">
        <v>1330</v>
      </c>
      <c r="E81" s="7" t="s">
        <v>664</v>
      </c>
      <c r="F81" s="7">
        <v>41400</v>
      </c>
      <c r="G81" s="7" t="s">
        <v>98</v>
      </c>
      <c r="H81" s="7" t="s">
        <v>110</v>
      </c>
      <c r="I81" s="7" t="s">
        <v>32</v>
      </c>
      <c r="J81" s="7" t="s">
        <v>37</v>
      </c>
      <c r="K81" s="7" t="s">
        <v>1331</v>
      </c>
      <c r="L81" s="7" t="s">
        <v>1173</v>
      </c>
      <c r="M81" s="7" t="s">
        <v>1332</v>
      </c>
      <c r="N81" s="7">
        <v>11364</v>
      </c>
      <c r="O81" s="7">
        <v>0</v>
      </c>
      <c r="P81" s="7">
        <v>3668</v>
      </c>
      <c r="Q81" s="7">
        <v>5165</v>
      </c>
      <c r="R81" s="7">
        <v>0</v>
      </c>
      <c r="S81" s="7">
        <v>5165</v>
      </c>
      <c r="T81" s="7">
        <v>0</v>
      </c>
      <c r="U81" s="7">
        <v>5165</v>
      </c>
      <c r="V81" s="7">
        <v>5165</v>
      </c>
      <c r="W81" s="7">
        <v>0</v>
      </c>
      <c r="X81" s="7">
        <v>0</v>
      </c>
      <c r="Y81" s="7">
        <v>0</v>
      </c>
      <c r="Z81" s="7">
        <v>0</v>
      </c>
      <c r="AA81" s="7">
        <v>6</v>
      </c>
      <c r="AB81" s="7"/>
      <c r="AC81" s="7"/>
    </row>
    <row r="82" spans="1:29">
      <c r="A82" s="7" t="s">
        <v>1168</v>
      </c>
      <c r="B82" s="7" t="s">
        <v>1169</v>
      </c>
      <c r="C82" s="7" t="s">
        <v>56</v>
      </c>
      <c r="D82" s="7" t="s">
        <v>1333</v>
      </c>
      <c r="E82" s="7" t="s">
        <v>662</v>
      </c>
      <c r="F82" s="7">
        <v>41400</v>
      </c>
      <c r="G82" s="7" t="s">
        <v>98</v>
      </c>
      <c r="H82" s="7" t="s">
        <v>37</v>
      </c>
      <c r="I82" s="7"/>
      <c r="J82" s="7"/>
      <c r="K82" s="7" t="s">
        <v>1184</v>
      </c>
      <c r="L82" s="7" t="s">
        <v>1173</v>
      </c>
      <c r="M82" s="7" t="s">
        <v>1334</v>
      </c>
      <c r="N82" s="7">
        <v>11364</v>
      </c>
      <c r="O82" s="7">
        <v>0</v>
      </c>
      <c r="P82" s="7">
        <v>1561</v>
      </c>
      <c r="Q82" s="7">
        <v>20145</v>
      </c>
      <c r="R82" s="7">
        <v>0</v>
      </c>
      <c r="S82" s="7">
        <v>0</v>
      </c>
      <c r="T82" s="7">
        <v>0</v>
      </c>
      <c r="U82" s="7">
        <v>0</v>
      </c>
      <c r="V82" s="7">
        <v>6199</v>
      </c>
      <c r="W82" s="7">
        <v>0</v>
      </c>
      <c r="X82" s="7">
        <v>0</v>
      </c>
      <c r="Y82" s="7">
        <v>0</v>
      </c>
      <c r="Z82" s="7">
        <v>0</v>
      </c>
      <c r="AA82" s="7">
        <v>6</v>
      </c>
      <c r="AB82" s="7"/>
      <c r="AC82" s="7"/>
    </row>
    <row r="83" spans="1:29">
      <c r="A83" s="7" t="s">
        <v>1168</v>
      </c>
      <c r="B83" s="7" t="s">
        <v>1169</v>
      </c>
      <c r="C83" s="7" t="s">
        <v>56</v>
      </c>
      <c r="D83" s="7" t="s">
        <v>1335</v>
      </c>
      <c r="E83" s="7" t="s">
        <v>664</v>
      </c>
      <c r="F83" s="7">
        <v>41400</v>
      </c>
      <c r="G83" s="7" t="s">
        <v>32</v>
      </c>
      <c r="H83" s="7" t="s">
        <v>37</v>
      </c>
      <c r="I83" s="7"/>
      <c r="J83" s="7"/>
      <c r="K83" s="7" t="s">
        <v>1172</v>
      </c>
      <c r="L83" s="7" t="s">
        <v>1173</v>
      </c>
      <c r="M83" s="7" t="s">
        <v>1336</v>
      </c>
      <c r="N83" s="7">
        <v>11364</v>
      </c>
      <c r="O83" s="7">
        <v>0</v>
      </c>
      <c r="P83" s="7">
        <v>1561</v>
      </c>
      <c r="Q83" s="7">
        <v>0</v>
      </c>
      <c r="R83" s="7">
        <v>0</v>
      </c>
      <c r="S83" s="7">
        <v>20145</v>
      </c>
      <c r="T83" s="7">
        <v>0</v>
      </c>
      <c r="U83" s="7">
        <v>0</v>
      </c>
      <c r="V83" s="7">
        <v>6199</v>
      </c>
      <c r="W83" s="7">
        <v>0</v>
      </c>
      <c r="X83" s="7">
        <v>0</v>
      </c>
      <c r="Y83" s="7">
        <v>0</v>
      </c>
      <c r="Z83" s="7">
        <v>0</v>
      </c>
      <c r="AA83" s="7">
        <v>6</v>
      </c>
      <c r="AB83" s="7"/>
      <c r="AC83" s="7"/>
    </row>
    <row r="84" spans="1:29">
      <c r="A84" s="7" t="s">
        <v>1168</v>
      </c>
      <c r="B84" s="7" t="s">
        <v>1193</v>
      </c>
      <c r="C84" s="7" t="s">
        <v>56</v>
      </c>
      <c r="D84" s="7" t="s">
        <v>1337</v>
      </c>
      <c r="E84" s="7" t="s">
        <v>665</v>
      </c>
      <c r="F84" s="7">
        <v>41400</v>
      </c>
      <c r="G84" s="7" t="s">
        <v>110</v>
      </c>
      <c r="H84" s="7" t="s">
        <v>37</v>
      </c>
      <c r="I84" s="7"/>
      <c r="J84" s="7"/>
      <c r="K84" s="7" t="s">
        <v>1187</v>
      </c>
      <c r="L84" s="7" t="s">
        <v>1173</v>
      </c>
      <c r="M84" s="7" t="s">
        <v>1338</v>
      </c>
      <c r="N84" s="7">
        <v>11364</v>
      </c>
      <c r="O84" s="7">
        <v>0</v>
      </c>
      <c r="P84" s="7">
        <v>1561</v>
      </c>
      <c r="Q84" s="7">
        <v>0</v>
      </c>
      <c r="R84" s="7">
        <v>0</v>
      </c>
      <c r="S84" s="7">
        <v>0</v>
      </c>
      <c r="T84" s="7">
        <v>0</v>
      </c>
      <c r="U84" s="7">
        <v>20662</v>
      </c>
      <c r="V84" s="7">
        <v>6199</v>
      </c>
      <c r="W84" s="7">
        <v>0</v>
      </c>
      <c r="X84" s="7">
        <v>0</v>
      </c>
      <c r="Y84" s="7">
        <v>0</v>
      </c>
      <c r="Z84" s="7">
        <v>0</v>
      </c>
      <c r="AA84" s="7">
        <v>6</v>
      </c>
      <c r="AB84" s="7"/>
      <c r="AC84" s="7"/>
    </row>
    <row r="85" spans="1:29">
      <c r="A85" s="7" t="s">
        <v>1168</v>
      </c>
      <c r="B85" s="7" t="s">
        <v>1248</v>
      </c>
      <c r="C85" s="7" t="s">
        <v>56</v>
      </c>
      <c r="D85" s="7" t="s">
        <v>1339</v>
      </c>
      <c r="E85" s="7" t="s">
        <v>666</v>
      </c>
      <c r="F85" s="7">
        <v>41400</v>
      </c>
      <c r="G85" s="7" t="s">
        <v>24</v>
      </c>
      <c r="H85" s="7"/>
      <c r="I85" s="7"/>
      <c r="J85" s="7"/>
      <c r="K85" s="7" t="s">
        <v>24</v>
      </c>
      <c r="L85" s="7" t="s">
        <v>1173</v>
      </c>
      <c r="M85" s="7" t="s">
        <v>1340</v>
      </c>
      <c r="N85" s="7">
        <v>11364</v>
      </c>
      <c r="O85" s="7">
        <v>0</v>
      </c>
      <c r="P85" s="7">
        <v>6930</v>
      </c>
      <c r="Q85" s="7">
        <v>0</v>
      </c>
      <c r="R85" s="7">
        <v>0</v>
      </c>
      <c r="S85" s="7">
        <v>0</v>
      </c>
      <c r="T85" s="7">
        <v>9091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6</v>
      </c>
      <c r="AB85" s="7"/>
      <c r="AC85" s="7"/>
    </row>
    <row r="86" spans="1:29">
      <c r="A86" s="7" t="s">
        <v>1181</v>
      </c>
      <c r="B86" s="7" t="s">
        <v>1182</v>
      </c>
      <c r="C86" s="7" t="s">
        <v>56</v>
      </c>
      <c r="D86" s="7" t="s">
        <v>1341</v>
      </c>
      <c r="E86" s="7" t="s">
        <v>93</v>
      </c>
      <c r="F86" s="7">
        <v>38100</v>
      </c>
      <c r="G86" s="7" t="s">
        <v>32</v>
      </c>
      <c r="H86" s="7" t="s">
        <v>37</v>
      </c>
      <c r="I86" s="7"/>
      <c r="J86" s="7"/>
      <c r="K86" s="7" t="s">
        <v>1172</v>
      </c>
      <c r="L86" s="7"/>
      <c r="M86" s="7" t="s">
        <v>1342</v>
      </c>
      <c r="N86" s="7">
        <v>10458</v>
      </c>
      <c r="O86" s="7">
        <v>853</v>
      </c>
      <c r="P86" s="7">
        <v>2155</v>
      </c>
      <c r="Q86" s="7">
        <v>0</v>
      </c>
      <c r="R86" s="7">
        <v>0</v>
      </c>
      <c r="S86" s="7">
        <v>7131</v>
      </c>
      <c r="T86" s="7">
        <v>0</v>
      </c>
      <c r="U86" s="7">
        <v>0</v>
      </c>
      <c r="V86" s="7">
        <v>5705</v>
      </c>
      <c r="W86" s="7">
        <v>0</v>
      </c>
      <c r="X86" s="7">
        <v>0</v>
      </c>
      <c r="Y86" s="7">
        <v>0</v>
      </c>
      <c r="Z86" s="7">
        <v>0</v>
      </c>
      <c r="AA86" s="7">
        <v>6</v>
      </c>
      <c r="AB86" s="7"/>
      <c r="AC86" s="7"/>
    </row>
    <row r="87" spans="1:29">
      <c r="A87" s="7" t="s">
        <v>1181</v>
      </c>
      <c r="B87" s="7" t="s">
        <v>1182</v>
      </c>
      <c r="C87" s="7" t="s">
        <v>56</v>
      </c>
      <c r="D87" s="7" t="s">
        <v>1343</v>
      </c>
      <c r="E87" s="7" t="s">
        <v>93</v>
      </c>
      <c r="F87" s="7">
        <v>35300</v>
      </c>
      <c r="G87" s="7" t="s">
        <v>98</v>
      </c>
      <c r="H87" s="7" t="s">
        <v>37</v>
      </c>
      <c r="I87" s="7"/>
      <c r="J87" s="7"/>
      <c r="K87" s="7" t="s">
        <v>1184</v>
      </c>
      <c r="L87" s="7"/>
      <c r="M87" s="7" t="s">
        <v>1344</v>
      </c>
      <c r="N87" s="7">
        <v>9690</v>
      </c>
      <c r="O87" s="7">
        <v>790</v>
      </c>
      <c r="P87" s="7">
        <v>1997</v>
      </c>
      <c r="Q87" s="7">
        <v>6607</v>
      </c>
      <c r="R87" s="7">
        <v>0</v>
      </c>
      <c r="S87" s="7">
        <v>0</v>
      </c>
      <c r="T87" s="7">
        <v>0</v>
      </c>
      <c r="U87" s="7">
        <v>0</v>
      </c>
      <c r="V87" s="7">
        <v>5285</v>
      </c>
      <c r="W87" s="7">
        <v>0</v>
      </c>
      <c r="X87" s="7">
        <v>0</v>
      </c>
      <c r="Y87" s="7">
        <v>0</v>
      </c>
      <c r="Z87" s="7">
        <v>0</v>
      </c>
      <c r="AA87" s="7">
        <v>6</v>
      </c>
      <c r="AB87" s="7"/>
      <c r="AC87" s="7"/>
    </row>
    <row r="88" spans="1:29">
      <c r="A88" s="7" t="s">
        <v>1181</v>
      </c>
      <c r="B88" s="7" t="s">
        <v>1182</v>
      </c>
      <c r="C88" s="7" t="s">
        <v>56</v>
      </c>
      <c r="D88" s="7" t="s">
        <v>1302</v>
      </c>
      <c r="E88" s="7" t="s">
        <v>93</v>
      </c>
      <c r="F88" s="7">
        <v>35300</v>
      </c>
      <c r="G88" s="7" t="s">
        <v>32</v>
      </c>
      <c r="H88" s="7" t="s">
        <v>37</v>
      </c>
      <c r="I88" s="7"/>
      <c r="J88" s="7"/>
      <c r="K88" s="7" t="s">
        <v>1172</v>
      </c>
      <c r="L88" s="7"/>
      <c r="M88" s="7" t="s">
        <v>1345</v>
      </c>
      <c r="N88" s="7">
        <v>9690</v>
      </c>
      <c r="O88" s="7">
        <v>790</v>
      </c>
      <c r="P88" s="7">
        <v>1997</v>
      </c>
      <c r="Q88" s="7">
        <v>0</v>
      </c>
      <c r="R88" s="7">
        <v>0</v>
      </c>
      <c r="S88" s="7">
        <v>6607</v>
      </c>
      <c r="T88" s="7">
        <v>0</v>
      </c>
      <c r="U88" s="7">
        <v>0</v>
      </c>
      <c r="V88" s="7">
        <v>5285</v>
      </c>
      <c r="W88" s="7">
        <v>0</v>
      </c>
      <c r="X88" s="7">
        <v>0</v>
      </c>
      <c r="Y88" s="7">
        <v>0</v>
      </c>
      <c r="Z88" s="7">
        <v>0</v>
      </c>
      <c r="AA88" s="7">
        <v>6</v>
      </c>
      <c r="AB88" s="7"/>
      <c r="AC88" s="7"/>
    </row>
    <row r="89" spans="1:29">
      <c r="A89" s="7" t="s">
        <v>1181</v>
      </c>
      <c r="B89" s="7" t="s">
        <v>1182</v>
      </c>
      <c r="C89" s="7" t="s">
        <v>56</v>
      </c>
      <c r="D89" s="7" t="s">
        <v>1305</v>
      </c>
      <c r="E89" s="7" t="s">
        <v>93</v>
      </c>
      <c r="F89" s="7">
        <v>35300</v>
      </c>
      <c r="G89" s="7" t="s">
        <v>98</v>
      </c>
      <c r="H89" s="7" t="s">
        <v>37</v>
      </c>
      <c r="I89" s="7"/>
      <c r="J89" s="7"/>
      <c r="K89" s="7" t="s">
        <v>1184</v>
      </c>
      <c r="L89" s="7"/>
      <c r="M89" s="7" t="s">
        <v>1346</v>
      </c>
      <c r="N89" s="7">
        <v>9690</v>
      </c>
      <c r="O89" s="7">
        <v>790</v>
      </c>
      <c r="P89" s="7">
        <v>1997</v>
      </c>
      <c r="Q89" s="7">
        <v>6607</v>
      </c>
      <c r="R89" s="7">
        <v>0</v>
      </c>
      <c r="S89" s="7">
        <v>0</v>
      </c>
      <c r="T89" s="7">
        <v>0</v>
      </c>
      <c r="U89" s="7">
        <v>0</v>
      </c>
      <c r="V89" s="7">
        <v>5285</v>
      </c>
      <c r="W89" s="7">
        <v>0</v>
      </c>
      <c r="X89" s="7">
        <v>0</v>
      </c>
      <c r="Y89" s="7">
        <v>0</v>
      </c>
      <c r="Z89" s="7">
        <v>0</v>
      </c>
      <c r="AA89" s="7">
        <v>6</v>
      </c>
      <c r="AB89" s="7"/>
      <c r="AC89" s="7"/>
    </row>
    <row r="90" spans="1:29">
      <c r="A90" s="7" t="s">
        <v>1181</v>
      </c>
      <c r="B90" s="7" t="s">
        <v>1182</v>
      </c>
      <c r="C90" s="7" t="s">
        <v>56</v>
      </c>
      <c r="D90" s="7" t="s">
        <v>1347</v>
      </c>
      <c r="E90" s="7" t="s">
        <v>93</v>
      </c>
      <c r="F90" s="7">
        <v>35300</v>
      </c>
      <c r="G90" s="7" t="s">
        <v>110</v>
      </c>
      <c r="H90" s="7" t="s">
        <v>37</v>
      </c>
      <c r="I90" s="7"/>
      <c r="J90" s="7"/>
      <c r="K90" s="7" t="s">
        <v>1187</v>
      </c>
      <c r="L90" s="7"/>
      <c r="M90" s="7" t="s">
        <v>1348</v>
      </c>
      <c r="N90" s="7">
        <v>9690</v>
      </c>
      <c r="O90" s="7">
        <v>790</v>
      </c>
      <c r="P90" s="7">
        <v>1997</v>
      </c>
      <c r="Q90" s="7">
        <v>0</v>
      </c>
      <c r="R90" s="7">
        <v>0</v>
      </c>
      <c r="S90" s="7">
        <v>0</v>
      </c>
      <c r="T90" s="7">
        <v>0</v>
      </c>
      <c r="U90" s="7">
        <v>6607</v>
      </c>
      <c r="V90" s="7">
        <v>5285</v>
      </c>
      <c r="W90" s="7">
        <v>0</v>
      </c>
      <c r="X90" s="7">
        <v>0</v>
      </c>
      <c r="Y90" s="7">
        <v>0</v>
      </c>
      <c r="Z90" s="7">
        <v>0</v>
      </c>
      <c r="AA90" s="7">
        <v>6</v>
      </c>
      <c r="AB90" s="7"/>
      <c r="AC90" s="7"/>
    </row>
    <row r="91" spans="1:29">
      <c r="A91" s="7" t="s">
        <v>1168</v>
      </c>
      <c r="B91" s="7" t="s">
        <v>1228</v>
      </c>
      <c r="C91" s="7" t="s">
        <v>56</v>
      </c>
      <c r="D91" s="7" t="s">
        <v>1349</v>
      </c>
      <c r="E91" s="7" t="s">
        <v>93</v>
      </c>
      <c r="F91" s="7">
        <v>35300</v>
      </c>
      <c r="G91" s="7" t="s">
        <v>32</v>
      </c>
      <c r="H91" s="7" t="s">
        <v>37</v>
      </c>
      <c r="I91" s="7"/>
      <c r="J91" s="7"/>
      <c r="K91" s="7" t="s">
        <v>1172</v>
      </c>
      <c r="L91" s="7" t="s">
        <v>1226</v>
      </c>
      <c r="M91" s="7" t="s">
        <v>1350</v>
      </c>
      <c r="N91" s="7">
        <v>9690</v>
      </c>
      <c r="O91" s="7">
        <v>0</v>
      </c>
      <c r="P91" s="7">
        <v>3726</v>
      </c>
      <c r="Q91" s="7">
        <v>0</v>
      </c>
      <c r="R91" s="7">
        <v>0</v>
      </c>
      <c r="S91" s="7">
        <v>10791</v>
      </c>
      <c r="T91" s="7">
        <v>0</v>
      </c>
      <c r="U91" s="7">
        <v>0</v>
      </c>
      <c r="V91" s="7">
        <v>4404</v>
      </c>
      <c r="W91" s="7">
        <v>0</v>
      </c>
      <c r="X91" s="7">
        <v>0</v>
      </c>
      <c r="Y91" s="7">
        <v>0</v>
      </c>
      <c r="Z91" s="7">
        <v>0</v>
      </c>
      <c r="AA91" s="7">
        <v>6</v>
      </c>
      <c r="AB91" s="7"/>
      <c r="AC91" s="7"/>
    </row>
    <row r="92" spans="1:29">
      <c r="A92" s="7" t="s">
        <v>1168</v>
      </c>
      <c r="B92" s="7" t="s">
        <v>1233</v>
      </c>
      <c r="C92" s="7" t="s">
        <v>56</v>
      </c>
      <c r="D92" s="7" t="s">
        <v>1351</v>
      </c>
      <c r="E92" s="7" t="s">
        <v>93</v>
      </c>
      <c r="F92" s="7">
        <v>35300</v>
      </c>
      <c r="G92" s="7" t="s">
        <v>24</v>
      </c>
      <c r="H92" s="7"/>
      <c r="I92" s="7"/>
      <c r="J92" s="7"/>
      <c r="K92" s="7" t="s">
        <v>24</v>
      </c>
      <c r="L92" s="7" t="s">
        <v>1226</v>
      </c>
      <c r="M92" s="7" t="s">
        <v>1352</v>
      </c>
      <c r="N92" s="7">
        <v>9690</v>
      </c>
      <c r="O92" s="7">
        <v>0</v>
      </c>
      <c r="P92" s="7">
        <v>5510</v>
      </c>
      <c r="Q92" s="7">
        <v>0</v>
      </c>
      <c r="R92" s="7">
        <v>0</v>
      </c>
      <c r="S92" s="7">
        <v>0</v>
      </c>
      <c r="T92" s="7">
        <v>9073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6</v>
      </c>
      <c r="AB92" s="7"/>
      <c r="AC92" s="7"/>
    </row>
    <row r="93" spans="1:29">
      <c r="A93" s="7" t="s">
        <v>1168</v>
      </c>
      <c r="B93" s="7" t="s">
        <v>1176</v>
      </c>
      <c r="C93" s="7" t="s">
        <v>56</v>
      </c>
      <c r="D93" s="7" t="s">
        <v>1353</v>
      </c>
      <c r="E93" s="7" t="s">
        <v>93</v>
      </c>
      <c r="F93" s="7">
        <v>35300</v>
      </c>
      <c r="G93" s="7" t="s">
        <v>37</v>
      </c>
      <c r="H93" s="7"/>
      <c r="I93" s="7"/>
      <c r="J93" s="7"/>
      <c r="K93" s="7" t="s">
        <v>37</v>
      </c>
      <c r="L93" s="7" t="s">
        <v>1226</v>
      </c>
      <c r="M93" s="7" t="s">
        <v>1354</v>
      </c>
      <c r="N93" s="7">
        <v>9690</v>
      </c>
      <c r="O93" s="7">
        <v>0</v>
      </c>
      <c r="P93" s="7">
        <v>4525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11451</v>
      </c>
      <c r="W93" s="7">
        <v>0</v>
      </c>
      <c r="X93" s="7">
        <v>0</v>
      </c>
      <c r="Y93" s="7">
        <v>0</v>
      </c>
      <c r="Z93" s="7">
        <v>0</v>
      </c>
      <c r="AA93" s="7">
        <v>6</v>
      </c>
      <c r="AB93" s="7"/>
      <c r="AC93" s="7"/>
    </row>
    <row r="94" spans="1:29">
      <c r="A94" s="7" t="s">
        <v>1168</v>
      </c>
      <c r="B94" s="7" t="s">
        <v>1176</v>
      </c>
      <c r="C94" s="7" t="s">
        <v>56</v>
      </c>
      <c r="D94" s="7" t="s">
        <v>1355</v>
      </c>
      <c r="E94" s="7" t="s">
        <v>93</v>
      </c>
      <c r="F94" s="7">
        <v>35300</v>
      </c>
      <c r="G94" s="7" t="s">
        <v>32</v>
      </c>
      <c r="H94" s="7" t="s">
        <v>110</v>
      </c>
      <c r="I94" s="7" t="s">
        <v>37</v>
      </c>
      <c r="J94" s="7"/>
      <c r="K94" s="7" t="s">
        <v>1207</v>
      </c>
      <c r="L94" s="7" t="s">
        <v>1226</v>
      </c>
      <c r="M94" s="7" t="s">
        <v>1356</v>
      </c>
      <c r="N94" s="7">
        <v>9690</v>
      </c>
      <c r="O94" s="7">
        <v>0</v>
      </c>
      <c r="P94" s="7">
        <v>3860</v>
      </c>
      <c r="Q94" s="7">
        <v>0</v>
      </c>
      <c r="R94" s="7">
        <v>0</v>
      </c>
      <c r="S94" s="7">
        <v>4845</v>
      </c>
      <c r="T94" s="7">
        <v>0</v>
      </c>
      <c r="U94" s="7">
        <v>4845</v>
      </c>
      <c r="V94" s="7">
        <v>4845</v>
      </c>
      <c r="W94" s="7">
        <v>0</v>
      </c>
      <c r="X94" s="7">
        <v>0</v>
      </c>
      <c r="Y94" s="7">
        <v>0</v>
      </c>
      <c r="Z94" s="7">
        <v>0</v>
      </c>
      <c r="AA94" s="7">
        <v>6</v>
      </c>
      <c r="AB94" s="7"/>
      <c r="AC94" s="7"/>
    </row>
    <row r="95" spans="1:29">
      <c r="A95" s="7" t="s">
        <v>1168</v>
      </c>
      <c r="B95" s="7" t="s">
        <v>1228</v>
      </c>
      <c r="C95" s="7" t="s">
        <v>56</v>
      </c>
      <c r="D95" s="7" t="s">
        <v>1357</v>
      </c>
      <c r="E95" s="7" t="s">
        <v>93</v>
      </c>
      <c r="F95" s="7">
        <v>35300</v>
      </c>
      <c r="G95" s="7" t="s">
        <v>98</v>
      </c>
      <c r="H95" s="7" t="s">
        <v>37</v>
      </c>
      <c r="I95" s="7"/>
      <c r="J95" s="7"/>
      <c r="K95" s="7" t="s">
        <v>1184</v>
      </c>
      <c r="L95" s="7" t="s">
        <v>1226</v>
      </c>
      <c r="M95" s="7" t="s">
        <v>1358</v>
      </c>
      <c r="N95" s="7">
        <v>9690</v>
      </c>
      <c r="O95" s="7">
        <v>0</v>
      </c>
      <c r="P95" s="7">
        <v>3194</v>
      </c>
      <c r="Q95" s="7">
        <v>10571</v>
      </c>
      <c r="R95" s="7">
        <v>0</v>
      </c>
      <c r="S95" s="7">
        <v>0</v>
      </c>
      <c r="T95" s="7">
        <v>0</v>
      </c>
      <c r="U95" s="7">
        <v>0</v>
      </c>
      <c r="V95" s="7">
        <v>6166</v>
      </c>
      <c r="W95" s="7">
        <v>0</v>
      </c>
      <c r="X95" s="7">
        <v>0</v>
      </c>
      <c r="Y95" s="7">
        <v>0</v>
      </c>
      <c r="Z95" s="7">
        <v>0</v>
      </c>
      <c r="AA95" s="7">
        <v>6</v>
      </c>
      <c r="AB95" s="7"/>
      <c r="AC95" s="7"/>
    </row>
    <row r="96" spans="1:29">
      <c r="A96" s="7" t="s">
        <v>1168</v>
      </c>
      <c r="B96" s="7" t="s">
        <v>1176</v>
      </c>
      <c r="C96" s="7" t="s">
        <v>56</v>
      </c>
      <c r="D96" s="7" t="s">
        <v>1359</v>
      </c>
      <c r="E96" s="7" t="s">
        <v>93</v>
      </c>
      <c r="F96" s="7">
        <v>35300</v>
      </c>
      <c r="G96" s="7" t="s">
        <v>110</v>
      </c>
      <c r="H96" s="7" t="s">
        <v>37</v>
      </c>
      <c r="I96" s="7"/>
      <c r="J96" s="7"/>
      <c r="K96" s="7" t="s">
        <v>1187</v>
      </c>
      <c r="L96" s="7" t="s">
        <v>1226</v>
      </c>
      <c r="M96" s="7" t="s">
        <v>1360</v>
      </c>
      <c r="N96" s="7">
        <v>9690</v>
      </c>
      <c r="O96" s="7">
        <v>0</v>
      </c>
      <c r="P96" s="7">
        <v>2662</v>
      </c>
      <c r="Q96" s="7">
        <v>0</v>
      </c>
      <c r="R96" s="7">
        <v>0</v>
      </c>
      <c r="S96" s="7">
        <v>0</v>
      </c>
      <c r="T96" s="7">
        <v>0</v>
      </c>
      <c r="U96" s="7">
        <v>12112</v>
      </c>
      <c r="V96" s="7">
        <v>6606</v>
      </c>
      <c r="W96" s="7">
        <v>0</v>
      </c>
      <c r="X96" s="7">
        <v>0</v>
      </c>
      <c r="Y96" s="7">
        <v>0</v>
      </c>
      <c r="Z96" s="7">
        <v>0</v>
      </c>
      <c r="AA96" s="7">
        <v>6</v>
      </c>
      <c r="AB96" s="7"/>
      <c r="AC96" s="7"/>
    </row>
    <row r="97" spans="1:29">
      <c r="A97" s="7" t="s">
        <v>1168</v>
      </c>
      <c r="B97" s="7" t="s">
        <v>1176</v>
      </c>
      <c r="C97" s="7" t="s">
        <v>56</v>
      </c>
      <c r="D97" s="7" t="s">
        <v>1361</v>
      </c>
      <c r="E97" s="7" t="s">
        <v>93</v>
      </c>
      <c r="F97" s="7">
        <v>35300</v>
      </c>
      <c r="G97" s="7" t="s">
        <v>98</v>
      </c>
      <c r="H97" s="7" t="s">
        <v>32</v>
      </c>
      <c r="I97" s="7" t="s">
        <v>37</v>
      </c>
      <c r="J97" s="7"/>
      <c r="K97" s="7" t="s">
        <v>1206</v>
      </c>
      <c r="L97" s="7" t="s">
        <v>1226</v>
      </c>
      <c r="M97" s="7" t="s">
        <v>1362</v>
      </c>
      <c r="N97" s="7">
        <v>9690</v>
      </c>
      <c r="O97" s="7">
        <v>0</v>
      </c>
      <c r="P97" s="7">
        <v>3860</v>
      </c>
      <c r="Q97" s="7">
        <v>4845</v>
      </c>
      <c r="R97" s="7">
        <v>0</v>
      </c>
      <c r="S97" s="7">
        <v>4845</v>
      </c>
      <c r="T97" s="7">
        <v>0</v>
      </c>
      <c r="U97" s="7">
        <v>0</v>
      </c>
      <c r="V97" s="7">
        <v>4845</v>
      </c>
      <c r="W97" s="7">
        <v>0</v>
      </c>
      <c r="X97" s="7">
        <v>0</v>
      </c>
      <c r="Y97" s="7">
        <v>0</v>
      </c>
      <c r="Z97" s="7">
        <v>0</v>
      </c>
      <c r="AA97" s="7">
        <v>6</v>
      </c>
      <c r="AB97" s="7"/>
      <c r="AC97" s="7"/>
    </row>
    <row r="98" spans="1:29">
      <c r="A98" s="7" t="s">
        <v>1168</v>
      </c>
      <c r="B98" s="7" t="s">
        <v>1176</v>
      </c>
      <c r="C98" s="7" t="s">
        <v>56</v>
      </c>
      <c r="D98" s="7" t="s">
        <v>1363</v>
      </c>
      <c r="E98" s="7" t="s">
        <v>93</v>
      </c>
      <c r="F98" s="7">
        <v>35300</v>
      </c>
      <c r="G98" s="7" t="s">
        <v>98</v>
      </c>
      <c r="H98" s="7" t="s">
        <v>110</v>
      </c>
      <c r="I98" s="7" t="s">
        <v>37</v>
      </c>
      <c r="J98" s="7"/>
      <c r="K98" s="7" t="s">
        <v>1239</v>
      </c>
      <c r="L98" s="7" t="s">
        <v>1226</v>
      </c>
      <c r="M98" s="7" t="s">
        <v>1364</v>
      </c>
      <c r="N98" s="7">
        <v>9690</v>
      </c>
      <c r="O98" s="7">
        <v>0</v>
      </c>
      <c r="P98" s="7">
        <v>3860</v>
      </c>
      <c r="Q98" s="7">
        <v>4845</v>
      </c>
      <c r="R98" s="7">
        <v>0</v>
      </c>
      <c r="S98" s="7">
        <v>0</v>
      </c>
      <c r="T98" s="7">
        <v>0</v>
      </c>
      <c r="U98" s="7">
        <v>4845</v>
      </c>
      <c r="V98" s="7">
        <v>4845</v>
      </c>
      <c r="W98" s="7">
        <v>0</v>
      </c>
      <c r="X98" s="7">
        <v>0</v>
      </c>
      <c r="Y98" s="7">
        <v>0</v>
      </c>
      <c r="Z98" s="7">
        <v>0</v>
      </c>
      <c r="AA98" s="7">
        <v>6</v>
      </c>
      <c r="AB98" s="7"/>
      <c r="AC98" s="7"/>
    </row>
    <row r="99" spans="1:29">
      <c r="A99" s="7" t="s">
        <v>1168</v>
      </c>
      <c r="B99" s="7" t="s">
        <v>1176</v>
      </c>
      <c r="C99" s="7" t="s">
        <v>56</v>
      </c>
      <c r="D99" s="7" t="s">
        <v>1365</v>
      </c>
      <c r="E99" s="7" t="s">
        <v>680</v>
      </c>
      <c r="F99" s="7">
        <v>35300</v>
      </c>
      <c r="G99" s="7" t="s">
        <v>98</v>
      </c>
      <c r="H99" s="7" t="s">
        <v>42</v>
      </c>
      <c r="I99" s="7" t="s">
        <v>110</v>
      </c>
      <c r="J99" s="7"/>
      <c r="K99" s="7" t="s">
        <v>1179</v>
      </c>
      <c r="L99" s="7" t="s">
        <v>1173</v>
      </c>
      <c r="M99" s="7" t="s">
        <v>1366</v>
      </c>
      <c r="N99" s="7">
        <v>9690</v>
      </c>
      <c r="O99" s="7">
        <v>0</v>
      </c>
      <c r="P99" s="7">
        <v>3860</v>
      </c>
      <c r="Q99" s="7">
        <v>7928</v>
      </c>
      <c r="R99" s="7">
        <v>3304</v>
      </c>
      <c r="S99" s="7">
        <v>0</v>
      </c>
      <c r="T99" s="7">
        <v>0</v>
      </c>
      <c r="U99" s="7">
        <v>3304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6</v>
      </c>
      <c r="AB99" s="7"/>
      <c r="AC99" s="7"/>
    </row>
    <row r="100" spans="1:29">
      <c r="A100" s="7" t="s">
        <v>1168</v>
      </c>
      <c r="B100" s="7" t="s">
        <v>1176</v>
      </c>
      <c r="C100" s="7" t="s">
        <v>56</v>
      </c>
      <c r="D100" s="7" t="s">
        <v>1367</v>
      </c>
      <c r="E100" s="7" t="s">
        <v>678</v>
      </c>
      <c r="F100" s="7">
        <v>35300</v>
      </c>
      <c r="G100" s="7" t="s">
        <v>98</v>
      </c>
      <c r="H100" s="7" t="s">
        <v>42</v>
      </c>
      <c r="I100" s="7" t="s">
        <v>37</v>
      </c>
      <c r="J100" s="7"/>
      <c r="K100" s="7" t="s">
        <v>1177</v>
      </c>
      <c r="L100" s="7" t="s">
        <v>1173</v>
      </c>
      <c r="M100" s="7" t="s">
        <v>283</v>
      </c>
      <c r="N100" s="7">
        <v>9690</v>
      </c>
      <c r="O100" s="7">
        <v>0</v>
      </c>
      <c r="P100" s="7">
        <v>3860</v>
      </c>
      <c r="Q100" s="7">
        <v>7928</v>
      </c>
      <c r="R100" s="7">
        <v>3304</v>
      </c>
      <c r="S100" s="7">
        <v>0</v>
      </c>
      <c r="T100" s="7">
        <v>0</v>
      </c>
      <c r="U100" s="7">
        <v>0</v>
      </c>
      <c r="V100" s="7">
        <v>3304</v>
      </c>
      <c r="W100" s="7">
        <v>0</v>
      </c>
      <c r="X100" s="7">
        <v>0</v>
      </c>
      <c r="Y100" s="7">
        <v>0</v>
      </c>
      <c r="Z100" s="7">
        <v>0</v>
      </c>
      <c r="AA100" s="7">
        <v>6</v>
      </c>
      <c r="AB100" s="7"/>
      <c r="AC100" s="7"/>
    </row>
    <row r="101" spans="1:29">
      <c r="A101" s="7" t="s">
        <v>1168</v>
      </c>
      <c r="B101" s="7" t="s">
        <v>1205</v>
      </c>
      <c r="C101" s="7" t="s">
        <v>56</v>
      </c>
      <c r="D101" s="7" t="s">
        <v>1368</v>
      </c>
      <c r="E101" s="7" t="s">
        <v>679</v>
      </c>
      <c r="F101" s="7">
        <v>35300</v>
      </c>
      <c r="G101" s="7" t="s">
        <v>98</v>
      </c>
      <c r="H101" s="7" t="s">
        <v>110</v>
      </c>
      <c r="I101" s="7" t="s">
        <v>32</v>
      </c>
      <c r="J101" s="7" t="s">
        <v>37</v>
      </c>
      <c r="K101" s="7" t="s">
        <v>1331</v>
      </c>
      <c r="L101" s="7" t="s">
        <v>1173</v>
      </c>
      <c r="M101" s="7" t="s">
        <v>1369</v>
      </c>
      <c r="N101" s="7">
        <v>9690</v>
      </c>
      <c r="O101" s="7">
        <v>0</v>
      </c>
      <c r="P101" s="7">
        <v>3128</v>
      </c>
      <c r="Q101" s="7">
        <v>4404</v>
      </c>
      <c r="R101" s="7">
        <v>0</v>
      </c>
      <c r="S101" s="7">
        <v>4404</v>
      </c>
      <c r="T101" s="7">
        <v>0</v>
      </c>
      <c r="U101" s="7">
        <v>4404</v>
      </c>
      <c r="V101" s="7">
        <v>4404</v>
      </c>
      <c r="W101" s="7">
        <v>0</v>
      </c>
      <c r="X101" s="7">
        <v>0</v>
      </c>
      <c r="Y101" s="7">
        <v>0</v>
      </c>
      <c r="Z101" s="7">
        <v>0</v>
      </c>
      <c r="AA101" s="7">
        <v>6</v>
      </c>
      <c r="AB101" s="7"/>
      <c r="AC101" s="7"/>
    </row>
    <row r="102" spans="1:29">
      <c r="A102" s="7" t="s">
        <v>1168</v>
      </c>
      <c r="B102" s="7" t="s">
        <v>1169</v>
      </c>
      <c r="C102" s="7" t="s">
        <v>56</v>
      </c>
      <c r="D102" s="7" t="s">
        <v>1370</v>
      </c>
      <c r="E102" s="7" t="s">
        <v>678</v>
      </c>
      <c r="F102" s="7">
        <v>35300</v>
      </c>
      <c r="G102" s="7" t="s">
        <v>98</v>
      </c>
      <c r="H102" s="7" t="s">
        <v>37</v>
      </c>
      <c r="I102" s="7"/>
      <c r="J102" s="7"/>
      <c r="K102" s="7" t="s">
        <v>1184</v>
      </c>
      <c r="L102" s="7" t="s">
        <v>1173</v>
      </c>
      <c r="M102" s="7" t="s">
        <v>1371</v>
      </c>
      <c r="N102" s="7">
        <v>9690</v>
      </c>
      <c r="O102" s="7">
        <v>0</v>
      </c>
      <c r="P102" s="7">
        <v>1331</v>
      </c>
      <c r="Q102" s="7">
        <v>17177</v>
      </c>
      <c r="R102" s="7">
        <v>0</v>
      </c>
      <c r="S102" s="7">
        <v>0</v>
      </c>
      <c r="T102" s="7">
        <v>0</v>
      </c>
      <c r="U102" s="7">
        <v>0</v>
      </c>
      <c r="V102" s="7">
        <v>5286</v>
      </c>
      <c r="W102" s="7">
        <v>0</v>
      </c>
      <c r="X102" s="7">
        <v>0</v>
      </c>
      <c r="Y102" s="7">
        <v>0</v>
      </c>
      <c r="Z102" s="7">
        <v>0</v>
      </c>
      <c r="AA102" s="7">
        <v>6</v>
      </c>
      <c r="AB102" s="7"/>
      <c r="AC102" s="7"/>
    </row>
    <row r="103" spans="1:29">
      <c r="A103" s="7" t="s">
        <v>1168</v>
      </c>
      <c r="B103" s="7" t="s">
        <v>1169</v>
      </c>
      <c r="C103" s="7" t="s">
        <v>56</v>
      </c>
      <c r="D103" s="7" t="s">
        <v>1372</v>
      </c>
      <c r="E103" s="7" t="s">
        <v>679</v>
      </c>
      <c r="F103" s="7">
        <v>35300</v>
      </c>
      <c r="G103" s="7" t="s">
        <v>32</v>
      </c>
      <c r="H103" s="7" t="s">
        <v>37</v>
      </c>
      <c r="I103" s="7"/>
      <c r="J103" s="7"/>
      <c r="K103" s="7" t="s">
        <v>1172</v>
      </c>
      <c r="L103" s="7" t="s">
        <v>1173</v>
      </c>
      <c r="M103" s="7" t="s">
        <v>284</v>
      </c>
      <c r="N103" s="7">
        <v>9690</v>
      </c>
      <c r="O103" s="7">
        <v>0</v>
      </c>
      <c r="P103" s="7">
        <v>1331</v>
      </c>
      <c r="Q103" s="7">
        <v>0</v>
      </c>
      <c r="R103" s="7">
        <v>0</v>
      </c>
      <c r="S103" s="7">
        <v>17177</v>
      </c>
      <c r="T103" s="7">
        <v>0</v>
      </c>
      <c r="U103" s="7">
        <v>0</v>
      </c>
      <c r="V103" s="7">
        <v>5286</v>
      </c>
      <c r="W103" s="7">
        <v>0</v>
      </c>
      <c r="X103" s="7">
        <v>0</v>
      </c>
      <c r="Y103" s="7">
        <v>0</v>
      </c>
      <c r="Z103" s="7">
        <v>0</v>
      </c>
      <c r="AA103" s="7">
        <v>6</v>
      </c>
      <c r="AB103" s="7"/>
      <c r="AC103" s="7"/>
    </row>
    <row r="104" spans="1:29">
      <c r="A104" s="7" t="s">
        <v>1168</v>
      </c>
      <c r="B104" s="7" t="s">
        <v>1169</v>
      </c>
      <c r="C104" s="7" t="s">
        <v>56</v>
      </c>
      <c r="D104" s="7" t="s">
        <v>1373</v>
      </c>
      <c r="E104" s="7" t="s">
        <v>680</v>
      </c>
      <c r="F104" s="7">
        <v>35300</v>
      </c>
      <c r="G104" s="7" t="s">
        <v>110</v>
      </c>
      <c r="H104" s="7" t="s">
        <v>37</v>
      </c>
      <c r="I104" s="7"/>
      <c r="J104" s="7"/>
      <c r="K104" s="7" t="s">
        <v>1187</v>
      </c>
      <c r="L104" s="7" t="s">
        <v>1173</v>
      </c>
      <c r="M104" s="7" t="s">
        <v>1374</v>
      </c>
      <c r="N104" s="7">
        <v>9690</v>
      </c>
      <c r="O104" s="7">
        <v>0</v>
      </c>
      <c r="P104" s="7">
        <v>1331</v>
      </c>
      <c r="Q104" s="7">
        <v>0</v>
      </c>
      <c r="R104" s="7">
        <v>0</v>
      </c>
      <c r="S104" s="7">
        <v>0</v>
      </c>
      <c r="T104" s="7">
        <v>0</v>
      </c>
      <c r="U104" s="7">
        <v>17177</v>
      </c>
      <c r="V104" s="7">
        <v>5286</v>
      </c>
      <c r="W104" s="7">
        <v>0</v>
      </c>
      <c r="X104" s="7">
        <v>0</v>
      </c>
      <c r="Y104" s="7">
        <v>0</v>
      </c>
      <c r="Z104" s="7">
        <v>0</v>
      </c>
      <c r="AA104" s="7">
        <v>6</v>
      </c>
      <c r="AB104" s="7"/>
      <c r="AC104" s="7"/>
    </row>
    <row r="105" spans="1:29">
      <c r="A105" s="7" t="s">
        <v>1168</v>
      </c>
      <c r="B105" s="7" t="s">
        <v>1233</v>
      </c>
      <c r="C105" s="7" t="s">
        <v>56</v>
      </c>
      <c r="D105" s="7" t="s">
        <v>1375</v>
      </c>
      <c r="E105" s="7" t="s">
        <v>681</v>
      </c>
      <c r="F105" s="7">
        <v>35300</v>
      </c>
      <c r="G105" s="7" t="s">
        <v>24</v>
      </c>
      <c r="H105" s="7"/>
      <c r="I105" s="7"/>
      <c r="J105" s="7"/>
      <c r="K105" s="7" t="s">
        <v>24</v>
      </c>
      <c r="L105" s="7" t="s">
        <v>1173</v>
      </c>
      <c r="M105" s="7" t="s">
        <v>258</v>
      </c>
      <c r="N105" s="7">
        <v>9690</v>
      </c>
      <c r="O105" s="7">
        <v>0</v>
      </c>
      <c r="P105" s="7">
        <v>5510</v>
      </c>
      <c r="Q105" s="7">
        <v>0</v>
      </c>
      <c r="R105" s="7">
        <v>0</v>
      </c>
      <c r="S105" s="7">
        <v>0</v>
      </c>
      <c r="T105" s="7">
        <v>9073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6</v>
      </c>
      <c r="AB105" s="7"/>
      <c r="AC105" s="7"/>
    </row>
    <row r="106" spans="1:29">
      <c r="A106" s="7" t="s">
        <v>1181</v>
      </c>
      <c r="B106" s="7" t="s">
        <v>1182</v>
      </c>
      <c r="C106" s="7" t="s">
        <v>56</v>
      </c>
      <c r="D106" s="7" t="s">
        <v>1376</v>
      </c>
      <c r="E106" s="7" t="s">
        <v>93</v>
      </c>
      <c r="F106" s="7">
        <v>35300</v>
      </c>
      <c r="G106" s="7" t="s">
        <v>24</v>
      </c>
      <c r="H106" s="7" t="s">
        <v>37</v>
      </c>
      <c r="I106" s="7"/>
      <c r="J106" s="7"/>
      <c r="K106" s="7" t="s">
        <v>1191</v>
      </c>
      <c r="L106" s="7"/>
      <c r="M106" s="7" t="s">
        <v>1377</v>
      </c>
      <c r="N106" s="7">
        <v>9690</v>
      </c>
      <c r="O106" s="7">
        <v>790</v>
      </c>
      <c r="P106" s="7">
        <v>1997</v>
      </c>
      <c r="Q106" s="7">
        <v>0</v>
      </c>
      <c r="R106" s="7">
        <v>0</v>
      </c>
      <c r="S106" s="7">
        <v>0</v>
      </c>
      <c r="T106" s="7">
        <v>6607</v>
      </c>
      <c r="U106" s="7">
        <v>0</v>
      </c>
      <c r="V106" s="7">
        <v>5285</v>
      </c>
      <c r="W106" s="7">
        <v>0</v>
      </c>
      <c r="X106" s="7">
        <v>0</v>
      </c>
      <c r="Y106" s="7">
        <v>0</v>
      </c>
      <c r="Z106" s="7">
        <v>0</v>
      </c>
      <c r="AA106" s="7">
        <v>6</v>
      </c>
      <c r="AB106" s="7"/>
      <c r="AC106" s="7"/>
    </row>
    <row r="107" spans="1:29">
      <c r="A107" s="7" t="s">
        <v>1181</v>
      </c>
      <c r="B107" s="7" t="s">
        <v>1182</v>
      </c>
      <c r="C107" s="7" t="s">
        <v>56</v>
      </c>
      <c r="D107" s="7" t="s">
        <v>1378</v>
      </c>
      <c r="E107" s="7" t="s">
        <v>93</v>
      </c>
      <c r="F107" s="7">
        <v>34100</v>
      </c>
      <c r="G107" s="7" t="s">
        <v>98</v>
      </c>
      <c r="H107" s="7" t="s">
        <v>37</v>
      </c>
      <c r="I107" s="7"/>
      <c r="J107" s="7"/>
      <c r="K107" s="7" t="s">
        <v>1184</v>
      </c>
      <c r="L107" s="7"/>
      <c r="M107" s="7" t="s">
        <v>1379</v>
      </c>
      <c r="N107" s="7">
        <v>9360</v>
      </c>
      <c r="O107" s="7">
        <v>764</v>
      </c>
      <c r="P107" s="7">
        <v>1929</v>
      </c>
      <c r="Q107" s="7">
        <v>6382</v>
      </c>
      <c r="R107" s="7">
        <v>0</v>
      </c>
      <c r="S107" s="7">
        <v>0</v>
      </c>
      <c r="T107" s="7">
        <v>0</v>
      </c>
      <c r="U107" s="7">
        <v>0</v>
      </c>
      <c r="V107" s="7">
        <v>5106</v>
      </c>
      <c r="W107" s="7">
        <v>0</v>
      </c>
      <c r="X107" s="7">
        <v>0</v>
      </c>
      <c r="Y107" s="7">
        <v>0</v>
      </c>
      <c r="Z107" s="7">
        <v>0</v>
      </c>
      <c r="AA107" s="7">
        <v>6</v>
      </c>
      <c r="AB107" s="7"/>
      <c r="AC107" s="7"/>
    </row>
    <row r="108" spans="1:29">
      <c r="A108" s="7" t="s">
        <v>1181</v>
      </c>
      <c r="B108" s="7" t="s">
        <v>1182</v>
      </c>
      <c r="C108" s="7" t="s">
        <v>43</v>
      </c>
      <c r="D108" s="7" t="s">
        <v>1380</v>
      </c>
      <c r="E108" s="7" t="s">
        <v>598</v>
      </c>
      <c r="F108" s="7">
        <v>42100</v>
      </c>
      <c r="G108" s="7" t="s">
        <v>98</v>
      </c>
      <c r="H108" s="7" t="s">
        <v>37</v>
      </c>
      <c r="I108" s="7"/>
      <c r="J108" s="7"/>
      <c r="K108" s="7" t="s">
        <v>1184</v>
      </c>
      <c r="L108" s="7"/>
      <c r="M108" s="7" t="s">
        <v>335</v>
      </c>
      <c r="N108" s="7">
        <v>23113</v>
      </c>
      <c r="O108" s="7">
        <v>1886</v>
      </c>
      <c r="P108" s="7">
        <v>4763</v>
      </c>
      <c r="Q108" s="7">
        <v>15759</v>
      </c>
      <c r="R108" s="7">
        <v>0</v>
      </c>
      <c r="S108" s="7">
        <v>0</v>
      </c>
      <c r="T108" s="7">
        <v>0</v>
      </c>
      <c r="U108" s="7">
        <v>0</v>
      </c>
      <c r="V108" s="7">
        <v>12607</v>
      </c>
      <c r="W108" s="7">
        <v>0</v>
      </c>
      <c r="X108" s="7" t="s">
        <v>110</v>
      </c>
      <c r="Y108" s="7" t="s">
        <v>98</v>
      </c>
      <c r="Z108" s="7">
        <v>0</v>
      </c>
      <c r="AA108" s="7">
        <v>6</v>
      </c>
      <c r="AB108" s="7"/>
      <c r="AC108" s="7"/>
    </row>
    <row r="109" spans="1:29">
      <c r="A109" s="7" t="s">
        <v>1181</v>
      </c>
      <c r="B109" s="7" t="s">
        <v>1182</v>
      </c>
      <c r="C109" s="7" t="s">
        <v>43</v>
      </c>
      <c r="D109" s="7" t="s">
        <v>1381</v>
      </c>
      <c r="E109" s="7" t="s">
        <v>93</v>
      </c>
      <c r="F109" s="7">
        <v>41400</v>
      </c>
      <c r="G109" s="7" t="s">
        <v>32</v>
      </c>
      <c r="H109" s="7" t="s">
        <v>37</v>
      </c>
      <c r="I109" s="7"/>
      <c r="J109" s="7"/>
      <c r="K109" s="7" t="s">
        <v>1172</v>
      </c>
      <c r="L109" s="7"/>
      <c r="M109" s="7" t="s">
        <v>339</v>
      </c>
      <c r="N109" s="7">
        <v>22728</v>
      </c>
      <c r="O109" s="7">
        <v>1854</v>
      </c>
      <c r="P109" s="7">
        <v>4683</v>
      </c>
      <c r="Q109" s="7">
        <v>0</v>
      </c>
      <c r="R109" s="7">
        <v>0</v>
      </c>
      <c r="S109" s="7">
        <v>15497</v>
      </c>
      <c r="T109" s="7">
        <v>0</v>
      </c>
      <c r="U109" s="7">
        <v>0</v>
      </c>
      <c r="V109" s="7">
        <v>12398</v>
      </c>
      <c r="W109" s="7">
        <v>0</v>
      </c>
      <c r="X109" s="7" t="s">
        <v>47</v>
      </c>
      <c r="Y109" s="7" t="s">
        <v>98</v>
      </c>
      <c r="Z109" s="7">
        <v>0</v>
      </c>
      <c r="AA109" s="7">
        <v>6</v>
      </c>
      <c r="AB109" s="7"/>
      <c r="AC109" s="7"/>
    </row>
    <row r="110" spans="1:29">
      <c r="A110" s="7" t="s">
        <v>1181</v>
      </c>
      <c r="B110" s="7" t="s">
        <v>1182</v>
      </c>
      <c r="C110" s="7" t="s">
        <v>43</v>
      </c>
      <c r="D110" s="7" t="s">
        <v>1382</v>
      </c>
      <c r="E110" s="7" t="s">
        <v>93</v>
      </c>
      <c r="F110" s="7">
        <v>41400</v>
      </c>
      <c r="G110" s="7" t="s">
        <v>24</v>
      </c>
      <c r="H110" s="7" t="s">
        <v>37</v>
      </c>
      <c r="I110" s="7"/>
      <c r="J110" s="7"/>
      <c r="K110" s="7" t="s">
        <v>1191</v>
      </c>
      <c r="L110" s="7"/>
      <c r="M110" s="7" t="s">
        <v>355</v>
      </c>
      <c r="N110" s="7">
        <v>22728</v>
      </c>
      <c r="O110" s="7">
        <v>1854</v>
      </c>
      <c r="P110" s="7">
        <v>4683</v>
      </c>
      <c r="Q110" s="7">
        <v>0</v>
      </c>
      <c r="R110" s="7">
        <v>0</v>
      </c>
      <c r="S110" s="7">
        <v>0</v>
      </c>
      <c r="T110" s="7">
        <v>15497</v>
      </c>
      <c r="U110" s="7">
        <v>0</v>
      </c>
      <c r="V110" s="7">
        <v>12398</v>
      </c>
      <c r="W110" s="7">
        <v>0</v>
      </c>
      <c r="X110" s="7" t="s">
        <v>110</v>
      </c>
      <c r="Y110" s="7" t="s">
        <v>98</v>
      </c>
      <c r="Z110" s="7">
        <v>0</v>
      </c>
      <c r="AA110" s="7">
        <v>6</v>
      </c>
      <c r="AB110" s="7"/>
      <c r="AC110" s="7"/>
    </row>
    <row r="111" spans="1:29">
      <c r="A111" s="7" t="s">
        <v>1181</v>
      </c>
      <c r="B111" s="7" t="s">
        <v>1182</v>
      </c>
      <c r="C111" s="7" t="s">
        <v>43</v>
      </c>
      <c r="D111" s="7" t="s">
        <v>1383</v>
      </c>
      <c r="E111" s="7" t="s">
        <v>93</v>
      </c>
      <c r="F111" s="7">
        <v>41400</v>
      </c>
      <c r="G111" s="7" t="s">
        <v>110</v>
      </c>
      <c r="H111" s="7" t="s">
        <v>37</v>
      </c>
      <c r="I111" s="7"/>
      <c r="J111" s="7"/>
      <c r="K111" s="7" t="s">
        <v>1187</v>
      </c>
      <c r="L111" s="7"/>
      <c r="M111" s="7" t="s">
        <v>345</v>
      </c>
      <c r="N111" s="7">
        <v>22728</v>
      </c>
      <c r="O111" s="7">
        <v>1854</v>
      </c>
      <c r="P111" s="7">
        <v>4683</v>
      </c>
      <c r="Q111" s="7">
        <v>0</v>
      </c>
      <c r="R111" s="7">
        <v>0</v>
      </c>
      <c r="S111" s="7">
        <v>0</v>
      </c>
      <c r="T111" s="7">
        <v>0</v>
      </c>
      <c r="U111" s="7">
        <v>15497</v>
      </c>
      <c r="V111" s="7">
        <v>12398</v>
      </c>
      <c r="W111" s="7">
        <v>0</v>
      </c>
      <c r="X111" s="7" t="s">
        <v>32</v>
      </c>
      <c r="Y111" s="7" t="s">
        <v>91</v>
      </c>
      <c r="Z111" s="7">
        <v>0</v>
      </c>
      <c r="AA111" s="7">
        <v>6</v>
      </c>
      <c r="AB111" s="7"/>
      <c r="AC111" s="7"/>
    </row>
    <row r="112" spans="1:29">
      <c r="A112" s="7" t="s">
        <v>1181</v>
      </c>
      <c r="B112" s="7" t="s">
        <v>1182</v>
      </c>
      <c r="C112" s="7" t="s">
        <v>43</v>
      </c>
      <c r="D112" s="7" t="s">
        <v>1384</v>
      </c>
      <c r="E112" s="7" t="s">
        <v>93</v>
      </c>
      <c r="F112" s="7">
        <v>41400</v>
      </c>
      <c r="G112" s="7" t="s">
        <v>110</v>
      </c>
      <c r="H112" s="7" t="s">
        <v>37</v>
      </c>
      <c r="I112" s="7"/>
      <c r="J112" s="7"/>
      <c r="K112" s="7" t="s">
        <v>1187</v>
      </c>
      <c r="L112" s="7"/>
      <c r="M112" s="7" t="s">
        <v>346</v>
      </c>
      <c r="N112" s="7">
        <v>22728</v>
      </c>
      <c r="O112" s="7">
        <v>1854</v>
      </c>
      <c r="P112" s="7">
        <v>4683</v>
      </c>
      <c r="Q112" s="7">
        <v>0</v>
      </c>
      <c r="R112" s="7">
        <v>0</v>
      </c>
      <c r="S112" s="7">
        <v>0</v>
      </c>
      <c r="T112" s="7">
        <v>0</v>
      </c>
      <c r="U112" s="7">
        <v>15497</v>
      </c>
      <c r="V112" s="7">
        <v>12398</v>
      </c>
      <c r="W112" s="7">
        <v>0</v>
      </c>
      <c r="X112" s="7" t="s">
        <v>32</v>
      </c>
      <c r="Y112" s="7" t="s">
        <v>91</v>
      </c>
      <c r="Z112" s="7">
        <v>0</v>
      </c>
      <c r="AA112" s="7">
        <v>6</v>
      </c>
      <c r="AB112" s="7"/>
      <c r="AC112" s="7"/>
    </row>
    <row r="113" spans="1:29">
      <c r="A113" s="7" t="s">
        <v>1181</v>
      </c>
      <c r="B113" s="7" t="s">
        <v>1182</v>
      </c>
      <c r="C113" s="7" t="s">
        <v>43</v>
      </c>
      <c r="D113" s="7" t="s">
        <v>1385</v>
      </c>
      <c r="E113" s="7" t="s">
        <v>93</v>
      </c>
      <c r="F113" s="7">
        <v>41400</v>
      </c>
      <c r="G113" s="7" t="s">
        <v>98</v>
      </c>
      <c r="H113" s="7" t="s">
        <v>37</v>
      </c>
      <c r="I113" s="7"/>
      <c r="J113" s="7"/>
      <c r="K113" s="7" t="s">
        <v>1184</v>
      </c>
      <c r="L113" s="7"/>
      <c r="M113" s="7" t="s">
        <v>338</v>
      </c>
      <c r="N113" s="7">
        <v>22728</v>
      </c>
      <c r="O113" s="7">
        <v>1854</v>
      </c>
      <c r="P113" s="7">
        <v>4683</v>
      </c>
      <c r="Q113" s="7">
        <v>15497</v>
      </c>
      <c r="R113" s="7">
        <v>0</v>
      </c>
      <c r="S113" s="7">
        <v>0</v>
      </c>
      <c r="T113" s="7">
        <v>0</v>
      </c>
      <c r="U113" s="7">
        <v>0</v>
      </c>
      <c r="V113" s="7">
        <v>12398</v>
      </c>
      <c r="W113" s="7">
        <v>0</v>
      </c>
      <c r="X113" s="7" t="s">
        <v>110</v>
      </c>
      <c r="Y113" s="7" t="s">
        <v>98</v>
      </c>
      <c r="Z113" s="7">
        <v>0</v>
      </c>
      <c r="AA113" s="7">
        <v>6</v>
      </c>
      <c r="AB113" s="7"/>
      <c r="AC113" s="7"/>
    </row>
    <row r="114" spans="1:29">
      <c r="A114" s="7" t="s">
        <v>1168</v>
      </c>
      <c r="B114" s="7" t="s">
        <v>1176</v>
      </c>
      <c r="C114" s="7" t="s">
        <v>43</v>
      </c>
      <c r="D114" s="7" t="s">
        <v>1386</v>
      </c>
      <c r="E114" s="7" t="s">
        <v>93</v>
      </c>
      <c r="F114" s="7">
        <v>41400</v>
      </c>
      <c r="G114" s="7" t="s">
        <v>37</v>
      </c>
      <c r="H114" s="7"/>
      <c r="I114" s="7"/>
      <c r="J114" s="7"/>
      <c r="K114" s="7" t="s">
        <v>37</v>
      </c>
      <c r="L114" s="7" t="s">
        <v>1226</v>
      </c>
      <c r="M114" s="7" t="s">
        <v>331</v>
      </c>
      <c r="N114" s="7">
        <v>22728</v>
      </c>
      <c r="O114" s="7">
        <v>0</v>
      </c>
      <c r="P114" s="7">
        <v>10614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26861</v>
      </c>
      <c r="W114" s="7">
        <v>0</v>
      </c>
      <c r="X114" s="7" t="s">
        <v>98</v>
      </c>
      <c r="Y114" s="7" t="s">
        <v>37</v>
      </c>
      <c r="Z114" s="7">
        <v>0</v>
      </c>
      <c r="AA114" s="7">
        <v>6</v>
      </c>
      <c r="AB114" s="7"/>
      <c r="AC114" s="7"/>
    </row>
    <row r="115" spans="1:29">
      <c r="A115" s="7" t="s">
        <v>1168</v>
      </c>
      <c r="B115" s="7" t="s">
        <v>1233</v>
      </c>
      <c r="C115" s="7" t="s">
        <v>43</v>
      </c>
      <c r="D115" s="7" t="s">
        <v>1387</v>
      </c>
      <c r="E115" s="7" t="s">
        <v>93</v>
      </c>
      <c r="F115" s="7">
        <v>41400</v>
      </c>
      <c r="G115" s="7" t="s">
        <v>98</v>
      </c>
      <c r="H115" s="7" t="s">
        <v>37</v>
      </c>
      <c r="I115" s="7"/>
      <c r="J115" s="7"/>
      <c r="K115" s="7" t="s">
        <v>1184</v>
      </c>
      <c r="L115" s="7" t="s">
        <v>1226</v>
      </c>
      <c r="M115" s="7" t="s">
        <v>325</v>
      </c>
      <c r="N115" s="7">
        <v>22728</v>
      </c>
      <c r="O115" s="7">
        <v>0</v>
      </c>
      <c r="P115" s="7">
        <v>7493</v>
      </c>
      <c r="Q115" s="7">
        <v>14464</v>
      </c>
      <c r="R115" s="7">
        <v>0</v>
      </c>
      <c r="S115" s="7">
        <v>0</v>
      </c>
      <c r="T115" s="7">
        <v>0</v>
      </c>
      <c r="U115" s="7">
        <v>0</v>
      </c>
      <c r="V115" s="7">
        <v>22729</v>
      </c>
      <c r="W115" s="7">
        <v>0</v>
      </c>
      <c r="X115" s="7" t="s">
        <v>47</v>
      </c>
      <c r="Y115" s="7" t="s">
        <v>37</v>
      </c>
      <c r="Z115" s="7">
        <v>0</v>
      </c>
      <c r="AA115" s="7">
        <v>6</v>
      </c>
      <c r="AB115" s="7"/>
      <c r="AC115" s="7"/>
    </row>
    <row r="116" spans="1:29">
      <c r="A116" s="7" t="s">
        <v>1168</v>
      </c>
      <c r="B116" s="7" t="s">
        <v>1233</v>
      </c>
      <c r="C116" s="7" t="s">
        <v>43</v>
      </c>
      <c r="D116" s="7" t="s">
        <v>1388</v>
      </c>
      <c r="E116" s="7" t="s">
        <v>93</v>
      </c>
      <c r="F116" s="7">
        <v>41400</v>
      </c>
      <c r="G116" s="7" t="s">
        <v>32</v>
      </c>
      <c r="H116" s="7" t="s">
        <v>37</v>
      </c>
      <c r="I116" s="7"/>
      <c r="J116" s="7"/>
      <c r="K116" s="7" t="s">
        <v>1172</v>
      </c>
      <c r="L116" s="7" t="s">
        <v>1226</v>
      </c>
      <c r="M116" s="7" t="s">
        <v>330</v>
      </c>
      <c r="N116" s="7">
        <v>22728</v>
      </c>
      <c r="O116" s="7">
        <v>0</v>
      </c>
      <c r="P116" s="7">
        <v>7493</v>
      </c>
      <c r="Q116" s="7">
        <v>0</v>
      </c>
      <c r="R116" s="7">
        <v>0</v>
      </c>
      <c r="S116" s="7">
        <v>14464</v>
      </c>
      <c r="T116" s="7">
        <v>0</v>
      </c>
      <c r="U116" s="7">
        <v>0</v>
      </c>
      <c r="V116" s="7">
        <v>22729</v>
      </c>
      <c r="W116" s="7">
        <v>0</v>
      </c>
      <c r="X116" s="7" t="s">
        <v>32</v>
      </c>
      <c r="Y116" s="7" t="s">
        <v>47</v>
      </c>
      <c r="Z116" s="7">
        <v>0</v>
      </c>
      <c r="AA116" s="7">
        <v>6</v>
      </c>
      <c r="AB116" s="7"/>
      <c r="AC116" s="7"/>
    </row>
    <row r="117" spans="1:29">
      <c r="A117" s="7" t="s">
        <v>1168</v>
      </c>
      <c r="B117" s="7" t="s">
        <v>1233</v>
      </c>
      <c r="C117" s="7" t="s">
        <v>43</v>
      </c>
      <c r="D117" s="7" t="s">
        <v>1389</v>
      </c>
      <c r="E117" s="7" t="s">
        <v>93</v>
      </c>
      <c r="F117" s="7">
        <v>41400</v>
      </c>
      <c r="G117" s="7" t="s">
        <v>110</v>
      </c>
      <c r="H117" s="7" t="s">
        <v>37</v>
      </c>
      <c r="I117" s="7"/>
      <c r="J117" s="7"/>
      <c r="K117" s="7" t="s">
        <v>1187</v>
      </c>
      <c r="L117" s="7" t="s">
        <v>1226</v>
      </c>
      <c r="M117" s="7" t="s">
        <v>326</v>
      </c>
      <c r="N117" s="7">
        <v>22728</v>
      </c>
      <c r="O117" s="7">
        <v>0</v>
      </c>
      <c r="P117" s="7">
        <v>6244</v>
      </c>
      <c r="Q117" s="7">
        <v>0</v>
      </c>
      <c r="R117" s="7">
        <v>0</v>
      </c>
      <c r="S117" s="7">
        <v>0</v>
      </c>
      <c r="T117" s="7">
        <v>0</v>
      </c>
      <c r="U117" s="7">
        <v>29445</v>
      </c>
      <c r="V117" s="7">
        <v>15497</v>
      </c>
      <c r="W117" s="7">
        <v>0</v>
      </c>
      <c r="X117" s="7" t="s">
        <v>110</v>
      </c>
      <c r="Y117" s="7" t="s">
        <v>37</v>
      </c>
      <c r="Z117" s="7">
        <v>0</v>
      </c>
      <c r="AA117" s="7">
        <v>6</v>
      </c>
      <c r="AB117" s="7"/>
      <c r="AC117" s="7"/>
    </row>
    <row r="118" spans="1:29">
      <c r="A118" s="7" t="s">
        <v>1168</v>
      </c>
      <c r="B118" s="7" t="s">
        <v>1176</v>
      </c>
      <c r="C118" s="7" t="s">
        <v>43</v>
      </c>
      <c r="D118" s="7" t="s">
        <v>1390</v>
      </c>
      <c r="E118" s="7" t="s">
        <v>93</v>
      </c>
      <c r="F118" s="7">
        <v>41400</v>
      </c>
      <c r="G118" s="7" t="s">
        <v>98</v>
      </c>
      <c r="H118" s="7" t="s">
        <v>32</v>
      </c>
      <c r="I118" s="7" t="s">
        <v>37</v>
      </c>
      <c r="J118" s="7"/>
      <c r="K118" s="7" t="s">
        <v>1206</v>
      </c>
      <c r="L118" s="7" t="s">
        <v>1226</v>
      </c>
      <c r="M118" s="7" t="s">
        <v>321</v>
      </c>
      <c r="N118" s="7">
        <v>22728</v>
      </c>
      <c r="O118" s="7">
        <v>0</v>
      </c>
      <c r="P118" s="7">
        <v>9053</v>
      </c>
      <c r="Q118" s="7">
        <v>11365</v>
      </c>
      <c r="R118" s="7">
        <v>0</v>
      </c>
      <c r="S118" s="7">
        <v>11365</v>
      </c>
      <c r="T118" s="7">
        <v>0</v>
      </c>
      <c r="U118" s="7">
        <v>0</v>
      </c>
      <c r="V118" s="7">
        <v>11365</v>
      </c>
      <c r="W118" s="7">
        <v>0</v>
      </c>
      <c r="X118" s="7" t="s">
        <v>42</v>
      </c>
      <c r="Y118" s="7" t="s">
        <v>47</v>
      </c>
      <c r="Z118" s="7">
        <v>0</v>
      </c>
      <c r="AA118" s="7">
        <v>6</v>
      </c>
      <c r="AB118" s="7"/>
      <c r="AC118" s="7"/>
    </row>
    <row r="119" spans="1:29">
      <c r="A119" s="7" t="s">
        <v>1168</v>
      </c>
      <c r="B119" s="7" t="s">
        <v>1176</v>
      </c>
      <c r="C119" s="7" t="s">
        <v>43</v>
      </c>
      <c r="D119" s="7" t="s">
        <v>1391</v>
      </c>
      <c r="E119" s="7" t="s">
        <v>93</v>
      </c>
      <c r="F119" s="7">
        <v>41400</v>
      </c>
      <c r="G119" s="7" t="s">
        <v>98</v>
      </c>
      <c r="H119" s="7" t="s">
        <v>110</v>
      </c>
      <c r="I119" s="7" t="s">
        <v>37</v>
      </c>
      <c r="J119" s="7"/>
      <c r="K119" s="7" t="s">
        <v>1239</v>
      </c>
      <c r="L119" s="7" t="s">
        <v>1226</v>
      </c>
      <c r="M119" s="7" t="s">
        <v>274</v>
      </c>
      <c r="N119" s="7">
        <v>22728</v>
      </c>
      <c r="O119" s="7">
        <v>0</v>
      </c>
      <c r="P119" s="7">
        <v>9053</v>
      </c>
      <c r="Q119" s="7">
        <v>11365</v>
      </c>
      <c r="R119" s="7">
        <v>0</v>
      </c>
      <c r="S119" s="7">
        <v>0</v>
      </c>
      <c r="T119" s="7">
        <v>0</v>
      </c>
      <c r="U119" s="7">
        <v>11365</v>
      </c>
      <c r="V119" s="7">
        <v>11365</v>
      </c>
      <c r="W119" s="7">
        <v>0</v>
      </c>
      <c r="X119" s="7" t="s">
        <v>32</v>
      </c>
      <c r="Y119" s="7" t="s">
        <v>37</v>
      </c>
      <c r="Z119" s="7">
        <v>0</v>
      </c>
      <c r="AA119" s="7">
        <v>6</v>
      </c>
      <c r="AB119" s="7"/>
      <c r="AC119" s="7"/>
    </row>
    <row r="120" spans="1:29">
      <c r="A120" s="7" t="s">
        <v>1168</v>
      </c>
      <c r="B120" s="7" t="s">
        <v>1176</v>
      </c>
      <c r="C120" s="7" t="s">
        <v>43</v>
      </c>
      <c r="D120" s="7" t="s">
        <v>1392</v>
      </c>
      <c r="E120" s="7" t="s">
        <v>93</v>
      </c>
      <c r="F120" s="7">
        <v>41400</v>
      </c>
      <c r="G120" s="7" t="s">
        <v>32</v>
      </c>
      <c r="H120" s="7" t="s">
        <v>110</v>
      </c>
      <c r="I120" s="7" t="s">
        <v>37</v>
      </c>
      <c r="J120" s="7"/>
      <c r="K120" s="7" t="s">
        <v>1207</v>
      </c>
      <c r="L120" s="7" t="s">
        <v>1226</v>
      </c>
      <c r="M120" s="7" t="s">
        <v>328</v>
      </c>
      <c r="N120" s="7">
        <v>22728</v>
      </c>
      <c r="O120" s="7">
        <v>0</v>
      </c>
      <c r="P120" s="7">
        <v>9053</v>
      </c>
      <c r="Q120" s="7">
        <v>0</v>
      </c>
      <c r="R120" s="7">
        <v>0</v>
      </c>
      <c r="S120" s="7">
        <v>11365</v>
      </c>
      <c r="T120" s="7">
        <v>0</v>
      </c>
      <c r="U120" s="7">
        <v>11365</v>
      </c>
      <c r="V120" s="7">
        <v>11365</v>
      </c>
      <c r="W120" s="7">
        <v>0</v>
      </c>
      <c r="X120" s="7" t="s">
        <v>32</v>
      </c>
      <c r="Y120" s="7" t="s">
        <v>37</v>
      </c>
      <c r="Z120" s="7">
        <v>0</v>
      </c>
      <c r="AA120" s="7">
        <v>6</v>
      </c>
      <c r="AB120" s="7"/>
      <c r="AC120" s="7"/>
    </row>
    <row r="121" spans="1:29">
      <c r="A121" s="7" t="s">
        <v>1168</v>
      </c>
      <c r="B121" s="7" t="s">
        <v>1228</v>
      </c>
      <c r="C121" s="7" t="s">
        <v>43</v>
      </c>
      <c r="D121" s="7" t="s">
        <v>1393</v>
      </c>
      <c r="E121" s="7" t="s">
        <v>93</v>
      </c>
      <c r="F121" s="7">
        <v>41400</v>
      </c>
      <c r="G121" s="7" t="s">
        <v>24</v>
      </c>
      <c r="H121" s="7"/>
      <c r="I121" s="7"/>
      <c r="J121" s="7"/>
      <c r="K121" s="7" t="s">
        <v>24</v>
      </c>
      <c r="L121" s="7" t="s">
        <v>1226</v>
      </c>
      <c r="M121" s="7" t="s">
        <v>356</v>
      </c>
      <c r="N121" s="7">
        <v>22728</v>
      </c>
      <c r="O121" s="7">
        <v>0</v>
      </c>
      <c r="P121" s="7">
        <v>12393</v>
      </c>
      <c r="Q121" s="7">
        <v>0</v>
      </c>
      <c r="R121" s="7">
        <v>0</v>
      </c>
      <c r="S121" s="7">
        <v>0</v>
      </c>
      <c r="T121" s="7">
        <v>23039</v>
      </c>
      <c r="U121" s="7">
        <v>0</v>
      </c>
      <c r="V121" s="7">
        <v>0</v>
      </c>
      <c r="W121" s="7">
        <v>0</v>
      </c>
      <c r="X121" s="7" t="s">
        <v>98</v>
      </c>
      <c r="Y121" s="7" t="s">
        <v>110</v>
      </c>
      <c r="Z121" s="7">
        <v>0</v>
      </c>
      <c r="AA121" s="7">
        <v>6</v>
      </c>
      <c r="AB121" s="7"/>
      <c r="AC121" s="7"/>
    </row>
    <row r="122" spans="1:29">
      <c r="A122" s="7" t="s">
        <v>1168</v>
      </c>
      <c r="B122" s="7" t="s">
        <v>1205</v>
      </c>
      <c r="C122" s="7" t="s">
        <v>43</v>
      </c>
      <c r="D122" s="7" t="s">
        <v>1394</v>
      </c>
      <c r="E122" s="7" t="s">
        <v>657</v>
      </c>
      <c r="F122" s="7">
        <v>41400</v>
      </c>
      <c r="G122" s="7" t="s">
        <v>98</v>
      </c>
      <c r="H122" s="7" t="s">
        <v>110</v>
      </c>
      <c r="I122" s="7" t="s">
        <v>32</v>
      </c>
      <c r="J122" s="7" t="s">
        <v>37</v>
      </c>
      <c r="K122" s="7" t="s">
        <v>1331</v>
      </c>
      <c r="L122" s="7" t="s">
        <v>1173</v>
      </c>
      <c r="M122" s="7" t="s">
        <v>44</v>
      </c>
      <c r="N122" s="7">
        <v>22728</v>
      </c>
      <c r="O122" s="7">
        <v>0</v>
      </c>
      <c r="P122" s="7">
        <v>7336</v>
      </c>
      <c r="Q122" s="7">
        <v>10331</v>
      </c>
      <c r="R122" s="7">
        <v>0</v>
      </c>
      <c r="S122" s="7">
        <v>10331</v>
      </c>
      <c r="T122" s="7">
        <v>0</v>
      </c>
      <c r="U122" s="7">
        <v>10331</v>
      </c>
      <c r="V122" s="7">
        <v>10331</v>
      </c>
      <c r="W122" s="7">
        <v>0</v>
      </c>
      <c r="X122" s="7" t="s">
        <v>98</v>
      </c>
      <c r="Y122" s="7" t="s">
        <v>110</v>
      </c>
      <c r="Z122" s="7">
        <v>0</v>
      </c>
      <c r="AA122" s="7">
        <v>6</v>
      </c>
      <c r="AB122" s="7"/>
      <c r="AC122" s="7"/>
    </row>
    <row r="123" spans="1:29">
      <c r="A123" s="7" t="s">
        <v>1168</v>
      </c>
      <c r="B123" s="7" t="s">
        <v>1248</v>
      </c>
      <c r="C123" s="7" t="s">
        <v>43</v>
      </c>
      <c r="D123" s="7" t="s">
        <v>1395</v>
      </c>
      <c r="E123" s="7" t="s">
        <v>657</v>
      </c>
      <c r="F123" s="7">
        <v>41400</v>
      </c>
      <c r="G123" s="7" t="s">
        <v>98</v>
      </c>
      <c r="H123" s="7" t="s">
        <v>37</v>
      </c>
      <c r="I123" s="7"/>
      <c r="J123" s="7"/>
      <c r="K123" s="7" t="s">
        <v>1184</v>
      </c>
      <c r="L123" s="7" t="s">
        <v>1173</v>
      </c>
      <c r="M123" s="7" t="s">
        <v>317</v>
      </c>
      <c r="N123" s="7">
        <v>22728</v>
      </c>
      <c r="O123" s="7">
        <v>0</v>
      </c>
      <c r="P123" s="7">
        <v>3121</v>
      </c>
      <c r="Q123" s="7">
        <v>40291</v>
      </c>
      <c r="R123" s="7">
        <v>0</v>
      </c>
      <c r="S123" s="7">
        <v>0</v>
      </c>
      <c r="T123" s="7">
        <v>0</v>
      </c>
      <c r="U123" s="7">
        <v>0</v>
      </c>
      <c r="V123" s="7">
        <v>12398</v>
      </c>
      <c r="W123" s="7">
        <v>0</v>
      </c>
      <c r="X123" s="7" t="s">
        <v>47</v>
      </c>
      <c r="Y123" s="7" t="s">
        <v>37</v>
      </c>
      <c r="Z123" s="7">
        <v>0</v>
      </c>
      <c r="AA123" s="7">
        <v>6</v>
      </c>
      <c r="AB123" s="7"/>
      <c r="AC123" s="7"/>
    </row>
    <row r="124" spans="1:29">
      <c r="A124" s="7" t="s">
        <v>1168</v>
      </c>
      <c r="B124" s="7" t="s">
        <v>1193</v>
      </c>
      <c r="C124" s="7" t="s">
        <v>43</v>
      </c>
      <c r="D124" s="7" t="s">
        <v>1396</v>
      </c>
      <c r="E124" s="7" t="s">
        <v>657</v>
      </c>
      <c r="F124" s="7">
        <v>41400</v>
      </c>
      <c r="G124" s="7" t="s">
        <v>110</v>
      </c>
      <c r="H124" s="7" t="s">
        <v>37</v>
      </c>
      <c r="I124" s="7"/>
      <c r="J124" s="7"/>
      <c r="K124" s="7" t="s">
        <v>1187</v>
      </c>
      <c r="L124" s="7" t="s">
        <v>1173</v>
      </c>
      <c r="M124" s="7" t="s">
        <v>324</v>
      </c>
      <c r="N124" s="7">
        <v>22728</v>
      </c>
      <c r="O124" s="7">
        <v>0</v>
      </c>
      <c r="P124" s="7">
        <v>3121</v>
      </c>
      <c r="Q124" s="7">
        <v>0</v>
      </c>
      <c r="R124" s="7">
        <v>0</v>
      </c>
      <c r="S124" s="7">
        <v>0</v>
      </c>
      <c r="T124" s="7">
        <v>0</v>
      </c>
      <c r="U124" s="7">
        <v>41325</v>
      </c>
      <c r="V124" s="7">
        <v>12398</v>
      </c>
      <c r="W124" s="7">
        <v>0</v>
      </c>
      <c r="X124" s="7" t="s">
        <v>110</v>
      </c>
      <c r="Y124" s="7" t="s">
        <v>37</v>
      </c>
      <c r="Z124" s="7">
        <v>0</v>
      </c>
      <c r="AA124" s="7">
        <v>6</v>
      </c>
      <c r="AB124" s="7"/>
      <c r="AC124" s="7"/>
    </row>
    <row r="125" spans="1:29">
      <c r="A125" s="7" t="s">
        <v>1168</v>
      </c>
      <c r="B125" s="7" t="s">
        <v>1248</v>
      </c>
      <c r="C125" s="7" t="s">
        <v>43</v>
      </c>
      <c r="D125" s="7" t="s">
        <v>1397</v>
      </c>
      <c r="E125" s="7" t="s">
        <v>657</v>
      </c>
      <c r="F125" s="7">
        <v>41400</v>
      </c>
      <c r="G125" s="7" t="s">
        <v>32</v>
      </c>
      <c r="H125" s="7" t="s">
        <v>37</v>
      </c>
      <c r="I125" s="7"/>
      <c r="J125" s="7"/>
      <c r="K125" s="7" t="s">
        <v>1172</v>
      </c>
      <c r="L125" s="7" t="s">
        <v>1173</v>
      </c>
      <c r="M125" s="7" t="s">
        <v>320</v>
      </c>
      <c r="N125" s="7">
        <v>22728</v>
      </c>
      <c r="O125" s="7">
        <v>0</v>
      </c>
      <c r="P125" s="7">
        <v>3121</v>
      </c>
      <c r="Q125" s="7">
        <v>0</v>
      </c>
      <c r="R125" s="7">
        <v>0</v>
      </c>
      <c r="S125" s="7">
        <v>40291</v>
      </c>
      <c r="T125" s="7">
        <v>0</v>
      </c>
      <c r="U125" s="7">
        <v>0</v>
      </c>
      <c r="V125" s="7">
        <v>12398</v>
      </c>
      <c r="W125" s="7">
        <v>0</v>
      </c>
      <c r="X125" s="7" t="s">
        <v>32</v>
      </c>
      <c r="Y125" s="7" t="s">
        <v>47</v>
      </c>
      <c r="Z125" s="7">
        <v>0</v>
      </c>
      <c r="AA125" s="7">
        <v>6</v>
      </c>
      <c r="AB125" s="7"/>
      <c r="AC125" s="7"/>
    </row>
    <row r="126" spans="1:29">
      <c r="A126" s="7" t="s">
        <v>1168</v>
      </c>
      <c r="B126" s="7" t="s">
        <v>1205</v>
      </c>
      <c r="C126" s="7" t="s">
        <v>43</v>
      </c>
      <c r="D126" s="7" t="s">
        <v>1398</v>
      </c>
      <c r="E126" s="7" t="s">
        <v>659</v>
      </c>
      <c r="F126" s="7">
        <v>41400</v>
      </c>
      <c r="G126" s="7" t="s">
        <v>98</v>
      </c>
      <c r="H126" s="7"/>
      <c r="I126" s="7"/>
      <c r="J126" s="7"/>
      <c r="K126" s="7" t="s">
        <v>98</v>
      </c>
      <c r="L126" s="7" t="s">
        <v>1173</v>
      </c>
      <c r="M126" s="7" t="s">
        <v>319</v>
      </c>
      <c r="N126" s="7">
        <v>22728</v>
      </c>
      <c r="O126" s="7">
        <v>0</v>
      </c>
      <c r="P126" s="7">
        <v>9053</v>
      </c>
      <c r="Q126" s="7">
        <v>15496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 t="s">
        <v>42</v>
      </c>
      <c r="Y126" s="7" t="s">
        <v>37</v>
      </c>
      <c r="Z126" s="7">
        <v>0</v>
      </c>
      <c r="AA126" s="7">
        <v>6</v>
      </c>
      <c r="AB126" s="7"/>
      <c r="AC126" s="7"/>
    </row>
    <row r="127" spans="1:29">
      <c r="A127" s="7" t="s">
        <v>1168</v>
      </c>
      <c r="B127" s="7" t="s">
        <v>1248</v>
      </c>
      <c r="C127" s="7" t="s">
        <v>43</v>
      </c>
      <c r="D127" s="7" t="s">
        <v>1399</v>
      </c>
      <c r="E127" s="7" t="s">
        <v>660</v>
      </c>
      <c r="F127" s="7">
        <v>41400</v>
      </c>
      <c r="G127" s="7" t="s">
        <v>32</v>
      </c>
      <c r="H127" s="7"/>
      <c r="I127" s="7"/>
      <c r="J127" s="7"/>
      <c r="K127" s="7" t="s">
        <v>32</v>
      </c>
      <c r="L127" s="7" t="s">
        <v>1173</v>
      </c>
      <c r="M127" s="7" t="s">
        <v>322</v>
      </c>
      <c r="N127" s="7">
        <v>22728</v>
      </c>
      <c r="O127" s="7">
        <v>0</v>
      </c>
      <c r="P127" s="7">
        <v>9053</v>
      </c>
      <c r="Q127" s="7">
        <v>0</v>
      </c>
      <c r="R127" s="7">
        <v>0</v>
      </c>
      <c r="S127" s="7">
        <v>15496</v>
      </c>
      <c r="T127" s="7">
        <v>0</v>
      </c>
      <c r="U127" s="7">
        <v>0</v>
      </c>
      <c r="V127" s="7">
        <v>0</v>
      </c>
      <c r="W127" s="7">
        <v>0</v>
      </c>
      <c r="X127" s="7" t="s">
        <v>32</v>
      </c>
      <c r="Y127" s="7" t="s">
        <v>37</v>
      </c>
      <c r="Z127" s="7">
        <v>0</v>
      </c>
      <c r="AA127" s="7">
        <v>6</v>
      </c>
      <c r="AB127" s="7"/>
      <c r="AC127" s="7"/>
    </row>
    <row r="128" spans="1:29">
      <c r="A128" s="7" t="s">
        <v>1168</v>
      </c>
      <c r="B128" s="7" t="s">
        <v>1228</v>
      </c>
      <c r="C128" s="7" t="s">
        <v>43</v>
      </c>
      <c r="D128" s="7" t="s">
        <v>1400</v>
      </c>
      <c r="E128" s="7" t="s">
        <v>657</v>
      </c>
      <c r="F128" s="7">
        <v>41400</v>
      </c>
      <c r="G128" s="7" t="s">
        <v>24</v>
      </c>
      <c r="H128" s="7"/>
      <c r="I128" s="7"/>
      <c r="J128" s="7"/>
      <c r="K128" s="7" t="s">
        <v>24</v>
      </c>
      <c r="L128" s="7" t="s">
        <v>1173</v>
      </c>
      <c r="M128" s="7" t="s">
        <v>323</v>
      </c>
      <c r="N128" s="7">
        <v>22728</v>
      </c>
      <c r="O128" s="7">
        <v>0</v>
      </c>
      <c r="P128" s="7">
        <v>12393</v>
      </c>
      <c r="Q128" s="7">
        <v>0</v>
      </c>
      <c r="R128" s="7">
        <v>0</v>
      </c>
      <c r="S128" s="7">
        <v>0</v>
      </c>
      <c r="T128" s="7">
        <v>23039</v>
      </c>
      <c r="U128" s="7">
        <v>0</v>
      </c>
      <c r="V128" s="7">
        <v>0</v>
      </c>
      <c r="W128" s="7">
        <v>0</v>
      </c>
      <c r="X128" s="7" t="s">
        <v>98</v>
      </c>
      <c r="Y128" s="7" t="s">
        <v>110</v>
      </c>
      <c r="Z128" s="7">
        <v>0</v>
      </c>
      <c r="AA128" s="7">
        <v>6</v>
      </c>
      <c r="AB128" s="7"/>
      <c r="AC128" s="7"/>
    </row>
    <row r="129" spans="1:29">
      <c r="A129" s="7" t="s">
        <v>1181</v>
      </c>
      <c r="B129" s="7" t="s">
        <v>1182</v>
      </c>
      <c r="C129" s="7" t="s">
        <v>43</v>
      </c>
      <c r="D129" s="7" t="s">
        <v>1401</v>
      </c>
      <c r="E129" s="7" t="s">
        <v>93</v>
      </c>
      <c r="F129" s="7">
        <v>38100</v>
      </c>
      <c r="G129" s="7" t="s">
        <v>98</v>
      </c>
      <c r="H129" s="7" t="s">
        <v>37</v>
      </c>
      <c r="I129" s="7"/>
      <c r="J129" s="7"/>
      <c r="K129" s="7" t="s">
        <v>1184</v>
      </c>
      <c r="L129" s="7"/>
      <c r="M129" s="7" t="s">
        <v>348</v>
      </c>
      <c r="N129" s="7">
        <v>20917</v>
      </c>
      <c r="O129" s="7">
        <v>1706</v>
      </c>
      <c r="P129" s="7">
        <v>4310</v>
      </c>
      <c r="Q129" s="7">
        <v>14262</v>
      </c>
      <c r="R129" s="7">
        <v>0</v>
      </c>
      <c r="S129" s="7">
        <v>0</v>
      </c>
      <c r="T129" s="7">
        <v>0</v>
      </c>
      <c r="U129" s="7">
        <v>0</v>
      </c>
      <c r="V129" s="7">
        <v>11409</v>
      </c>
      <c r="W129" s="7">
        <v>0</v>
      </c>
      <c r="X129" s="7" t="s">
        <v>110</v>
      </c>
      <c r="Y129" s="7" t="s">
        <v>98</v>
      </c>
      <c r="Z129" s="7">
        <v>0</v>
      </c>
      <c r="AA129" s="7">
        <v>6</v>
      </c>
      <c r="AB129" s="7"/>
      <c r="AC129" s="7"/>
    </row>
    <row r="130" spans="1:29">
      <c r="A130" s="7" t="s">
        <v>1181</v>
      </c>
      <c r="B130" s="7" t="s">
        <v>1182</v>
      </c>
      <c r="C130" s="7" t="s">
        <v>43</v>
      </c>
      <c r="D130" s="7" t="s">
        <v>1402</v>
      </c>
      <c r="E130" s="7" t="s">
        <v>601</v>
      </c>
      <c r="F130" s="7">
        <v>35900</v>
      </c>
      <c r="G130" s="7" t="s">
        <v>98</v>
      </c>
      <c r="H130" s="7" t="s">
        <v>37</v>
      </c>
      <c r="I130" s="7"/>
      <c r="J130" s="7"/>
      <c r="K130" s="7" t="s">
        <v>1184</v>
      </c>
      <c r="L130" s="7"/>
      <c r="M130" s="7" t="s">
        <v>349</v>
      </c>
      <c r="N130" s="7">
        <v>19709</v>
      </c>
      <c r="O130" s="7">
        <v>1608</v>
      </c>
      <c r="P130" s="7">
        <v>4061</v>
      </c>
      <c r="Q130" s="7">
        <v>13438</v>
      </c>
      <c r="R130" s="7">
        <v>0</v>
      </c>
      <c r="S130" s="7">
        <v>0</v>
      </c>
      <c r="T130" s="7">
        <v>0</v>
      </c>
      <c r="U130" s="7">
        <v>0</v>
      </c>
      <c r="V130" s="7">
        <v>10751</v>
      </c>
      <c r="W130" s="7">
        <v>0</v>
      </c>
      <c r="X130" s="7" t="s">
        <v>110</v>
      </c>
      <c r="Y130" s="7" t="s">
        <v>98</v>
      </c>
      <c r="Z130" s="7">
        <v>0</v>
      </c>
      <c r="AA130" s="7">
        <v>6</v>
      </c>
      <c r="AB130" s="7"/>
      <c r="AC130" s="7"/>
    </row>
    <row r="131" spans="1:29">
      <c r="A131" s="7" t="s">
        <v>1181</v>
      </c>
      <c r="B131" s="7" t="s">
        <v>1182</v>
      </c>
      <c r="C131" s="7" t="s">
        <v>43</v>
      </c>
      <c r="D131" s="7" t="s">
        <v>1403</v>
      </c>
      <c r="E131" s="7" t="s">
        <v>93</v>
      </c>
      <c r="F131" s="7">
        <v>35300</v>
      </c>
      <c r="G131" s="7" t="s">
        <v>98</v>
      </c>
      <c r="H131" s="7" t="s">
        <v>37</v>
      </c>
      <c r="I131" s="7"/>
      <c r="J131" s="7"/>
      <c r="K131" s="7" t="s">
        <v>1184</v>
      </c>
      <c r="L131" s="7"/>
      <c r="M131" s="7" t="s">
        <v>350</v>
      </c>
      <c r="N131" s="7">
        <v>19380</v>
      </c>
      <c r="O131" s="7">
        <v>1581</v>
      </c>
      <c r="P131" s="7">
        <v>3993</v>
      </c>
      <c r="Q131" s="7">
        <v>13214</v>
      </c>
      <c r="R131" s="7">
        <v>0</v>
      </c>
      <c r="S131" s="7">
        <v>0</v>
      </c>
      <c r="T131" s="7">
        <v>0</v>
      </c>
      <c r="U131" s="7">
        <v>0</v>
      </c>
      <c r="V131" s="7">
        <v>10571</v>
      </c>
      <c r="W131" s="7">
        <v>0</v>
      </c>
      <c r="X131" s="7" t="s">
        <v>110</v>
      </c>
      <c r="Y131" s="7" t="s">
        <v>98</v>
      </c>
      <c r="Z131" s="7">
        <v>0</v>
      </c>
      <c r="AA131" s="7">
        <v>6</v>
      </c>
      <c r="AB131" s="7"/>
      <c r="AC131" s="7"/>
    </row>
    <row r="132" spans="1:29">
      <c r="A132" s="7" t="s">
        <v>1181</v>
      </c>
      <c r="B132" s="7" t="s">
        <v>1182</v>
      </c>
      <c r="C132" s="7" t="s">
        <v>43</v>
      </c>
      <c r="D132" s="7" t="s">
        <v>1384</v>
      </c>
      <c r="E132" s="7" t="s">
        <v>93</v>
      </c>
      <c r="F132" s="7">
        <v>35300</v>
      </c>
      <c r="G132" s="7" t="s">
        <v>110</v>
      </c>
      <c r="H132" s="7" t="s">
        <v>37</v>
      </c>
      <c r="I132" s="7"/>
      <c r="J132" s="7"/>
      <c r="K132" s="7" t="s">
        <v>1187</v>
      </c>
      <c r="L132" s="7"/>
      <c r="M132" s="7" t="s">
        <v>353</v>
      </c>
      <c r="N132" s="7">
        <v>19380</v>
      </c>
      <c r="O132" s="7">
        <v>1581</v>
      </c>
      <c r="P132" s="7">
        <v>3993</v>
      </c>
      <c r="Q132" s="7">
        <v>0</v>
      </c>
      <c r="R132" s="7">
        <v>0</v>
      </c>
      <c r="S132" s="7">
        <v>0</v>
      </c>
      <c r="T132" s="7">
        <v>0</v>
      </c>
      <c r="U132" s="7">
        <v>13214</v>
      </c>
      <c r="V132" s="7">
        <v>10571</v>
      </c>
      <c r="W132" s="7">
        <v>0</v>
      </c>
      <c r="X132" s="7" t="s">
        <v>32</v>
      </c>
      <c r="Y132" s="7" t="s">
        <v>91</v>
      </c>
      <c r="Z132" s="7">
        <v>0</v>
      </c>
      <c r="AA132" s="7">
        <v>6</v>
      </c>
      <c r="AB132" s="7"/>
      <c r="AC132" s="7"/>
    </row>
    <row r="133" spans="1:29">
      <c r="A133" s="7" t="s">
        <v>1181</v>
      </c>
      <c r="B133" s="7" t="s">
        <v>1182</v>
      </c>
      <c r="C133" s="7" t="s">
        <v>43</v>
      </c>
      <c r="D133" s="7" t="s">
        <v>1381</v>
      </c>
      <c r="E133" s="7" t="s">
        <v>93</v>
      </c>
      <c r="F133" s="7">
        <v>35300</v>
      </c>
      <c r="G133" s="7" t="s">
        <v>32</v>
      </c>
      <c r="H133" s="7" t="s">
        <v>37</v>
      </c>
      <c r="I133" s="7"/>
      <c r="J133" s="7"/>
      <c r="K133" s="7" t="s">
        <v>1172</v>
      </c>
      <c r="L133" s="7"/>
      <c r="M133" s="7" t="s">
        <v>351</v>
      </c>
      <c r="N133" s="7">
        <v>19380</v>
      </c>
      <c r="O133" s="7">
        <v>1581</v>
      </c>
      <c r="P133" s="7">
        <v>3993</v>
      </c>
      <c r="Q133" s="7">
        <v>0</v>
      </c>
      <c r="R133" s="7">
        <v>0</v>
      </c>
      <c r="S133" s="7">
        <v>13214</v>
      </c>
      <c r="T133" s="7">
        <v>0</v>
      </c>
      <c r="U133" s="7">
        <v>0</v>
      </c>
      <c r="V133" s="7">
        <v>10571</v>
      </c>
      <c r="W133" s="7">
        <v>0</v>
      </c>
      <c r="X133" s="7" t="s">
        <v>47</v>
      </c>
      <c r="Y133" s="7" t="s">
        <v>98</v>
      </c>
      <c r="Z133" s="7">
        <v>0</v>
      </c>
      <c r="AA133" s="7">
        <v>6</v>
      </c>
      <c r="AB133" s="7"/>
      <c r="AC133" s="7"/>
    </row>
    <row r="134" spans="1:29">
      <c r="A134" s="7" t="s">
        <v>1181</v>
      </c>
      <c r="B134" s="7" t="s">
        <v>1182</v>
      </c>
      <c r="C134" s="7" t="s">
        <v>43</v>
      </c>
      <c r="D134" s="7" t="s">
        <v>1404</v>
      </c>
      <c r="E134" s="7" t="s">
        <v>93</v>
      </c>
      <c r="F134" s="7">
        <v>35300</v>
      </c>
      <c r="G134" s="7" t="s">
        <v>24</v>
      </c>
      <c r="H134" s="7" t="s">
        <v>37</v>
      </c>
      <c r="I134" s="7"/>
      <c r="J134" s="7"/>
      <c r="K134" s="7" t="s">
        <v>1191</v>
      </c>
      <c r="L134" s="7"/>
      <c r="M134" s="7" t="s">
        <v>357</v>
      </c>
      <c r="N134" s="7">
        <v>19380</v>
      </c>
      <c r="O134" s="7">
        <v>1581</v>
      </c>
      <c r="P134" s="7">
        <v>3993</v>
      </c>
      <c r="Q134" s="7">
        <v>0</v>
      </c>
      <c r="R134" s="7">
        <v>0</v>
      </c>
      <c r="S134" s="7">
        <v>0</v>
      </c>
      <c r="T134" s="7">
        <v>13213</v>
      </c>
      <c r="U134" s="7">
        <v>0</v>
      </c>
      <c r="V134" s="7">
        <v>10571</v>
      </c>
      <c r="W134" s="7">
        <v>0</v>
      </c>
      <c r="X134" s="7" t="s">
        <v>110</v>
      </c>
      <c r="Y134" s="7" t="s">
        <v>98</v>
      </c>
      <c r="Z134" s="7">
        <v>0</v>
      </c>
      <c r="AA134" s="7">
        <v>6</v>
      </c>
      <c r="AB134" s="7"/>
      <c r="AC134" s="7"/>
    </row>
    <row r="135" spans="1:29">
      <c r="A135" s="7" t="s">
        <v>1168</v>
      </c>
      <c r="B135" s="7" t="s">
        <v>1176</v>
      </c>
      <c r="C135" s="7" t="s">
        <v>43</v>
      </c>
      <c r="D135" s="7" t="s">
        <v>1405</v>
      </c>
      <c r="E135" s="7" t="s">
        <v>93</v>
      </c>
      <c r="F135" s="7">
        <v>35300</v>
      </c>
      <c r="G135" s="7" t="s">
        <v>32</v>
      </c>
      <c r="H135" s="7" t="s">
        <v>110</v>
      </c>
      <c r="I135" s="7" t="s">
        <v>37</v>
      </c>
      <c r="J135" s="7"/>
      <c r="K135" s="7" t="s">
        <v>1207</v>
      </c>
      <c r="L135" s="7" t="s">
        <v>1226</v>
      </c>
      <c r="M135" s="7" t="s">
        <v>342</v>
      </c>
      <c r="N135" s="7">
        <v>19380</v>
      </c>
      <c r="O135" s="7">
        <v>0</v>
      </c>
      <c r="P135" s="7">
        <v>7719</v>
      </c>
      <c r="Q135" s="7">
        <v>0</v>
      </c>
      <c r="R135" s="7">
        <v>0</v>
      </c>
      <c r="S135" s="7">
        <v>9690</v>
      </c>
      <c r="T135" s="7">
        <v>0</v>
      </c>
      <c r="U135" s="7">
        <v>9690</v>
      </c>
      <c r="V135" s="7">
        <v>9690</v>
      </c>
      <c r="W135" s="7">
        <v>0</v>
      </c>
      <c r="X135" s="7" t="s">
        <v>32</v>
      </c>
      <c r="Y135" s="7" t="s">
        <v>37</v>
      </c>
      <c r="Z135" s="7">
        <v>0</v>
      </c>
      <c r="AA135" s="7">
        <v>6</v>
      </c>
      <c r="AB135" s="7"/>
      <c r="AC135" s="7"/>
    </row>
    <row r="136" spans="1:29">
      <c r="A136" s="7" t="s">
        <v>1168</v>
      </c>
      <c r="B136" s="7" t="s">
        <v>1169</v>
      </c>
      <c r="C136" s="7" t="s">
        <v>43</v>
      </c>
      <c r="D136" s="7" t="s">
        <v>1406</v>
      </c>
      <c r="E136" s="7" t="s">
        <v>93</v>
      </c>
      <c r="F136" s="7">
        <v>35300</v>
      </c>
      <c r="G136" s="7" t="s">
        <v>24</v>
      </c>
      <c r="H136" s="7"/>
      <c r="I136" s="7"/>
      <c r="J136" s="7"/>
      <c r="K136" s="7" t="s">
        <v>24</v>
      </c>
      <c r="L136" s="7" t="s">
        <v>1226</v>
      </c>
      <c r="M136" s="7" t="s">
        <v>359</v>
      </c>
      <c r="N136" s="7">
        <v>19380</v>
      </c>
      <c r="O136" s="7">
        <v>0</v>
      </c>
      <c r="P136" s="7">
        <v>9556</v>
      </c>
      <c r="Q136" s="7">
        <v>0</v>
      </c>
      <c r="R136" s="7">
        <v>0</v>
      </c>
      <c r="S136" s="7">
        <v>0</v>
      </c>
      <c r="T136" s="7">
        <v>22991</v>
      </c>
      <c r="U136" s="7">
        <v>0</v>
      </c>
      <c r="V136" s="7">
        <v>0</v>
      </c>
      <c r="W136" s="7">
        <v>0</v>
      </c>
      <c r="X136" s="7" t="s">
        <v>98</v>
      </c>
      <c r="Y136" s="7" t="s">
        <v>110</v>
      </c>
      <c r="Z136" s="7">
        <v>0</v>
      </c>
      <c r="AA136" s="7">
        <v>6</v>
      </c>
      <c r="AB136" s="7"/>
      <c r="AC136" s="7"/>
    </row>
    <row r="137" spans="1:29">
      <c r="A137" s="7" t="s">
        <v>1168</v>
      </c>
      <c r="B137" s="7" t="s">
        <v>1233</v>
      </c>
      <c r="C137" s="7" t="s">
        <v>43</v>
      </c>
      <c r="D137" s="7" t="s">
        <v>1407</v>
      </c>
      <c r="E137" s="7" t="s">
        <v>93</v>
      </c>
      <c r="F137" s="7">
        <v>35300</v>
      </c>
      <c r="G137" s="7" t="s">
        <v>32</v>
      </c>
      <c r="H137" s="7" t="s">
        <v>37</v>
      </c>
      <c r="I137" s="7"/>
      <c r="J137" s="7"/>
      <c r="K137" s="7" t="s">
        <v>1172</v>
      </c>
      <c r="L137" s="7" t="s">
        <v>1226</v>
      </c>
      <c r="M137" s="7" t="s">
        <v>343</v>
      </c>
      <c r="N137" s="7">
        <v>19380</v>
      </c>
      <c r="O137" s="7">
        <v>0</v>
      </c>
      <c r="P137" s="7">
        <v>6389</v>
      </c>
      <c r="Q137" s="7">
        <v>0</v>
      </c>
      <c r="R137" s="7">
        <v>0</v>
      </c>
      <c r="S137" s="7">
        <v>12333</v>
      </c>
      <c r="T137" s="7">
        <v>0</v>
      </c>
      <c r="U137" s="7">
        <v>0</v>
      </c>
      <c r="V137" s="7">
        <v>19380</v>
      </c>
      <c r="W137" s="7">
        <v>0</v>
      </c>
      <c r="X137" s="7" t="s">
        <v>32</v>
      </c>
      <c r="Y137" s="7" t="s">
        <v>47</v>
      </c>
      <c r="Z137" s="7">
        <v>0</v>
      </c>
      <c r="AA137" s="7">
        <v>6</v>
      </c>
      <c r="AB137" s="7"/>
      <c r="AC137" s="7"/>
    </row>
    <row r="138" spans="1:29">
      <c r="A138" s="7" t="s">
        <v>1168</v>
      </c>
      <c r="B138" s="7" t="s">
        <v>1233</v>
      </c>
      <c r="C138" s="7" t="s">
        <v>43</v>
      </c>
      <c r="D138" s="7" t="s">
        <v>1408</v>
      </c>
      <c r="E138" s="7" t="s">
        <v>93</v>
      </c>
      <c r="F138" s="7">
        <v>35300</v>
      </c>
      <c r="G138" s="7" t="s">
        <v>98</v>
      </c>
      <c r="H138" s="7" t="s">
        <v>37</v>
      </c>
      <c r="I138" s="7"/>
      <c r="J138" s="7"/>
      <c r="K138" s="7" t="s">
        <v>1184</v>
      </c>
      <c r="L138" s="7" t="s">
        <v>1226</v>
      </c>
      <c r="M138" s="7" t="s">
        <v>341</v>
      </c>
      <c r="N138" s="7">
        <v>19380</v>
      </c>
      <c r="O138" s="7">
        <v>0</v>
      </c>
      <c r="P138" s="7">
        <v>6389</v>
      </c>
      <c r="Q138" s="7">
        <v>12333</v>
      </c>
      <c r="R138" s="7">
        <v>0</v>
      </c>
      <c r="S138" s="7">
        <v>0</v>
      </c>
      <c r="T138" s="7">
        <v>0</v>
      </c>
      <c r="U138" s="7">
        <v>0</v>
      </c>
      <c r="V138" s="7">
        <v>19380</v>
      </c>
      <c r="W138" s="7">
        <v>0</v>
      </c>
      <c r="X138" s="7" t="s">
        <v>47</v>
      </c>
      <c r="Y138" s="7" t="s">
        <v>37</v>
      </c>
      <c r="Z138" s="7">
        <v>0</v>
      </c>
      <c r="AA138" s="7">
        <v>6</v>
      </c>
      <c r="AB138" s="7"/>
      <c r="AC138" s="7"/>
    </row>
    <row r="139" spans="1:29">
      <c r="A139" s="7" t="s">
        <v>1168</v>
      </c>
      <c r="B139" s="7" t="s">
        <v>1228</v>
      </c>
      <c r="C139" s="7" t="s">
        <v>43</v>
      </c>
      <c r="D139" s="7" t="s">
        <v>1409</v>
      </c>
      <c r="E139" s="7" t="s">
        <v>93</v>
      </c>
      <c r="F139" s="7">
        <v>35300</v>
      </c>
      <c r="G139" s="7" t="s">
        <v>110</v>
      </c>
      <c r="H139" s="7" t="s">
        <v>37</v>
      </c>
      <c r="I139" s="7"/>
      <c r="J139" s="7"/>
      <c r="K139" s="7" t="s">
        <v>1187</v>
      </c>
      <c r="L139" s="7" t="s">
        <v>1226</v>
      </c>
      <c r="M139" s="7" t="s">
        <v>344</v>
      </c>
      <c r="N139" s="7">
        <v>19380</v>
      </c>
      <c r="O139" s="7">
        <v>0</v>
      </c>
      <c r="P139" s="7">
        <v>5323</v>
      </c>
      <c r="Q139" s="7">
        <v>0</v>
      </c>
      <c r="R139" s="7">
        <v>0</v>
      </c>
      <c r="S139" s="7">
        <v>0</v>
      </c>
      <c r="T139" s="7">
        <v>0</v>
      </c>
      <c r="U139" s="7">
        <v>24224</v>
      </c>
      <c r="V139" s="7">
        <v>13213</v>
      </c>
      <c r="W139" s="7">
        <v>0</v>
      </c>
      <c r="X139" s="7" t="s">
        <v>110</v>
      </c>
      <c r="Y139" s="7" t="s">
        <v>37</v>
      </c>
      <c r="Z139" s="7">
        <v>0</v>
      </c>
      <c r="AA139" s="7">
        <v>6</v>
      </c>
      <c r="AB139" s="7"/>
      <c r="AC139" s="7"/>
    </row>
    <row r="140" spans="1:29">
      <c r="A140" s="7" t="s">
        <v>1168</v>
      </c>
      <c r="B140" s="7" t="s">
        <v>1176</v>
      </c>
      <c r="C140" s="7" t="s">
        <v>43</v>
      </c>
      <c r="D140" s="7" t="s">
        <v>1410</v>
      </c>
      <c r="E140" s="7" t="s">
        <v>93</v>
      </c>
      <c r="F140" s="7">
        <v>35300</v>
      </c>
      <c r="G140" s="7" t="s">
        <v>37</v>
      </c>
      <c r="H140" s="7"/>
      <c r="I140" s="7"/>
      <c r="J140" s="7"/>
      <c r="K140" s="7" t="s">
        <v>37</v>
      </c>
      <c r="L140" s="7" t="s">
        <v>1226</v>
      </c>
      <c r="M140" s="7" t="s">
        <v>347</v>
      </c>
      <c r="N140" s="7">
        <v>19380</v>
      </c>
      <c r="O140" s="7">
        <v>0</v>
      </c>
      <c r="P140" s="7">
        <v>9051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22903</v>
      </c>
      <c r="W140" s="7">
        <v>0</v>
      </c>
      <c r="X140" s="7" t="s">
        <v>98</v>
      </c>
      <c r="Y140" s="7" t="s">
        <v>37</v>
      </c>
      <c r="Z140" s="7">
        <v>0</v>
      </c>
      <c r="AA140" s="7">
        <v>6</v>
      </c>
      <c r="AB140" s="7"/>
      <c r="AC140" s="7"/>
    </row>
    <row r="141" spans="1:29">
      <c r="A141" s="7" t="s">
        <v>1168</v>
      </c>
      <c r="B141" s="7" t="s">
        <v>1176</v>
      </c>
      <c r="C141" s="7" t="s">
        <v>43</v>
      </c>
      <c r="D141" s="7" t="s">
        <v>1411</v>
      </c>
      <c r="E141" s="7" t="s">
        <v>93</v>
      </c>
      <c r="F141" s="7">
        <v>35300</v>
      </c>
      <c r="G141" s="7" t="s">
        <v>98</v>
      </c>
      <c r="H141" s="7" t="s">
        <v>32</v>
      </c>
      <c r="I141" s="7" t="s">
        <v>37</v>
      </c>
      <c r="J141" s="7"/>
      <c r="K141" s="7" t="s">
        <v>1206</v>
      </c>
      <c r="L141" s="7" t="s">
        <v>1226</v>
      </c>
      <c r="M141" s="7" t="s">
        <v>337</v>
      </c>
      <c r="N141" s="7">
        <v>19380</v>
      </c>
      <c r="O141" s="7">
        <v>0</v>
      </c>
      <c r="P141" s="7">
        <v>7719</v>
      </c>
      <c r="Q141" s="7">
        <v>9690</v>
      </c>
      <c r="R141" s="7">
        <v>0</v>
      </c>
      <c r="S141" s="7">
        <v>9690</v>
      </c>
      <c r="T141" s="7">
        <v>0</v>
      </c>
      <c r="U141" s="7">
        <v>0</v>
      </c>
      <c r="V141" s="7">
        <v>9690</v>
      </c>
      <c r="W141" s="7">
        <v>0</v>
      </c>
      <c r="X141" s="7" t="s">
        <v>42</v>
      </c>
      <c r="Y141" s="7" t="s">
        <v>47</v>
      </c>
      <c r="Z141" s="7">
        <v>0</v>
      </c>
      <c r="AA141" s="7">
        <v>6</v>
      </c>
      <c r="AB141" s="7"/>
      <c r="AC141" s="7"/>
    </row>
    <row r="142" spans="1:29">
      <c r="A142" s="7" t="s">
        <v>1168</v>
      </c>
      <c r="B142" s="7" t="s">
        <v>1176</v>
      </c>
      <c r="C142" s="7" t="s">
        <v>43</v>
      </c>
      <c r="D142" s="7" t="s">
        <v>1412</v>
      </c>
      <c r="E142" s="7" t="s">
        <v>93</v>
      </c>
      <c r="F142" s="7">
        <v>35300</v>
      </c>
      <c r="G142" s="7" t="s">
        <v>98</v>
      </c>
      <c r="H142" s="7" t="s">
        <v>110</v>
      </c>
      <c r="I142" s="7" t="s">
        <v>37</v>
      </c>
      <c r="J142" s="7"/>
      <c r="K142" s="7" t="s">
        <v>1239</v>
      </c>
      <c r="L142" s="7" t="s">
        <v>1226</v>
      </c>
      <c r="M142" s="7" t="s">
        <v>273</v>
      </c>
      <c r="N142" s="7">
        <v>19380</v>
      </c>
      <c r="O142" s="7">
        <v>0</v>
      </c>
      <c r="P142" s="7">
        <v>7719</v>
      </c>
      <c r="Q142" s="7">
        <v>9690</v>
      </c>
      <c r="R142" s="7">
        <v>0</v>
      </c>
      <c r="S142" s="7">
        <v>0</v>
      </c>
      <c r="T142" s="7">
        <v>0</v>
      </c>
      <c r="U142" s="7">
        <v>9690</v>
      </c>
      <c r="V142" s="7">
        <v>9690</v>
      </c>
      <c r="W142" s="7">
        <v>0</v>
      </c>
      <c r="X142" s="7" t="s">
        <v>32</v>
      </c>
      <c r="Y142" s="7" t="s">
        <v>37</v>
      </c>
      <c r="Z142" s="7">
        <v>0</v>
      </c>
      <c r="AA142" s="7">
        <v>6</v>
      </c>
      <c r="AB142" s="7"/>
      <c r="AC142" s="7"/>
    </row>
    <row r="143" spans="1:29">
      <c r="A143" s="7" t="s">
        <v>1168</v>
      </c>
      <c r="B143" s="7" t="s">
        <v>1205</v>
      </c>
      <c r="C143" s="7" t="s">
        <v>43</v>
      </c>
      <c r="D143" s="7" t="s">
        <v>1413</v>
      </c>
      <c r="E143" s="7" t="s">
        <v>675</v>
      </c>
      <c r="F143" s="7">
        <v>35300</v>
      </c>
      <c r="G143" s="7" t="s">
        <v>98</v>
      </c>
      <c r="H143" s="7" t="s">
        <v>110</v>
      </c>
      <c r="I143" s="7" t="s">
        <v>32</v>
      </c>
      <c r="J143" s="7" t="s">
        <v>37</v>
      </c>
      <c r="K143" s="7" t="s">
        <v>1331</v>
      </c>
      <c r="L143" s="7" t="s">
        <v>1173</v>
      </c>
      <c r="M143" s="7" t="s">
        <v>253</v>
      </c>
      <c r="N143" s="7">
        <v>19380</v>
      </c>
      <c r="O143" s="7">
        <v>0</v>
      </c>
      <c r="P143" s="7">
        <v>6255</v>
      </c>
      <c r="Q143" s="7">
        <v>8808</v>
      </c>
      <c r="R143" s="7">
        <v>0</v>
      </c>
      <c r="S143" s="7">
        <v>8808</v>
      </c>
      <c r="T143" s="7">
        <v>0</v>
      </c>
      <c r="U143" s="7">
        <v>8808</v>
      </c>
      <c r="V143" s="7">
        <v>8808</v>
      </c>
      <c r="W143" s="7">
        <v>0</v>
      </c>
      <c r="X143" s="7" t="s">
        <v>98</v>
      </c>
      <c r="Y143" s="7" t="s">
        <v>110</v>
      </c>
      <c r="Z143" s="7">
        <v>0</v>
      </c>
      <c r="AA143" s="7">
        <v>6</v>
      </c>
      <c r="AB143" s="7"/>
      <c r="AC143" s="7"/>
    </row>
    <row r="144" spans="1:29">
      <c r="A144" s="7" t="s">
        <v>1168</v>
      </c>
      <c r="B144" s="7" t="s">
        <v>1248</v>
      </c>
      <c r="C144" s="7" t="s">
        <v>43</v>
      </c>
      <c r="D144" s="7" t="s">
        <v>1414</v>
      </c>
      <c r="E144" s="7" t="s">
        <v>675</v>
      </c>
      <c r="F144" s="7">
        <v>35300</v>
      </c>
      <c r="G144" s="7" t="s">
        <v>98</v>
      </c>
      <c r="H144" s="7" t="s">
        <v>37</v>
      </c>
      <c r="I144" s="7"/>
      <c r="J144" s="7"/>
      <c r="K144" s="7" t="s">
        <v>1184</v>
      </c>
      <c r="L144" s="7" t="s">
        <v>1173</v>
      </c>
      <c r="M144" s="7" t="s">
        <v>332</v>
      </c>
      <c r="N144" s="7">
        <v>19380</v>
      </c>
      <c r="O144" s="7">
        <v>0</v>
      </c>
      <c r="P144" s="7">
        <v>2662</v>
      </c>
      <c r="Q144" s="7">
        <v>34354</v>
      </c>
      <c r="R144" s="7">
        <v>0</v>
      </c>
      <c r="S144" s="7">
        <v>0</v>
      </c>
      <c r="T144" s="7">
        <v>0</v>
      </c>
      <c r="U144" s="7">
        <v>0</v>
      </c>
      <c r="V144" s="7">
        <v>10571</v>
      </c>
      <c r="W144" s="7">
        <v>0</v>
      </c>
      <c r="X144" s="7" t="s">
        <v>47</v>
      </c>
      <c r="Y144" s="7" t="s">
        <v>37</v>
      </c>
      <c r="Z144" s="7">
        <v>0</v>
      </c>
      <c r="AA144" s="7">
        <v>6</v>
      </c>
      <c r="AB144" s="7"/>
      <c r="AC144" s="7"/>
    </row>
    <row r="145" spans="1:29">
      <c r="A145" s="7" t="s">
        <v>1168</v>
      </c>
      <c r="B145" s="7" t="s">
        <v>1248</v>
      </c>
      <c r="C145" s="7" t="s">
        <v>43</v>
      </c>
      <c r="D145" s="7" t="s">
        <v>1415</v>
      </c>
      <c r="E145" s="7" t="s">
        <v>675</v>
      </c>
      <c r="F145" s="7">
        <v>35300</v>
      </c>
      <c r="G145" s="7" t="s">
        <v>110</v>
      </c>
      <c r="H145" s="7" t="s">
        <v>37</v>
      </c>
      <c r="I145" s="7"/>
      <c r="J145" s="7"/>
      <c r="K145" s="7" t="s">
        <v>1187</v>
      </c>
      <c r="L145" s="7" t="s">
        <v>1173</v>
      </c>
      <c r="M145" s="7" t="s">
        <v>340</v>
      </c>
      <c r="N145" s="7">
        <v>19380</v>
      </c>
      <c r="O145" s="7">
        <v>0</v>
      </c>
      <c r="P145" s="7">
        <v>2662</v>
      </c>
      <c r="Q145" s="7">
        <v>0</v>
      </c>
      <c r="R145" s="7">
        <v>0</v>
      </c>
      <c r="S145" s="7">
        <v>0</v>
      </c>
      <c r="T145" s="7">
        <v>0</v>
      </c>
      <c r="U145" s="7">
        <v>34354</v>
      </c>
      <c r="V145" s="7">
        <v>10571</v>
      </c>
      <c r="W145" s="7">
        <v>0</v>
      </c>
      <c r="X145" s="7" t="s">
        <v>110</v>
      </c>
      <c r="Y145" s="7" t="s">
        <v>37</v>
      </c>
      <c r="Z145" s="7">
        <v>0</v>
      </c>
      <c r="AA145" s="7">
        <v>6</v>
      </c>
      <c r="AB145" s="7"/>
      <c r="AC145" s="7"/>
    </row>
    <row r="146" spans="1:29">
      <c r="A146" s="7" t="s">
        <v>1168</v>
      </c>
      <c r="B146" s="7" t="s">
        <v>1248</v>
      </c>
      <c r="C146" s="7" t="s">
        <v>43</v>
      </c>
      <c r="D146" s="7" t="s">
        <v>1416</v>
      </c>
      <c r="E146" s="7" t="s">
        <v>675</v>
      </c>
      <c r="F146" s="7">
        <v>35300</v>
      </c>
      <c r="G146" s="7" t="s">
        <v>32</v>
      </c>
      <c r="H146" s="7" t="s">
        <v>37</v>
      </c>
      <c r="I146" s="7"/>
      <c r="J146" s="7"/>
      <c r="K146" s="7" t="s">
        <v>1172</v>
      </c>
      <c r="L146" s="7" t="s">
        <v>1173</v>
      </c>
      <c r="M146" s="7" t="s">
        <v>334</v>
      </c>
      <c r="N146" s="7">
        <v>19380</v>
      </c>
      <c r="O146" s="7">
        <v>0</v>
      </c>
      <c r="P146" s="7">
        <v>2662</v>
      </c>
      <c r="Q146" s="7">
        <v>0</v>
      </c>
      <c r="R146" s="7">
        <v>0</v>
      </c>
      <c r="S146" s="7">
        <v>34354</v>
      </c>
      <c r="T146" s="7">
        <v>0</v>
      </c>
      <c r="U146" s="7">
        <v>0</v>
      </c>
      <c r="V146" s="7">
        <v>10571</v>
      </c>
      <c r="W146" s="7">
        <v>0</v>
      </c>
      <c r="X146" s="7" t="s">
        <v>32</v>
      </c>
      <c r="Y146" s="7" t="s">
        <v>47</v>
      </c>
      <c r="Z146" s="7">
        <v>0</v>
      </c>
      <c r="AA146" s="7">
        <v>6</v>
      </c>
      <c r="AB146" s="7"/>
      <c r="AC146" s="7"/>
    </row>
    <row r="147" spans="1:29">
      <c r="A147" s="7" t="s">
        <v>1168</v>
      </c>
      <c r="B147" s="7" t="s">
        <v>1205</v>
      </c>
      <c r="C147" s="7" t="s">
        <v>43</v>
      </c>
      <c r="D147" s="7" t="s">
        <v>1417</v>
      </c>
      <c r="E147" s="7" t="s">
        <v>676</v>
      </c>
      <c r="F147" s="7">
        <v>35300</v>
      </c>
      <c r="G147" s="7" t="s">
        <v>98</v>
      </c>
      <c r="H147" s="7"/>
      <c r="I147" s="7"/>
      <c r="J147" s="7"/>
      <c r="K147" s="7" t="s">
        <v>98</v>
      </c>
      <c r="L147" s="7" t="s">
        <v>1173</v>
      </c>
      <c r="M147" s="7" t="s">
        <v>333</v>
      </c>
      <c r="N147" s="7">
        <v>19380</v>
      </c>
      <c r="O147" s="7">
        <v>0</v>
      </c>
      <c r="P147" s="7">
        <v>7719</v>
      </c>
      <c r="Q147" s="7">
        <v>13213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 t="s">
        <v>42</v>
      </c>
      <c r="Y147" s="7" t="s">
        <v>37</v>
      </c>
      <c r="Z147" s="7">
        <v>0</v>
      </c>
      <c r="AA147" s="7">
        <v>6</v>
      </c>
      <c r="AB147" s="7"/>
      <c r="AC147" s="7"/>
    </row>
    <row r="148" spans="1:29">
      <c r="A148" s="7" t="s">
        <v>1168</v>
      </c>
      <c r="B148" s="7" t="s">
        <v>1248</v>
      </c>
      <c r="C148" s="7" t="s">
        <v>43</v>
      </c>
      <c r="D148" s="7" t="s">
        <v>1418</v>
      </c>
      <c r="E148" s="7" t="s">
        <v>677</v>
      </c>
      <c r="F148" s="7">
        <v>35300</v>
      </c>
      <c r="G148" s="7" t="s">
        <v>32</v>
      </c>
      <c r="H148" s="7"/>
      <c r="I148" s="7"/>
      <c r="J148" s="7"/>
      <c r="K148" s="7" t="s">
        <v>32</v>
      </c>
      <c r="L148" s="7" t="s">
        <v>1173</v>
      </c>
      <c r="M148" s="7" t="s">
        <v>336</v>
      </c>
      <c r="N148" s="7">
        <v>19380</v>
      </c>
      <c r="O148" s="7">
        <v>0</v>
      </c>
      <c r="P148" s="7">
        <v>7719</v>
      </c>
      <c r="Q148" s="7">
        <v>0</v>
      </c>
      <c r="R148" s="7">
        <v>0</v>
      </c>
      <c r="S148" s="7">
        <v>13213</v>
      </c>
      <c r="T148" s="7">
        <v>0</v>
      </c>
      <c r="U148" s="7">
        <v>0</v>
      </c>
      <c r="V148" s="7">
        <v>0</v>
      </c>
      <c r="W148" s="7">
        <v>0</v>
      </c>
      <c r="X148" s="7" t="s">
        <v>32</v>
      </c>
      <c r="Y148" s="7" t="s">
        <v>37</v>
      </c>
      <c r="Z148" s="7">
        <v>0</v>
      </c>
      <c r="AA148" s="7">
        <v>6</v>
      </c>
      <c r="AB148" s="7"/>
      <c r="AC148" s="7"/>
    </row>
    <row r="149" spans="1:29">
      <c r="A149" s="7" t="s">
        <v>1168</v>
      </c>
      <c r="B149" s="7" t="s">
        <v>1169</v>
      </c>
      <c r="C149" s="7" t="s">
        <v>43</v>
      </c>
      <c r="D149" s="7" t="s">
        <v>1419</v>
      </c>
      <c r="E149" s="7" t="s">
        <v>675</v>
      </c>
      <c r="F149" s="7">
        <v>35300</v>
      </c>
      <c r="G149" s="7" t="s">
        <v>24</v>
      </c>
      <c r="H149" s="7"/>
      <c r="I149" s="7"/>
      <c r="J149" s="7"/>
      <c r="K149" s="7" t="s">
        <v>24</v>
      </c>
      <c r="L149" s="7" t="s">
        <v>1173</v>
      </c>
      <c r="M149" s="7" t="s">
        <v>358</v>
      </c>
      <c r="N149" s="7">
        <v>19380</v>
      </c>
      <c r="O149" s="7">
        <v>0</v>
      </c>
      <c r="P149" s="7">
        <v>9556</v>
      </c>
      <c r="Q149" s="7">
        <v>0</v>
      </c>
      <c r="R149" s="7">
        <v>0</v>
      </c>
      <c r="S149" s="7">
        <v>0</v>
      </c>
      <c r="T149" s="7">
        <v>22991</v>
      </c>
      <c r="U149" s="7">
        <v>0</v>
      </c>
      <c r="V149" s="7">
        <v>0</v>
      </c>
      <c r="W149" s="7">
        <v>0</v>
      </c>
      <c r="X149" s="7" t="s">
        <v>98</v>
      </c>
      <c r="Y149" s="7" t="s">
        <v>110</v>
      </c>
      <c r="Z149" s="7">
        <v>0</v>
      </c>
      <c r="AA149" s="7">
        <v>6</v>
      </c>
      <c r="AB149" s="7"/>
      <c r="AC149" s="7"/>
    </row>
    <row r="150" spans="1:29">
      <c r="A150" s="7" t="s">
        <v>1181</v>
      </c>
      <c r="B150" s="7" t="s">
        <v>1182</v>
      </c>
      <c r="C150" s="7" t="s">
        <v>43</v>
      </c>
      <c r="D150" s="7" t="s">
        <v>1420</v>
      </c>
      <c r="E150" s="7" t="s">
        <v>93</v>
      </c>
      <c r="F150" s="7">
        <v>35300</v>
      </c>
      <c r="G150" s="7" t="s">
        <v>110</v>
      </c>
      <c r="H150" s="7" t="s">
        <v>37</v>
      </c>
      <c r="I150" s="7"/>
      <c r="J150" s="7"/>
      <c r="K150" s="7" t="s">
        <v>1187</v>
      </c>
      <c r="L150" s="7"/>
      <c r="M150" s="7" t="s">
        <v>354</v>
      </c>
      <c r="N150" s="7">
        <v>19380</v>
      </c>
      <c r="O150" s="7">
        <v>1581</v>
      </c>
      <c r="P150" s="7">
        <v>3993</v>
      </c>
      <c r="Q150" s="7">
        <v>0</v>
      </c>
      <c r="R150" s="7">
        <v>0</v>
      </c>
      <c r="S150" s="7">
        <v>0</v>
      </c>
      <c r="T150" s="7">
        <v>0</v>
      </c>
      <c r="U150" s="7">
        <v>13214</v>
      </c>
      <c r="V150" s="7">
        <v>10571</v>
      </c>
      <c r="W150" s="7">
        <v>0</v>
      </c>
      <c r="X150" s="7" t="s">
        <v>32</v>
      </c>
      <c r="Y150" s="7" t="s">
        <v>91</v>
      </c>
      <c r="Z150" s="7">
        <v>0</v>
      </c>
      <c r="AA150" s="7">
        <v>6</v>
      </c>
      <c r="AB150" s="7"/>
      <c r="AC150" s="7"/>
    </row>
    <row r="151" spans="1:29">
      <c r="A151" s="7" t="s">
        <v>1181</v>
      </c>
      <c r="B151" s="7" t="s">
        <v>1182</v>
      </c>
      <c r="C151" s="7" t="s">
        <v>43</v>
      </c>
      <c r="D151" s="7" t="s">
        <v>1421</v>
      </c>
      <c r="E151" s="7" t="s">
        <v>93</v>
      </c>
      <c r="F151" s="7">
        <v>35300</v>
      </c>
      <c r="G151" s="7" t="s">
        <v>32</v>
      </c>
      <c r="H151" s="7" t="s">
        <v>37</v>
      </c>
      <c r="I151" s="7"/>
      <c r="J151" s="7"/>
      <c r="K151" s="7" t="s">
        <v>1172</v>
      </c>
      <c r="L151" s="7"/>
      <c r="M151" s="7" t="s">
        <v>352</v>
      </c>
      <c r="N151" s="7">
        <v>19380</v>
      </c>
      <c r="O151" s="7">
        <v>1581</v>
      </c>
      <c r="P151" s="7">
        <v>3993</v>
      </c>
      <c r="Q151" s="7">
        <v>0</v>
      </c>
      <c r="R151" s="7">
        <v>0</v>
      </c>
      <c r="S151" s="7">
        <v>13214</v>
      </c>
      <c r="T151" s="7">
        <v>0</v>
      </c>
      <c r="U151" s="7">
        <v>0</v>
      </c>
      <c r="V151" s="7">
        <v>10571</v>
      </c>
      <c r="W151" s="7">
        <v>0</v>
      </c>
      <c r="X151" s="7" t="s">
        <v>47</v>
      </c>
      <c r="Y151" s="7" t="s">
        <v>98</v>
      </c>
      <c r="Z151" s="7">
        <v>0</v>
      </c>
      <c r="AA151" s="7">
        <v>6</v>
      </c>
      <c r="AB151" s="7"/>
      <c r="AC151" s="7"/>
    </row>
    <row r="152" spans="1:29">
      <c r="A152" s="7" t="s">
        <v>1181</v>
      </c>
      <c r="B152" s="7" t="s">
        <v>1182</v>
      </c>
      <c r="C152" s="7" t="s">
        <v>22</v>
      </c>
      <c r="D152" s="7" t="s">
        <v>1422</v>
      </c>
      <c r="E152" s="7" t="s">
        <v>598</v>
      </c>
      <c r="F152" s="7">
        <v>42100</v>
      </c>
      <c r="G152" s="7" t="s">
        <v>110</v>
      </c>
      <c r="H152" s="7" t="s">
        <v>37</v>
      </c>
      <c r="I152" s="7"/>
      <c r="J152" s="7"/>
      <c r="K152" s="7" t="s">
        <v>1187</v>
      </c>
      <c r="L152" s="7"/>
      <c r="M152" s="7" t="s">
        <v>1423</v>
      </c>
      <c r="N152" s="7">
        <v>20801</v>
      </c>
      <c r="O152" s="7">
        <v>1697</v>
      </c>
      <c r="P152" s="7">
        <v>4286</v>
      </c>
      <c r="Q152" s="7">
        <v>0</v>
      </c>
      <c r="R152" s="7">
        <v>0</v>
      </c>
      <c r="S152" s="7">
        <v>0</v>
      </c>
      <c r="T152" s="7">
        <v>0</v>
      </c>
      <c r="U152" s="7">
        <v>14183</v>
      </c>
      <c r="V152" s="7">
        <v>11347</v>
      </c>
      <c r="W152" s="7">
        <v>0</v>
      </c>
      <c r="X152" s="7" t="s">
        <v>98</v>
      </c>
      <c r="Y152" s="7" t="s">
        <v>47</v>
      </c>
      <c r="Z152" s="7">
        <v>0</v>
      </c>
      <c r="AA152" s="7">
        <v>6</v>
      </c>
      <c r="AB152" s="7"/>
      <c r="AC152" s="7"/>
    </row>
    <row r="153" spans="1:29">
      <c r="A153" s="7" t="s">
        <v>1168</v>
      </c>
      <c r="B153" s="7" t="s">
        <v>1176</v>
      </c>
      <c r="C153" s="7" t="s">
        <v>22</v>
      </c>
      <c r="D153" s="7" t="s">
        <v>926</v>
      </c>
      <c r="E153" s="7" t="s">
        <v>694</v>
      </c>
      <c r="F153" s="7">
        <v>41400</v>
      </c>
      <c r="G153" s="7" t="s">
        <v>98</v>
      </c>
      <c r="H153" s="7" t="s">
        <v>42</v>
      </c>
      <c r="I153" s="7" t="s">
        <v>110</v>
      </c>
      <c r="J153" s="7"/>
      <c r="K153" s="7" t="s">
        <v>1179</v>
      </c>
      <c r="L153" s="7" t="s">
        <v>1173</v>
      </c>
      <c r="M153" s="7" t="s">
        <v>1424</v>
      </c>
      <c r="N153" s="7">
        <v>20456</v>
      </c>
      <c r="O153" s="7">
        <v>0</v>
      </c>
      <c r="P153" s="7">
        <v>8149</v>
      </c>
      <c r="Q153" s="7">
        <v>16737</v>
      </c>
      <c r="R153" s="7">
        <v>6974</v>
      </c>
      <c r="S153" s="7">
        <v>0</v>
      </c>
      <c r="T153" s="7">
        <v>0</v>
      </c>
      <c r="U153" s="7">
        <v>6974</v>
      </c>
      <c r="V153" s="7">
        <v>0</v>
      </c>
      <c r="W153" s="7">
        <v>0</v>
      </c>
      <c r="X153" s="7" t="s">
        <v>32</v>
      </c>
      <c r="Y153" s="7" t="s">
        <v>47</v>
      </c>
      <c r="Z153" s="7">
        <v>0</v>
      </c>
      <c r="AA153" s="7">
        <v>6</v>
      </c>
      <c r="AB153" s="7"/>
      <c r="AC153" s="7"/>
    </row>
    <row r="154" spans="1:29">
      <c r="A154" s="7" t="s">
        <v>1168</v>
      </c>
      <c r="B154" s="7" t="s">
        <v>1169</v>
      </c>
      <c r="C154" s="7" t="s">
        <v>22</v>
      </c>
      <c r="D154" s="7" t="s">
        <v>926</v>
      </c>
      <c r="E154" s="7" t="s">
        <v>694</v>
      </c>
      <c r="F154" s="7">
        <v>41400</v>
      </c>
      <c r="G154" s="7" t="s">
        <v>98</v>
      </c>
      <c r="H154" s="7" t="s">
        <v>37</v>
      </c>
      <c r="I154" s="7"/>
      <c r="J154" s="7"/>
      <c r="K154" s="7" t="s">
        <v>1184</v>
      </c>
      <c r="L154" s="7" t="s">
        <v>1173</v>
      </c>
      <c r="M154" s="7" t="s">
        <v>1425</v>
      </c>
      <c r="N154" s="7">
        <v>20456</v>
      </c>
      <c r="O154" s="7">
        <v>0</v>
      </c>
      <c r="P154" s="7">
        <v>2809</v>
      </c>
      <c r="Q154" s="7">
        <v>36262</v>
      </c>
      <c r="R154" s="7">
        <v>0</v>
      </c>
      <c r="S154" s="7">
        <v>0</v>
      </c>
      <c r="T154" s="7">
        <v>0</v>
      </c>
      <c r="U154" s="7">
        <v>0</v>
      </c>
      <c r="V154" s="7">
        <v>11158</v>
      </c>
      <c r="W154" s="7">
        <v>0</v>
      </c>
      <c r="X154" s="7" t="s">
        <v>47</v>
      </c>
      <c r="Y154" s="7" t="s">
        <v>37</v>
      </c>
      <c r="Z154" s="7">
        <v>0</v>
      </c>
      <c r="AA154" s="7">
        <v>6</v>
      </c>
      <c r="AB154" s="7"/>
      <c r="AC154" s="7"/>
    </row>
    <row r="155" spans="1:29">
      <c r="A155" s="7" t="s">
        <v>1168</v>
      </c>
      <c r="B155" s="7" t="s">
        <v>1205</v>
      </c>
      <c r="C155" s="7" t="s">
        <v>22</v>
      </c>
      <c r="D155" s="7" t="s">
        <v>926</v>
      </c>
      <c r="E155" s="7" t="s">
        <v>694</v>
      </c>
      <c r="F155" s="7">
        <v>41400</v>
      </c>
      <c r="G155" s="7" t="s">
        <v>98</v>
      </c>
      <c r="H155" s="7" t="s">
        <v>110</v>
      </c>
      <c r="I155" s="7" t="s">
        <v>32</v>
      </c>
      <c r="J155" s="7" t="s">
        <v>37</v>
      </c>
      <c r="K155" s="7" t="s">
        <v>1331</v>
      </c>
      <c r="L155" s="7" t="s">
        <v>1173</v>
      </c>
      <c r="M155" s="7" t="s">
        <v>1426</v>
      </c>
      <c r="N155" s="7">
        <v>20456</v>
      </c>
      <c r="O155" s="7">
        <v>0</v>
      </c>
      <c r="P155" s="7">
        <v>6603</v>
      </c>
      <c r="Q155" s="7">
        <v>9297</v>
      </c>
      <c r="R155" s="7">
        <v>0</v>
      </c>
      <c r="S155" s="7">
        <v>9297</v>
      </c>
      <c r="T155" s="7">
        <v>0</v>
      </c>
      <c r="U155" s="7">
        <v>9297</v>
      </c>
      <c r="V155" s="7">
        <v>9297</v>
      </c>
      <c r="W155" s="7">
        <v>0</v>
      </c>
      <c r="X155" s="7" t="s">
        <v>98</v>
      </c>
      <c r="Y155" s="7" t="s">
        <v>110</v>
      </c>
      <c r="Z155" s="7">
        <v>0</v>
      </c>
      <c r="AA155" s="7">
        <v>6</v>
      </c>
      <c r="AB155" s="7"/>
      <c r="AC155" s="7"/>
    </row>
    <row r="156" spans="1:29">
      <c r="A156" s="7" t="s">
        <v>1181</v>
      </c>
      <c r="B156" s="7" t="s">
        <v>1182</v>
      </c>
      <c r="C156" s="7" t="s">
        <v>22</v>
      </c>
      <c r="D156" s="7" t="s">
        <v>1427</v>
      </c>
      <c r="E156" s="7" t="s">
        <v>93</v>
      </c>
      <c r="F156" s="7">
        <v>41400</v>
      </c>
      <c r="G156" s="7" t="s">
        <v>98</v>
      </c>
      <c r="H156" s="7" t="s">
        <v>37</v>
      </c>
      <c r="I156" s="7"/>
      <c r="J156" s="7"/>
      <c r="K156" s="7" t="s">
        <v>1184</v>
      </c>
      <c r="L156" s="7"/>
      <c r="M156" s="7" t="s">
        <v>1428</v>
      </c>
      <c r="N156" s="7">
        <v>20456</v>
      </c>
      <c r="O156" s="7">
        <v>1669</v>
      </c>
      <c r="P156" s="7">
        <v>4215</v>
      </c>
      <c r="Q156" s="7">
        <v>13947</v>
      </c>
      <c r="R156" s="7">
        <v>0</v>
      </c>
      <c r="S156" s="7">
        <v>0</v>
      </c>
      <c r="T156" s="7">
        <v>0</v>
      </c>
      <c r="U156" s="7">
        <v>0</v>
      </c>
      <c r="V156" s="7">
        <v>11158</v>
      </c>
      <c r="W156" s="7">
        <v>0</v>
      </c>
      <c r="X156" s="7" t="s">
        <v>32</v>
      </c>
      <c r="Y156" s="7" t="s">
        <v>37</v>
      </c>
      <c r="Z156" s="7">
        <v>0</v>
      </c>
      <c r="AA156" s="7">
        <v>6</v>
      </c>
      <c r="AB156" s="7"/>
      <c r="AC156" s="7"/>
    </row>
    <row r="157" spans="1:29">
      <c r="A157" s="7" t="s">
        <v>1181</v>
      </c>
      <c r="B157" s="7" t="s">
        <v>1182</v>
      </c>
      <c r="C157" s="7" t="s">
        <v>22</v>
      </c>
      <c r="D157" s="7" t="s">
        <v>1429</v>
      </c>
      <c r="E157" s="7" t="s">
        <v>93</v>
      </c>
      <c r="F157" s="7">
        <v>41400</v>
      </c>
      <c r="G157" s="7" t="s">
        <v>24</v>
      </c>
      <c r="H157" s="7" t="s">
        <v>37</v>
      </c>
      <c r="I157" s="7"/>
      <c r="J157" s="7"/>
      <c r="K157" s="7" t="s">
        <v>1191</v>
      </c>
      <c r="L157" s="7"/>
      <c r="M157" s="7" t="s">
        <v>1430</v>
      </c>
      <c r="N157" s="7">
        <v>20456</v>
      </c>
      <c r="O157" s="7">
        <v>1669</v>
      </c>
      <c r="P157" s="7">
        <v>4215</v>
      </c>
      <c r="Q157" s="7">
        <v>0</v>
      </c>
      <c r="R157" s="7">
        <v>0</v>
      </c>
      <c r="S157" s="7">
        <v>0</v>
      </c>
      <c r="T157" s="7">
        <v>13947</v>
      </c>
      <c r="U157" s="7">
        <v>0</v>
      </c>
      <c r="V157" s="7">
        <v>11158</v>
      </c>
      <c r="W157" s="7">
        <v>0</v>
      </c>
      <c r="X157" s="7" t="s">
        <v>37</v>
      </c>
      <c r="Y157" s="7" t="s">
        <v>47</v>
      </c>
      <c r="Z157" s="7">
        <v>0</v>
      </c>
      <c r="AA157" s="7">
        <v>6</v>
      </c>
      <c r="AB157" s="7"/>
      <c r="AC157" s="7"/>
    </row>
    <row r="158" spans="1:29">
      <c r="A158" s="7" t="s">
        <v>1181</v>
      </c>
      <c r="B158" s="7" t="s">
        <v>1182</v>
      </c>
      <c r="C158" s="7" t="s">
        <v>22</v>
      </c>
      <c r="D158" s="7" t="s">
        <v>1431</v>
      </c>
      <c r="E158" s="7" t="s">
        <v>93</v>
      </c>
      <c r="F158" s="7">
        <v>41400</v>
      </c>
      <c r="G158" s="7" t="s">
        <v>110</v>
      </c>
      <c r="H158" s="7" t="s">
        <v>37</v>
      </c>
      <c r="I158" s="7"/>
      <c r="J158" s="7"/>
      <c r="K158" s="7" t="s">
        <v>1187</v>
      </c>
      <c r="L158" s="7"/>
      <c r="M158" s="7" t="s">
        <v>1432</v>
      </c>
      <c r="N158" s="7">
        <v>20456</v>
      </c>
      <c r="O158" s="7">
        <v>1669</v>
      </c>
      <c r="P158" s="7">
        <v>4215</v>
      </c>
      <c r="Q158" s="7">
        <v>0</v>
      </c>
      <c r="R158" s="7">
        <v>0</v>
      </c>
      <c r="S158" s="7">
        <v>0</v>
      </c>
      <c r="T158" s="7">
        <v>0</v>
      </c>
      <c r="U158" s="7">
        <v>13947</v>
      </c>
      <c r="V158" s="7">
        <v>11158</v>
      </c>
      <c r="W158" s="7">
        <v>0</v>
      </c>
      <c r="X158" s="7" t="s">
        <v>98</v>
      </c>
      <c r="Y158" s="7" t="s">
        <v>47</v>
      </c>
      <c r="Z158" s="7">
        <v>0</v>
      </c>
      <c r="AA158" s="7">
        <v>6</v>
      </c>
      <c r="AB158" s="7"/>
      <c r="AC158" s="7"/>
    </row>
    <row r="159" spans="1:29">
      <c r="A159" s="7" t="s">
        <v>1181</v>
      </c>
      <c r="B159" s="7" t="s">
        <v>1182</v>
      </c>
      <c r="C159" s="7" t="s">
        <v>22</v>
      </c>
      <c r="D159" s="7" t="s">
        <v>1433</v>
      </c>
      <c r="E159" s="7" t="s">
        <v>93</v>
      </c>
      <c r="F159" s="7">
        <v>41400</v>
      </c>
      <c r="G159" s="7" t="s">
        <v>110</v>
      </c>
      <c r="H159" s="7" t="s">
        <v>37</v>
      </c>
      <c r="I159" s="7"/>
      <c r="J159" s="7"/>
      <c r="K159" s="7" t="s">
        <v>1187</v>
      </c>
      <c r="L159" s="7"/>
      <c r="M159" s="7" t="s">
        <v>1434</v>
      </c>
      <c r="N159" s="7">
        <v>20456</v>
      </c>
      <c r="O159" s="7">
        <v>1669</v>
      </c>
      <c r="P159" s="7">
        <v>4215</v>
      </c>
      <c r="Q159" s="7">
        <v>0</v>
      </c>
      <c r="R159" s="7">
        <v>0</v>
      </c>
      <c r="S159" s="7">
        <v>0</v>
      </c>
      <c r="T159" s="7">
        <v>0</v>
      </c>
      <c r="U159" s="7">
        <v>13947</v>
      </c>
      <c r="V159" s="7">
        <v>11158</v>
      </c>
      <c r="W159" s="7">
        <v>0</v>
      </c>
      <c r="X159" s="7" t="s">
        <v>98</v>
      </c>
      <c r="Y159" s="7" t="s">
        <v>47</v>
      </c>
      <c r="Z159" s="7">
        <v>0</v>
      </c>
      <c r="AA159" s="7">
        <v>6</v>
      </c>
      <c r="AB159" s="7"/>
      <c r="AC159" s="7"/>
    </row>
    <row r="160" spans="1:29">
      <c r="A160" s="7" t="s">
        <v>1181</v>
      </c>
      <c r="B160" s="7" t="s">
        <v>1182</v>
      </c>
      <c r="C160" s="7" t="s">
        <v>22</v>
      </c>
      <c r="D160" s="7" t="s">
        <v>1954</v>
      </c>
      <c r="E160" s="7" t="s">
        <v>787</v>
      </c>
      <c r="F160" s="7">
        <v>41400</v>
      </c>
      <c r="G160" s="7" t="s">
        <v>32</v>
      </c>
      <c r="H160" s="7" t="s">
        <v>37</v>
      </c>
      <c r="I160" s="7"/>
      <c r="J160" s="7"/>
      <c r="K160" s="7" t="s">
        <v>1172</v>
      </c>
      <c r="L160" s="7"/>
      <c r="M160" s="7" t="s">
        <v>23</v>
      </c>
      <c r="N160" s="7">
        <v>20456</v>
      </c>
      <c r="O160" s="7">
        <v>1669</v>
      </c>
      <c r="P160" s="7">
        <v>4215</v>
      </c>
      <c r="Q160" s="7">
        <v>0</v>
      </c>
      <c r="R160" s="7">
        <v>0</v>
      </c>
      <c r="S160" s="7">
        <v>13947</v>
      </c>
      <c r="T160" s="7">
        <v>0</v>
      </c>
      <c r="U160" s="7">
        <v>0</v>
      </c>
      <c r="V160" s="7">
        <v>11158</v>
      </c>
      <c r="W160" s="7">
        <v>0</v>
      </c>
      <c r="X160" s="7" t="s">
        <v>91</v>
      </c>
      <c r="Y160" s="7" t="s">
        <v>32</v>
      </c>
      <c r="Z160" s="7">
        <v>0</v>
      </c>
      <c r="AA160" s="7">
        <v>6</v>
      </c>
      <c r="AB160" s="7"/>
      <c r="AC160" s="7"/>
    </row>
    <row r="161" spans="1:29">
      <c r="A161" s="7" t="s">
        <v>1168</v>
      </c>
      <c r="B161" s="7" t="s">
        <v>1169</v>
      </c>
      <c r="C161" s="7" t="s">
        <v>22</v>
      </c>
      <c r="D161" s="7" t="s">
        <v>926</v>
      </c>
      <c r="E161" s="7" t="s">
        <v>106</v>
      </c>
      <c r="F161" s="7">
        <v>38100</v>
      </c>
      <c r="G161" s="7" t="s">
        <v>32</v>
      </c>
      <c r="H161" s="7" t="s">
        <v>37</v>
      </c>
      <c r="I161" s="7"/>
      <c r="J161" s="7"/>
      <c r="K161" s="7" t="s">
        <v>1172</v>
      </c>
      <c r="L161" s="7" t="s">
        <v>1173</v>
      </c>
      <c r="M161" s="7" t="s">
        <v>1436</v>
      </c>
      <c r="N161" s="7">
        <v>18825</v>
      </c>
      <c r="O161" s="7">
        <v>0</v>
      </c>
      <c r="P161" s="7">
        <v>2585</v>
      </c>
      <c r="Q161" s="7">
        <v>0</v>
      </c>
      <c r="R161" s="7">
        <v>0</v>
      </c>
      <c r="S161" s="7">
        <v>33371</v>
      </c>
      <c r="T161" s="7">
        <v>0</v>
      </c>
      <c r="U161" s="7">
        <v>0</v>
      </c>
      <c r="V161" s="7">
        <v>10269</v>
      </c>
      <c r="W161" s="7">
        <v>0</v>
      </c>
      <c r="X161" s="7" t="s">
        <v>47</v>
      </c>
      <c r="Y161" s="7" t="s">
        <v>32</v>
      </c>
      <c r="Z161" s="7">
        <v>0</v>
      </c>
      <c r="AA161" s="7">
        <v>6</v>
      </c>
      <c r="AB161" s="7"/>
      <c r="AC161" s="7"/>
    </row>
    <row r="162" spans="1:29">
      <c r="A162" s="7" t="s">
        <v>1168</v>
      </c>
      <c r="B162" s="7" t="s">
        <v>1176</v>
      </c>
      <c r="C162" s="7" t="s">
        <v>22</v>
      </c>
      <c r="D162" s="7" t="s">
        <v>926</v>
      </c>
      <c r="E162" s="7" t="s">
        <v>106</v>
      </c>
      <c r="F162" s="7">
        <v>38100</v>
      </c>
      <c r="G162" s="7" t="s">
        <v>98</v>
      </c>
      <c r="H162" s="7" t="s">
        <v>42</v>
      </c>
      <c r="I162" s="7" t="s">
        <v>37</v>
      </c>
      <c r="J162" s="7"/>
      <c r="K162" s="7" t="s">
        <v>1177</v>
      </c>
      <c r="L162" s="7" t="s">
        <v>1173</v>
      </c>
      <c r="M162" s="7" t="s">
        <v>1437</v>
      </c>
      <c r="N162" s="7">
        <v>18825</v>
      </c>
      <c r="O162" s="7">
        <v>0</v>
      </c>
      <c r="P162" s="7">
        <v>7499</v>
      </c>
      <c r="Q162" s="7">
        <v>15403</v>
      </c>
      <c r="R162" s="7">
        <v>6418</v>
      </c>
      <c r="S162" s="7">
        <v>0</v>
      </c>
      <c r="T162" s="7">
        <v>0</v>
      </c>
      <c r="U162" s="7">
        <v>0</v>
      </c>
      <c r="V162" s="7">
        <v>6418</v>
      </c>
      <c r="W162" s="7">
        <v>0</v>
      </c>
      <c r="X162" s="7" t="s">
        <v>37</v>
      </c>
      <c r="Y162" s="7" t="s">
        <v>32</v>
      </c>
      <c r="Z162" s="7">
        <v>0</v>
      </c>
      <c r="AA162" s="7">
        <v>6</v>
      </c>
      <c r="AB162" s="7"/>
      <c r="AC162" s="7"/>
    </row>
    <row r="163" spans="1:29">
      <c r="A163" s="7" t="s">
        <v>1168</v>
      </c>
      <c r="B163" s="7" t="s">
        <v>1193</v>
      </c>
      <c r="C163" s="7" t="s">
        <v>22</v>
      </c>
      <c r="D163" s="7" t="s">
        <v>926</v>
      </c>
      <c r="E163" s="7" t="s">
        <v>106</v>
      </c>
      <c r="F163" s="7">
        <v>38100</v>
      </c>
      <c r="G163" s="7" t="s">
        <v>110</v>
      </c>
      <c r="H163" s="7" t="s">
        <v>37</v>
      </c>
      <c r="I163" s="7"/>
      <c r="J163" s="7"/>
      <c r="K163" s="7" t="s">
        <v>1187</v>
      </c>
      <c r="L163" s="7" t="s">
        <v>1173</v>
      </c>
      <c r="M163" s="7" t="s">
        <v>1438</v>
      </c>
      <c r="N163" s="7">
        <v>18825</v>
      </c>
      <c r="O163" s="7">
        <v>0</v>
      </c>
      <c r="P163" s="7">
        <v>2585</v>
      </c>
      <c r="Q163" s="7">
        <v>0</v>
      </c>
      <c r="R163" s="7">
        <v>0</v>
      </c>
      <c r="S163" s="7">
        <v>0</v>
      </c>
      <c r="T163" s="7">
        <v>0</v>
      </c>
      <c r="U163" s="7">
        <v>34228</v>
      </c>
      <c r="V163" s="7">
        <v>10269</v>
      </c>
      <c r="W163" s="7">
        <v>0</v>
      </c>
      <c r="X163" s="7" t="s">
        <v>37</v>
      </c>
      <c r="Y163" s="7" t="s">
        <v>110</v>
      </c>
      <c r="Z163" s="7">
        <v>0</v>
      </c>
      <c r="AA163" s="7">
        <v>6</v>
      </c>
      <c r="AB163" s="7"/>
      <c r="AC163" s="7"/>
    </row>
    <row r="164" spans="1:29">
      <c r="A164" s="7" t="s">
        <v>1181</v>
      </c>
      <c r="B164" s="7" t="s">
        <v>1182</v>
      </c>
      <c r="C164" s="7" t="s">
        <v>22</v>
      </c>
      <c r="D164" s="7" t="s">
        <v>1439</v>
      </c>
      <c r="E164" s="7" t="s">
        <v>601</v>
      </c>
      <c r="F164" s="7">
        <v>35900</v>
      </c>
      <c r="G164" s="7" t="s">
        <v>110</v>
      </c>
      <c r="H164" s="7" t="s">
        <v>37</v>
      </c>
      <c r="I164" s="7"/>
      <c r="J164" s="7"/>
      <c r="K164" s="7" t="s">
        <v>1187</v>
      </c>
      <c r="L164" s="7"/>
      <c r="M164" s="7" t="s">
        <v>1440</v>
      </c>
      <c r="N164" s="7">
        <v>17738</v>
      </c>
      <c r="O164" s="7">
        <v>1447</v>
      </c>
      <c r="P164" s="7">
        <v>3655</v>
      </c>
      <c r="Q164" s="7">
        <v>0</v>
      </c>
      <c r="R164" s="7">
        <v>0</v>
      </c>
      <c r="S164" s="7">
        <v>0</v>
      </c>
      <c r="T164" s="7">
        <v>0</v>
      </c>
      <c r="U164" s="7">
        <v>12094</v>
      </c>
      <c r="V164" s="7">
        <v>9676</v>
      </c>
      <c r="W164" s="7">
        <v>0</v>
      </c>
      <c r="X164" s="7" t="s">
        <v>98</v>
      </c>
      <c r="Y164" s="7" t="s">
        <v>47</v>
      </c>
      <c r="Z164" s="7">
        <v>0</v>
      </c>
      <c r="AA164" s="7">
        <v>6</v>
      </c>
      <c r="AB164" s="7"/>
      <c r="AC164" s="7"/>
    </row>
    <row r="165" spans="1:29">
      <c r="A165" s="7" t="s">
        <v>1181</v>
      </c>
      <c r="B165" s="7" t="s">
        <v>1182</v>
      </c>
      <c r="C165" s="7" t="s">
        <v>22</v>
      </c>
      <c r="D165" s="7" t="s">
        <v>1441</v>
      </c>
      <c r="E165" s="7" t="s">
        <v>93</v>
      </c>
      <c r="F165" s="7">
        <v>35300</v>
      </c>
      <c r="G165" s="7" t="s">
        <v>98</v>
      </c>
      <c r="H165" s="7" t="s">
        <v>37</v>
      </c>
      <c r="I165" s="7"/>
      <c r="J165" s="7"/>
      <c r="K165" s="7" t="s">
        <v>1184</v>
      </c>
      <c r="L165" s="7"/>
      <c r="M165" s="7" t="s">
        <v>1442</v>
      </c>
      <c r="N165" s="7">
        <v>17442</v>
      </c>
      <c r="O165" s="7">
        <v>1423</v>
      </c>
      <c r="P165" s="7">
        <v>3594</v>
      </c>
      <c r="Q165" s="7">
        <v>11892</v>
      </c>
      <c r="R165" s="7">
        <v>0</v>
      </c>
      <c r="S165" s="7">
        <v>0</v>
      </c>
      <c r="T165" s="7">
        <v>0</v>
      </c>
      <c r="U165" s="7">
        <v>0</v>
      </c>
      <c r="V165" s="7">
        <v>9514</v>
      </c>
      <c r="W165" s="7">
        <v>0</v>
      </c>
      <c r="X165" s="7" t="s">
        <v>32</v>
      </c>
      <c r="Y165" s="7" t="s">
        <v>37</v>
      </c>
      <c r="Z165" s="7">
        <v>0</v>
      </c>
      <c r="AA165" s="7">
        <v>6</v>
      </c>
      <c r="AB165" s="7"/>
      <c r="AC165" s="7"/>
    </row>
    <row r="166" spans="1:29">
      <c r="A166" s="7" t="s">
        <v>1181</v>
      </c>
      <c r="B166" s="7" t="s">
        <v>1182</v>
      </c>
      <c r="C166" s="7" t="s">
        <v>22</v>
      </c>
      <c r="D166" s="7" t="s">
        <v>1431</v>
      </c>
      <c r="E166" s="7" t="s">
        <v>93</v>
      </c>
      <c r="F166" s="7">
        <v>35300</v>
      </c>
      <c r="G166" s="7" t="s">
        <v>110</v>
      </c>
      <c r="H166" s="7" t="s">
        <v>37</v>
      </c>
      <c r="I166" s="7"/>
      <c r="J166" s="7"/>
      <c r="K166" s="7" t="s">
        <v>1187</v>
      </c>
      <c r="L166" s="7"/>
      <c r="M166" s="7" t="s">
        <v>1443</v>
      </c>
      <c r="N166" s="7">
        <v>17442</v>
      </c>
      <c r="O166" s="7">
        <v>1423</v>
      </c>
      <c r="P166" s="7">
        <v>3594</v>
      </c>
      <c r="Q166" s="7">
        <v>0</v>
      </c>
      <c r="R166" s="7">
        <v>0</v>
      </c>
      <c r="S166" s="7">
        <v>0</v>
      </c>
      <c r="T166" s="7">
        <v>0</v>
      </c>
      <c r="U166" s="7">
        <v>11892</v>
      </c>
      <c r="V166" s="7">
        <v>9514</v>
      </c>
      <c r="W166" s="7">
        <v>0</v>
      </c>
      <c r="X166" s="7" t="s">
        <v>98</v>
      </c>
      <c r="Y166" s="7" t="s">
        <v>47</v>
      </c>
      <c r="Z166" s="7">
        <v>0</v>
      </c>
      <c r="AA166" s="7">
        <v>6</v>
      </c>
      <c r="AB166" s="7"/>
      <c r="AC166" s="7"/>
    </row>
    <row r="167" spans="1:29">
      <c r="A167" s="7" t="s">
        <v>1181</v>
      </c>
      <c r="B167" s="7" t="s">
        <v>1182</v>
      </c>
      <c r="C167" s="7" t="s">
        <v>22</v>
      </c>
      <c r="D167" s="7" t="s">
        <v>1444</v>
      </c>
      <c r="E167" s="7" t="s">
        <v>93</v>
      </c>
      <c r="F167" s="7">
        <v>35300</v>
      </c>
      <c r="G167" s="7" t="s">
        <v>110</v>
      </c>
      <c r="H167" s="7" t="s">
        <v>37</v>
      </c>
      <c r="I167" s="7"/>
      <c r="J167" s="7"/>
      <c r="K167" s="7" t="s">
        <v>1187</v>
      </c>
      <c r="L167" s="7"/>
      <c r="M167" s="7" t="s">
        <v>1445</v>
      </c>
      <c r="N167" s="7">
        <v>17442</v>
      </c>
      <c r="O167" s="7">
        <v>1423</v>
      </c>
      <c r="P167" s="7">
        <v>3594</v>
      </c>
      <c r="Q167" s="7">
        <v>0</v>
      </c>
      <c r="R167" s="7">
        <v>0</v>
      </c>
      <c r="S167" s="7">
        <v>0</v>
      </c>
      <c r="T167" s="7">
        <v>0</v>
      </c>
      <c r="U167" s="7">
        <v>11892</v>
      </c>
      <c r="V167" s="7">
        <v>9514</v>
      </c>
      <c r="W167" s="7">
        <v>0</v>
      </c>
      <c r="X167" s="7" t="s">
        <v>98</v>
      </c>
      <c r="Y167" s="7" t="s">
        <v>47</v>
      </c>
      <c r="Z167" s="7">
        <v>0</v>
      </c>
      <c r="AA167" s="7">
        <v>6</v>
      </c>
      <c r="AB167" s="7"/>
      <c r="AC167" s="7"/>
    </row>
    <row r="168" spans="1:29">
      <c r="A168" s="7" t="s">
        <v>1181</v>
      </c>
      <c r="B168" s="7" t="s">
        <v>1182</v>
      </c>
      <c r="C168" s="7" t="s">
        <v>22</v>
      </c>
      <c r="D168" s="7" t="s">
        <v>1446</v>
      </c>
      <c r="E168" s="7" t="s">
        <v>93</v>
      </c>
      <c r="F168" s="7">
        <v>35300</v>
      </c>
      <c r="G168" s="7" t="s">
        <v>24</v>
      </c>
      <c r="H168" s="7" t="s">
        <v>37</v>
      </c>
      <c r="I168" s="7"/>
      <c r="J168" s="7"/>
      <c r="K168" s="7" t="s">
        <v>1191</v>
      </c>
      <c r="L168" s="7"/>
      <c r="M168" s="7" t="s">
        <v>1447</v>
      </c>
      <c r="N168" s="7">
        <v>17442</v>
      </c>
      <c r="O168" s="7">
        <v>1423</v>
      </c>
      <c r="P168" s="7">
        <v>3594</v>
      </c>
      <c r="Q168" s="7">
        <v>0</v>
      </c>
      <c r="R168" s="7">
        <v>0</v>
      </c>
      <c r="S168" s="7">
        <v>0</v>
      </c>
      <c r="T168" s="7">
        <v>11892</v>
      </c>
      <c r="U168" s="7">
        <v>0</v>
      </c>
      <c r="V168" s="7">
        <v>9514</v>
      </c>
      <c r="W168" s="7">
        <v>0</v>
      </c>
      <c r="X168" s="7" t="s">
        <v>37</v>
      </c>
      <c r="Y168" s="7" t="s">
        <v>47</v>
      </c>
      <c r="Z168" s="7">
        <v>0</v>
      </c>
      <c r="AA168" s="7">
        <v>6</v>
      </c>
      <c r="AB168" s="7"/>
      <c r="AC168" s="7"/>
    </row>
    <row r="169" spans="1:29">
      <c r="A169" s="7" t="s">
        <v>1181</v>
      </c>
      <c r="B169" s="7" t="s">
        <v>1182</v>
      </c>
      <c r="C169" s="7" t="s">
        <v>22</v>
      </c>
      <c r="D169" s="7" t="s">
        <v>1955</v>
      </c>
      <c r="E169" s="7" t="s">
        <v>787</v>
      </c>
      <c r="F169" s="7">
        <v>35300</v>
      </c>
      <c r="G169" s="7" t="s">
        <v>32</v>
      </c>
      <c r="H169" s="7" t="s">
        <v>37</v>
      </c>
      <c r="I169" s="7"/>
      <c r="J169" s="7"/>
      <c r="K169" s="7" t="s">
        <v>1172</v>
      </c>
      <c r="L169" s="7"/>
      <c r="M169" s="7" t="s">
        <v>1956</v>
      </c>
      <c r="N169" s="7">
        <v>17442</v>
      </c>
      <c r="O169" s="7">
        <v>1423</v>
      </c>
      <c r="P169" s="7">
        <v>3594</v>
      </c>
      <c r="Q169" s="7">
        <v>0</v>
      </c>
      <c r="R169" s="7">
        <v>0</v>
      </c>
      <c r="S169" s="7">
        <v>11892</v>
      </c>
      <c r="T169" s="7">
        <v>0</v>
      </c>
      <c r="U169" s="7">
        <v>0</v>
      </c>
      <c r="V169" s="7">
        <v>9514</v>
      </c>
      <c r="W169" s="7">
        <v>0</v>
      </c>
      <c r="X169" s="7" t="s">
        <v>91</v>
      </c>
      <c r="Y169" s="7" t="s">
        <v>32</v>
      </c>
      <c r="Z169" s="7">
        <v>0</v>
      </c>
      <c r="AA169" s="7">
        <v>6</v>
      </c>
      <c r="AB169" s="7"/>
      <c r="AC169" s="7"/>
    </row>
    <row r="170" spans="1:29">
      <c r="A170" s="7" t="s">
        <v>1168</v>
      </c>
      <c r="B170" s="7" t="s">
        <v>1176</v>
      </c>
      <c r="C170" s="7" t="s">
        <v>22</v>
      </c>
      <c r="D170" s="7" t="s">
        <v>926</v>
      </c>
      <c r="E170" s="7" t="s">
        <v>693</v>
      </c>
      <c r="F170" s="7">
        <v>35300</v>
      </c>
      <c r="G170" s="7" t="s">
        <v>98</v>
      </c>
      <c r="H170" s="7" t="s">
        <v>37</v>
      </c>
      <c r="I170" s="7"/>
      <c r="J170" s="7"/>
      <c r="K170" s="7" t="s">
        <v>1184</v>
      </c>
      <c r="L170" s="7" t="s">
        <v>1173</v>
      </c>
      <c r="M170" s="7" t="s">
        <v>268</v>
      </c>
      <c r="N170" s="7">
        <v>17442</v>
      </c>
      <c r="O170" s="7">
        <v>0</v>
      </c>
      <c r="P170" s="7">
        <v>5749</v>
      </c>
      <c r="Q170" s="7">
        <v>18235</v>
      </c>
      <c r="R170" s="7">
        <v>0</v>
      </c>
      <c r="S170" s="7">
        <v>0</v>
      </c>
      <c r="T170" s="7">
        <v>0</v>
      </c>
      <c r="U170" s="7">
        <v>0</v>
      </c>
      <c r="V170" s="7">
        <v>9513</v>
      </c>
      <c r="W170" s="7">
        <v>0</v>
      </c>
      <c r="X170" s="7" t="s">
        <v>42</v>
      </c>
      <c r="Y170" s="7" t="s">
        <v>37</v>
      </c>
      <c r="Z170" s="7">
        <v>0</v>
      </c>
      <c r="AA170" s="7">
        <v>6</v>
      </c>
      <c r="AB170" s="7"/>
      <c r="AC170" s="7"/>
    </row>
    <row r="171" spans="1:29">
      <c r="A171" s="7" t="s">
        <v>1168</v>
      </c>
      <c r="B171" s="7" t="s">
        <v>1205</v>
      </c>
      <c r="C171" s="7" t="s">
        <v>22</v>
      </c>
      <c r="D171" s="7" t="s">
        <v>926</v>
      </c>
      <c r="E171" s="7" t="s">
        <v>693</v>
      </c>
      <c r="F171" s="7">
        <v>35300</v>
      </c>
      <c r="G171" s="7" t="s">
        <v>98</v>
      </c>
      <c r="H171" s="7" t="s">
        <v>110</v>
      </c>
      <c r="I171" s="7" t="s">
        <v>37</v>
      </c>
      <c r="J171" s="7"/>
      <c r="K171" s="7" t="s">
        <v>1239</v>
      </c>
      <c r="L171" s="7" t="s">
        <v>1173</v>
      </c>
      <c r="M171" s="7" t="s">
        <v>1450</v>
      </c>
      <c r="N171" s="7">
        <v>17442</v>
      </c>
      <c r="O171" s="7">
        <v>0</v>
      </c>
      <c r="P171" s="7">
        <v>6948</v>
      </c>
      <c r="Q171" s="7">
        <v>7927</v>
      </c>
      <c r="R171" s="7">
        <v>0</v>
      </c>
      <c r="S171" s="7">
        <v>0</v>
      </c>
      <c r="T171" s="7">
        <v>0</v>
      </c>
      <c r="U171" s="7">
        <v>7927</v>
      </c>
      <c r="V171" s="7">
        <v>7927</v>
      </c>
      <c r="W171" s="7">
        <v>0</v>
      </c>
      <c r="X171" s="7" t="s">
        <v>32</v>
      </c>
      <c r="Y171" s="7" t="s">
        <v>37</v>
      </c>
      <c r="Z171" s="7">
        <v>0</v>
      </c>
      <c r="AA171" s="7">
        <v>6</v>
      </c>
      <c r="AB171" s="7"/>
      <c r="AC171" s="7"/>
    </row>
    <row r="172" spans="1:29">
      <c r="A172" s="7" t="s">
        <v>1168</v>
      </c>
      <c r="B172" s="7" t="s">
        <v>1205</v>
      </c>
      <c r="C172" s="7" t="s">
        <v>22</v>
      </c>
      <c r="D172" s="7" t="s">
        <v>926</v>
      </c>
      <c r="E172" s="7" t="s">
        <v>693</v>
      </c>
      <c r="F172" s="7">
        <v>35300</v>
      </c>
      <c r="G172" s="7" t="s">
        <v>98</v>
      </c>
      <c r="H172" s="7" t="s">
        <v>32</v>
      </c>
      <c r="I172" s="7" t="s">
        <v>37</v>
      </c>
      <c r="J172" s="7"/>
      <c r="K172" s="7" t="s">
        <v>1206</v>
      </c>
      <c r="L172" s="7" t="s">
        <v>1173</v>
      </c>
      <c r="M172" s="7" t="s">
        <v>1451</v>
      </c>
      <c r="N172" s="7">
        <v>17442</v>
      </c>
      <c r="O172" s="7">
        <v>0</v>
      </c>
      <c r="P172" s="7">
        <v>6947</v>
      </c>
      <c r="Q172" s="7">
        <v>7928</v>
      </c>
      <c r="R172" s="7">
        <v>0</v>
      </c>
      <c r="S172" s="7">
        <v>7928</v>
      </c>
      <c r="T172" s="7">
        <v>0</v>
      </c>
      <c r="U172" s="7">
        <v>0</v>
      </c>
      <c r="V172" s="7">
        <v>7928</v>
      </c>
      <c r="W172" s="7">
        <v>0</v>
      </c>
      <c r="X172" s="7" t="s">
        <v>42</v>
      </c>
      <c r="Y172" s="7" t="s">
        <v>47</v>
      </c>
      <c r="Z172" s="7">
        <v>0</v>
      </c>
      <c r="AA172" s="7">
        <v>6</v>
      </c>
      <c r="AB172" s="7"/>
      <c r="AC172" s="7"/>
    </row>
    <row r="173" spans="1:29">
      <c r="A173" s="7" t="s">
        <v>1181</v>
      </c>
      <c r="B173" s="7" t="s">
        <v>1182</v>
      </c>
      <c r="C173" s="7" t="s">
        <v>22</v>
      </c>
      <c r="D173" s="7" t="s">
        <v>1452</v>
      </c>
      <c r="E173" s="7" t="s">
        <v>93</v>
      </c>
      <c r="F173" s="7">
        <v>35300</v>
      </c>
      <c r="G173" s="7" t="s">
        <v>98</v>
      </c>
      <c r="H173" s="7" t="s">
        <v>37</v>
      </c>
      <c r="I173" s="7"/>
      <c r="J173" s="7"/>
      <c r="K173" s="7" t="s">
        <v>1184</v>
      </c>
      <c r="L173" s="7"/>
      <c r="M173" s="7" t="s">
        <v>1453</v>
      </c>
      <c r="N173" s="7">
        <v>17442</v>
      </c>
      <c r="O173" s="7">
        <v>1423</v>
      </c>
      <c r="P173" s="7">
        <v>3594</v>
      </c>
      <c r="Q173" s="7">
        <v>11892</v>
      </c>
      <c r="R173" s="7">
        <v>0</v>
      </c>
      <c r="S173" s="7">
        <v>0</v>
      </c>
      <c r="T173" s="7">
        <v>0</v>
      </c>
      <c r="U173" s="7">
        <v>0</v>
      </c>
      <c r="V173" s="7">
        <v>9514</v>
      </c>
      <c r="W173" s="7">
        <v>0</v>
      </c>
      <c r="X173" s="7" t="s">
        <v>32</v>
      </c>
      <c r="Y173" s="7" t="s">
        <v>37</v>
      </c>
      <c r="Z173" s="7">
        <v>0</v>
      </c>
      <c r="AA173" s="7">
        <v>6</v>
      </c>
      <c r="AB173" s="7"/>
      <c r="AC173" s="7"/>
    </row>
    <row r="174" spans="1:29">
      <c r="A174" s="7" t="s">
        <v>1181</v>
      </c>
      <c r="B174" s="7" t="s">
        <v>1182</v>
      </c>
      <c r="C174" s="7" t="s">
        <v>22</v>
      </c>
      <c r="D174" s="7" t="s">
        <v>1454</v>
      </c>
      <c r="E174" s="7" t="s">
        <v>93</v>
      </c>
      <c r="F174" s="7">
        <v>35300</v>
      </c>
      <c r="G174" s="7" t="s">
        <v>98</v>
      </c>
      <c r="H174" s="7" t="s">
        <v>37</v>
      </c>
      <c r="I174" s="7"/>
      <c r="J174" s="7"/>
      <c r="K174" s="7" t="s">
        <v>1184</v>
      </c>
      <c r="L174" s="7"/>
      <c r="M174" s="7" t="s">
        <v>1455</v>
      </c>
      <c r="N174" s="7">
        <v>17442</v>
      </c>
      <c r="O174" s="7">
        <v>1423</v>
      </c>
      <c r="P174" s="7">
        <v>3594</v>
      </c>
      <c r="Q174" s="7">
        <v>11892</v>
      </c>
      <c r="R174" s="7">
        <v>0</v>
      </c>
      <c r="S174" s="7">
        <v>0</v>
      </c>
      <c r="T174" s="7">
        <v>0</v>
      </c>
      <c r="U174" s="7">
        <v>0</v>
      </c>
      <c r="V174" s="7">
        <v>9514</v>
      </c>
      <c r="W174" s="7">
        <v>0</v>
      </c>
      <c r="X174" s="7" t="s">
        <v>32</v>
      </c>
      <c r="Y174" s="7" t="s">
        <v>37</v>
      </c>
      <c r="Z174" s="7">
        <v>0</v>
      </c>
      <c r="AA174" s="7">
        <v>6</v>
      </c>
      <c r="AB174" s="7"/>
      <c r="AC174" s="7"/>
    </row>
    <row r="175" spans="1:29">
      <c r="A175" s="7" t="s">
        <v>1181</v>
      </c>
      <c r="B175" s="7" t="s">
        <v>631</v>
      </c>
      <c r="C175" s="7" t="s">
        <v>64</v>
      </c>
      <c r="D175" s="7" t="s">
        <v>1456</v>
      </c>
      <c r="E175" s="7" t="s">
        <v>648</v>
      </c>
      <c r="F175" s="7">
        <v>42500</v>
      </c>
      <c r="G175" s="7" t="s">
        <v>98</v>
      </c>
      <c r="H175" s="7" t="s">
        <v>32</v>
      </c>
      <c r="I175" s="7" t="s">
        <v>24</v>
      </c>
      <c r="J175" s="7"/>
      <c r="K175" s="7" t="s">
        <v>1457</v>
      </c>
      <c r="L175" s="7"/>
      <c r="M175" s="7" t="s">
        <v>287</v>
      </c>
      <c r="N175" s="7">
        <v>31110</v>
      </c>
      <c r="O175" s="7">
        <v>2538</v>
      </c>
      <c r="P175" s="7">
        <v>14115</v>
      </c>
      <c r="Q175" s="7">
        <v>14849</v>
      </c>
      <c r="R175" s="7">
        <v>0</v>
      </c>
      <c r="S175" s="7">
        <v>15555</v>
      </c>
      <c r="T175" s="7">
        <v>7778</v>
      </c>
      <c r="U175" s="7">
        <v>0</v>
      </c>
      <c r="V175" s="7">
        <v>0</v>
      </c>
      <c r="W175" s="7">
        <v>0</v>
      </c>
      <c r="X175" s="7" t="s">
        <v>47</v>
      </c>
      <c r="Y175" s="7" t="s">
        <v>91</v>
      </c>
      <c r="Z175" s="7" t="s">
        <v>32</v>
      </c>
      <c r="AA175" s="7">
        <v>8</v>
      </c>
      <c r="AB175" s="7"/>
      <c r="AC175" s="7"/>
    </row>
    <row r="176" spans="1:29">
      <c r="A176" s="7" t="s">
        <v>1181</v>
      </c>
      <c r="B176" s="7" t="s">
        <v>1458</v>
      </c>
      <c r="C176" s="7" t="s">
        <v>64</v>
      </c>
      <c r="D176" s="7" t="s">
        <v>1459</v>
      </c>
      <c r="E176" s="7" t="s">
        <v>93</v>
      </c>
      <c r="F176" s="7">
        <v>42100</v>
      </c>
      <c r="G176" s="7" t="s">
        <v>98</v>
      </c>
      <c r="H176" s="7" t="s">
        <v>37</v>
      </c>
      <c r="I176" s="7"/>
      <c r="J176" s="7"/>
      <c r="K176" s="7" t="s">
        <v>1184</v>
      </c>
      <c r="L176" s="7"/>
      <c r="M176" s="7" t="s">
        <v>1460</v>
      </c>
      <c r="N176" s="7">
        <v>27736</v>
      </c>
      <c r="O176" s="7">
        <v>2263</v>
      </c>
      <c r="P176" s="7">
        <v>12584</v>
      </c>
      <c r="Q176" s="7">
        <v>18911</v>
      </c>
      <c r="R176" s="7">
        <v>0</v>
      </c>
      <c r="S176" s="7">
        <v>0</v>
      </c>
      <c r="T176" s="7">
        <v>0</v>
      </c>
      <c r="U176" s="7">
        <v>0</v>
      </c>
      <c r="V176" s="7">
        <v>18280</v>
      </c>
      <c r="W176" s="7">
        <v>0</v>
      </c>
      <c r="X176" s="7" t="s">
        <v>42</v>
      </c>
      <c r="Y176" s="7" t="s">
        <v>98</v>
      </c>
      <c r="Z176" s="7" t="s">
        <v>91</v>
      </c>
      <c r="AA176" s="7">
        <v>6</v>
      </c>
      <c r="AB176" s="7"/>
      <c r="AC176" s="7"/>
    </row>
    <row r="177" spans="1:29">
      <c r="A177" s="7" t="s">
        <v>1181</v>
      </c>
      <c r="B177" s="7" t="s">
        <v>1458</v>
      </c>
      <c r="C177" s="7" t="s">
        <v>64</v>
      </c>
      <c r="D177" s="7" t="s">
        <v>1461</v>
      </c>
      <c r="E177" s="7" t="s">
        <v>93</v>
      </c>
      <c r="F177" s="7">
        <v>41400</v>
      </c>
      <c r="G177" s="7" t="s">
        <v>110</v>
      </c>
      <c r="H177" s="7" t="s">
        <v>37</v>
      </c>
      <c r="I177" s="7"/>
      <c r="J177" s="7"/>
      <c r="K177" s="7" t="s">
        <v>1187</v>
      </c>
      <c r="L177" s="7"/>
      <c r="M177" s="7" t="s">
        <v>1462</v>
      </c>
      <c r="N177" s="7">
        <v>27274</v>
      </c>
      <c r="O177" s="7">
        <v>2225</v>
      </c>
      <c r="P177" s="7">
        <v>12375</v>
      </c>
      <c r="Q177" s="7">
        <v>0</v>
      </c>
      <c r="R177" s="7">
        <v>0</v>
      </c>
      <c r="S177" s="7">
        <v>0</v>
      </c>
      <c r="T177" s="7">
        <v>0</v>
      </c>
      <c r="U177" s="7">
        <v>18596</v>
      </c>
      <c r="V177" s="7">
        <v>17976</v>
      </c>
      <c r="W177" s="7">
        <v>0</v>
      </c>
      <c r="X177" s="7" t="s">
        <v>47</v>
      </c>
      <c r="Y177" s="7" t="s">
        <v>91</v>
      </c>
      <c r="Z177" s="7" t="s">
        <v>32</v>
      </c>
      <c r="AA177" s="7">
        <v>6</v>
      </c>
      <c r="AB177" s="7"/>
      <c r="AC177" s="7"/>
    </row>
    <row r="178" spans="1:29">
      <c r="A178" s="7" t="s">
        <v>1181</v>
      </c>
      <c r="B178" s="7" t="s">
        <v>1458</v>
      </c>
      <c r="C178" s="7" t="s">
        <v>64</v>
      </c>
      <c r="D178" s="7" t="s">
        <v>1463</v>
      </c>
      <c r="E178" s="7" t="s">
        <v>647</v>
      </c>
      <c r="F178" s="7">
        <v>41400</v>
      </c>
      <c r="G178" s="7" t="s">
        <v>32</v>
      </c>
      <c r="H178" s="7" t="s">
        <v>37</v>
      </c>
      <c r="I178" s="7"/>
      <c r="J178" s="7"/>
      <c r="K178" s="7" t="s">
        <v>1172</v>
      </c>
      <c r="L178" s="7" t="s">
        <v>1173</v>
      </c>
      <c r="M178" s="7" t="s">
        <v>1464</v>
      </c>
      <c r="N178" s="7">
        <v>27274</v>
      </c>
      <c r="O178" s="7">
        <v>2225</v>
      </c>
      <c r="P178" s="7">
        <v>12375</v>
      </c>
      <c r="Q178" s="7">
        <v>0</v>
      </c>
      <c r="R178" s="7">
        <v>0</v>
      </c>
      <c r="S178" s="7">
        <v>18596</v>
      </c>
      <c r="T178" s="7">
        <v>0</v>
      </c>
      <c r="U178" s="7">
        <v>0</v>
      </c>
      <c r="V178" s="7">
        <v>17976</v>
      </c>
      <c r="W178" s="7">
        <v>0</v>
      </c>
      <c r="X178" s="7" t="s">
        <v>47</v>
      </c>
      <c r="Y178" s="7" t="s">
        <v>91</v>
      </c>
      <c r="Z178" s="7" t="s">
        <v>32</v>
      </c>
      <c r="AA178" s="7">
        <v>6</v>
      </c>
      <c r="AB178" s="7"/>
      <c r="AC178" s="7"/>
    </row>
    <row r="179" spans="1:29">
      <c r="A179" s="7" t="s">
        <v>1181</v>
      </c>
      <c r="B179" s="7" t="s">
        <v>1458</v>
      </c>
      <c r="C179" s="7" t="s">
        <v>64</v>
      </c>
      <c r="D179" s="7" t="s">
        <v>1465</v>
      </c>
      <c r="E179" s="7" t="s">
        <v>93</v>
      </c>
      <c r="F179" s="7">
        <v>41400</v>
      </c>
      <c r="G179" s="7" t="s">
        <v>110</v>
      </c>
      <c r="H179" s="7" t="s">
        <v>37</v>
      </c>
      <c r="I179" s="7"/>
      <c r="J179" s="7"/>
      <c r="K179" s="7" t="s">
        <v>1187</v>
      </c>
      <c r="L179" s="7"/>
      <c r="M179" s="7" t="s">
        <v>1466</v>
      </c>
      <c r="N179" s="7">
        <v>27274</v>
      </c>
      <c r="O179" s="7">
        <v>2225</v>
      </c>
      <c r="P179" s="7">
        <v>12375</v>
      </c>
      <c r="Q179" s="7">
        <v>0</v>
      </c>
      <c r="R179" s="7">
        <v>0</v>
      </c>
      <c r="S179" s="7">
        <v>0</v>
      </c>
      <c r="T179" s="7">
        <v>0</v>
      </c>
      <c r="U179" s="7">
        <v>18596</v>
      </c>
      <c r="V179" s="7">
        <v>17976</v>
      </c>
      <c r="W179" s="7">
        <v>0</v>
      </c>
      <c r="X179" s="7" t="s">
        <v>47</v>
      </c>
      <c r="Y179" s="7" t="s">
        <v>91</v>
      </c>
      <c r="Z179" s="7" t="s">
        <v>32</v>
      </c>
      <c r="AA179" s="7">
        <v>6</v>
      </c>
      <c r="AB179" s="7"/>
      <c r="AC179" s="7"/>
    </row>
    <row r="180" spans="1:29">
      <c r="A180" s="7" t="s">
        <v>1181</v>
      </c>
      <c r="B180" s="7" t="s">
        <v>1458</v>
      </c>
      <c r="C180" s="7" t="s">
        <v>64</v>
      </c>
      <c r="D180" s="7" t="s">
        <v>1467</v>
      </c>
      <c r="E180" s="7" t="s">
        <v>93</v>
      </c>
      <c r="F180" s="7">
        <v>41400</v>
      </c>
      <c r="G180" s="7" t="s">
        <v>98</v>
      </c>
      <c r="H180" s="7" t="s">
        <v>37</v>
      </c>
      <c r="I180" s="7"/>
      <c r="J180" s="7"/>
      <c r="K180" s="7" t="s">
        <v>1184</v>
      </c>
      <c r="L180" s="7"/>
      <c r="M180" s="7" t="s">
        <v>1468</v>
      </c>
      <c r="N180" s="7">
        <v>27274</v>
      </c>
      <c r="O180" s="7">
        <v>2225</v>
      </c>
      <c r="P180" s="7">
        <v>12375</v>
      </c>
      <c r="Q180" s="7">
        <v>18596</v>
      </c>
      <c r="R180" s="7">
        <v>0</v>
      </c>
      <c r="S180" s="7">
        <v>0</v>
      </c>
      <c r="T180" s="7">
        <v>0</v>
      </c>
      <c r="U180" s="7">
        <v>0</v>
      </c>
      <c r="V180" s="7">
        <v>17976</v>
      </c>
      <c r="W180" s="7">
        <v>0</v>
      </c>
      <c r="X180" s="7" t="s">
        <v>42</v>
      </c>
      <c r="Y180" s="7" t="s">
        <v>98</v>
      </c>
      <c r="Z180" s="7" t="s">
        <v>91</v>
      </c>
      <c r="AA180" s="7">
        <v>6</v>
      </c>
      <c r="AB180" s="7"/>
      <c r="AC180" s="7"/>
    </row>
    <row r="181" spans="1:29">
      <c r="A181" s="7" t="s">
        <v>1181</v>
      </c>
      <c r="B181" s="7" t="s">
        <v>631</v>
      </c>
      <c r="C181" s="7" t="s">
        <v>64</v>
      </c>
      <c r="D181" s="7" t="s">
        <v>1469</v>
      </c>
      <c r="E181" s="7" t="s">
        <v>100</v>
      </c>
      <c r="F181" s="7">
        <v>39750</v>
      </c>
      <c r="G181" s="7" t="s">
        <v>98</v>
      </c>
      <c r="H181" s="7" t="s">
        <v>32</v>
      </c>
      <c r="I181" s="7" t="s">
        <v>24</v>
      </c>
      <c r="J181" s="7"/>
      <c r="K181" s="7" t="s">
        <v>1457</v>
      </c>
      <c r="L181" s="7"/>
      <c r="M181" s="7" t="s">
        <v>65</v>
      </c>
      <c r="N181" s="7">
        <v>29097</v>
      </c>
      <c r="O181" s="7">
        <v>2373</v>
      </c>
      <c r="P181" s="7">
        <v>13201</v>
      </c>
      <c r="Q181" s="7">
        <v>13888</v>
      </c>
      <c r="R181" s="7">
        <v>0</v>
      </c>
      <c r="S181" s="7">
        <v>14549</v>
      </c>
      <c r="T181" s="7">
        <v>7274</v>
      </c>
      <c r="U181" s="7">
        <v>0</v>
      </c>
      <c r="V181" s="7">
        <v>0</v>
      </c>
      <c r="W181" s="7">
        <v>0</v>
      </c>
      <c r="X181" s="7" t="s">
        <v>47</v>
      </c>
      <c r="Y181" s="7" t="s">
        <v>91</v>
      </c>
      <c r="Z181" s="7" t="s">
        <v>32</v>
      </c>
      <c r="AA181" s="7">
        <v>8</v>
      </c>
      <c r="AB181" s="7"/>
      <c r="AC181" s="7"/>
    </row>
    <row r="182" spans="1:29">
      <c r="A182" s="7" t="s">
        <v>1181</v>
      </c>
      <c r="B182" s="7" t="s">
        <v>1458</v>
      </c>
      <c r="C182" s="7" t="s">
        <v>64</v>
      </c>
      <c r="D182" s="7" t="s">
        <v>1470</v>
      </c>
      <c r="E182" s="7" t="s">
        <v>93</v>
      </c>
      <c r="F182" s="7">
        <v>38100</v>
      </c>
      <c r="G182" s="7" t="s">
        <v>98</v>
      </c>
      <c r="H182" s="7" t="s">
        <v>37</v>
      </c>
      <c r="I182" s="7"/>
      <c r="J182" s="7"/>
      <c r="K182" s="7" t="s">
        <v>1184</v>
      </c>
      <c r="L182" s="7"/>
      <c r="M182" s="7" t="s">
        <v>1471</v>
      </c>
      <c r="N182" s="7">
        <v>25100</v>
      </c>
      <c r="O182" s="7">
        <v>2048</v>
      </c>
      <c r="P182" s="7">
        <v>11389</v>
      </c>
      <c r="Q182" s="7">
        <v>17114</v>
      </c>
      <c r="R182" s="7">
        <v>0</v>
      </c>
      <c r="S182" s="7">
        <v>0</v>
      </c>
      <c r="T182" s="7">
        <v>0</v>
      </c>
      <c r="U182" s="7">
        <v>0</v>
      </c>
      <c r="V182" s="7">
        <v>16543</v>
      </c>
      <c r="W182" s="7">
        <v>0</v>
      </c>
      <c r="X182" s="7" t="s">
        <v>42</v>
      </c>
      <c r="Y182" s="7" t="s">
        <v>98</v>
      </c>
      <c r="Z182" s="7" t="s">
        <v>91</v>
      </c>
      <c r="AA182" s="7">
        <v>6</v>
      </c>
      <c r="AB182" s="7"/>
      <c r="AC182" s="7"/>
    </row>
    <row r="183" spans="1:29">
      <c r="A183" s="7" t="s">
        <v>1181</v>
      </c>
      <c r="B183" s="7" t="s">
        <v>631</v>
      </c>
      <c r="C183" s="7" t="s">
        <v>64</v>
      </c>
      <c r="D183" s="7" t="s">
        <v>1456</v>
      </c>
      <c r="E183" s="7" t="s">
        <v>648</v>
      </c>
      <c r="F183" s="7">
        <v>37125</v>
      </c>
      <c r="G183" s="7" t="s">
        <v>98</v>
      </c>
      <c r="H183" s="7" t="s">
        <v>32</v>
      </c>
      <c r="I183" s="7" t="s">
        <v>24</v>
      </c>
      <c r="J183" s="7"/>
      <c r="K183" s="7" t="s">
        <v>1457</v>
      </c>
      <c r="L183" s="7"/>
      <c r="M183" s="7" t="s">
        <v>1472</v>
      </c>
      <c r="N183" s="7">
        <v>27176</v>
      </c>
      <c r="O183" s="7">
        <v>2217</v>
      </c>
      <c r="P183" s="7">
        <v>12330</v>
      </c>
      <c r="Q183" s="7">
        <v>12971</v>
      </c>
      <c r="R183" s="7">
        <v>0</v>
      </c>
      <c r="S183" s="7">
        <v>13588</v>
      </c>
      <c r="T183" s="7">
        <v>6794</v>
      </c>
      <c r="U183" s="7">
        <v>0</v>
      </c>
      <c r="V183" s="7">
        <v>0</v>
      </c>
      <c r="W183" s="7">
        <v>0</v>
      </c>
      <c r="X183" s="7" t="s">
        <v>47</v>
      </c>
      <c r="Y183" s="7" t="s">
        <v>91</v>
      </c>
      <c r="Z183" s="7" t="s">
        <v>32</v>
      </c>
      <c r="AA183" s="7">
        <v>8</v>
      </c>
      <c r="AB183" s="7"/>
      <c r="AC183" s="7"/>
    </row>
    <row r="184" spans="1:29">
      <c r="A184" s="7" t="s">
        <v>1181</v>
      </c>
      <c r="B184" s="7" t="s">
        <v>1458</v>
      </c>
      <c r="C184" s="7" t="s">
        <v>64</v>
      </c>
      <c r="D184" s="7" t="s">
        <v>1473</v>
      </c>
      <c r="E184" s="7" t="s">
        <v>93</v>
      </c>
      <c r="F184" s="7">
        <v>35900</v>
      </c>
      <c r="G184" s="7" t="s">
        <v>98</v>
      </c>
      <c r="H184" s="7" t="s">
        <v>37</v>
      </c>
      <c r="I184" s="7"/>
      <c r="J184" s="7"/>
      <c r="K184" s="7" t="s">
        <v>1184</v>
      </c>
      <c r="L184" s="7"/>
      <c r="M184" s="7" t="s">
        <v>1474</v>
      </c>
      <c r="N184" s="7">
        <v>23651</v>
      </c>
      <c r="O184" s="7">
        <v>1929</v>
      </c>
      <c r="P184" s="7">
        <v>10731</v>
      </c>
      <c r="Q184" s="7">
        <v>16126</v>
      </c>
      <c r="R184" s="7">
        <v>0</v>
      </c>
      <c r="S184" s="7">
        <v>0</v>
      </c>
      <c r="T184" s="7">
        <v>0</v>
      </c>
      <c r="U184" s="7">
        <v>0</v>
      </c>
      <c r="V184" s="7">
        <v>15588</v>
      </c>
      <c r="W184" s="7">
        <v>0</v>
      </c>
      <c r="X184" s="7" t="s">
        <v>42</v>
      </c>
      <c r="Y184" s="7" t="s">
        <v>98</v>
      </c>
      <c r="Z184" s="7" t="s">
        <v>91</v>
      </c>
      <c r="AA184" s="7">
        <v>6</v>
      </c>
      <c r="AB184" s="7"/>
      <c r="AC184" s="7"/>
    </row>
    <row r="185" spans="1:29">
      <c r="A185" s="7" t="s">
        <v>1181</v>
      </c>
      <c r="B185" s="7" t="s">
        <v>1458</v>
      </c>
      <c r="C185" s="7" t="s">
        <v>64</v>
      </c>
      <c r="D185" s="7" t="s">
        <v>1475</v>
      </c>
      <c r="E185" s="7" t="s">
        <v>93</v>
      </c>
      <c r="F185" s="7">
        <v>35300</v>
      </c>
      <c r="G185" s="7" t="s">
        <v>32</v>
      </c>
      <c r="H185" s="7" t="s">
        <v>37</v>
      </c>
      <c r="I185" s="7"/>
      <c r="J185" s="7"/>
      <c r="K185" s="7" t="s">
        <v>1172</v>
      </c>
      <c r="L185" s="7"/>
      <c r="M185" s="7" t="s">
        <v>1476</v>
      </c>
      <c r="N185" s="7">
        <v>23256</v>
      </c>
      <c r="O185" s="7">
        <v>1897</v>
      </c>
      <c r="P185" s="7">
        <v>10552</v>
      </c>
      <c r="Q185" s="7">
        <v>0</v>
      </c>
      <c r="R185" s="7">
        <v>0</v>
      </c>
      <c r="S185" s="7">
        <v>15856</v>
      </c>
      <c r="T185" s="7">
        <v>0</v>
      </c>
      <c r="U185" s="7">
        <v>0</v>
      </c>
      <c r="V185" s="7">
        <v>15328</v>
      </c>
      <c r="W185" s="7">
        <v>0</v>
      </c>
      <c r="X185" s="7" t="s">
        <v>47</v>
      </c>
      <c r="Y185" s="7" t="s">
        <v>91</v>
      </c>
      <c r="Z185" s="7" t="s">
        <v>32</v>
      </c>
      <c r="AA185" s="7">
        <v>6</v>
      </c>
      <c r="AB185" s="7"/>
      <c r="AC185" s="7"/>
    </row>
    <row r="186" spans="1:29">
      <c r="A186" s="7" t="s">
        <v>1181</v>
      </c>
      <c r="B186" s="7" t="s">
        <v>1458</v>
      </c>
      <c r="C186" s="7" t="s">
        <v>64</v>
      </c>
      <c r="D186" s="7" t="s">
        <v>1477</v>
      </c>
      <c r="E186" s="7" t="s">
        <v>93</v>
      </c>
      <c r="F186" s="7">
        <v>35300</v>
      </c>
      <c r="G186" s="7" t="s">
        <v>110</v>
      </c>
      <c r="H186" s="7" t="s">
        <v>37</v>
      </c>
      <c r="I186" s="7"/>
      <c r="J186" s="7"/>
      <c r="K186" s="7" t="s">
        <v>1187</v>
      </c>
      <c r="L186" s="7"/>
      <c r="M186" s="7" t="s">
        <v>1478</v>
      </c>
      <c r="N186" s="7">
        <v>23256</v>
      </c>
      <c r="O186" s="7">
        <v>1897</v>
      </c>
      <c r="P186" s="7">
        <v>10552</v>
      </c>
      <c r="Q186" s="7">
        <v>0</v>
      </c>
      <c r="R186" s="7">
        <v>0</v>
      </c>
      <c r="S186" s="7">
        <v>0</v>
      </c>
      <c r="T186" s="7">
        <v>0</v>
      </c>
      <c r="U186" s="7">
        <v>15856</v>
      </c>
      <c r="V186" s="7">
        <v>15328</v>
      </c>
      <c r="W186" s="7">
        <v>0</v>
      </c>
      <c r="X186" s="7" t="s">
        <v>47</v>
      </c>
      <c r="Y186" s="7" t="s">
        <v>91</v>
      </c>
      <c r="Z186" s="7" t="s">
        <v>32</v>
      </c>
      <c r="AA186" s="7">
        <v>6</v>
      </c>
      <c r="AB186" s="7"/>
      <c r="AC186" s="7"/>
    </row>
    <row r="187" spans="1:29">
      <c r="A187" s="7" t="s">
        <v>1181</v>
      </c>
      <c r="B187" s="7" t="s">
        <v>1458</v>
      </c>
      <c r="C187" s="7" t="s">
        <v>64</v>
      </c>
      <c r="D187" s="7" t="s">
        <v>1479</v>
      </c>
      <c r="E187" s="7" t="s">
        <v>93</v>
      </c>
      <c r="F187" s="7">
        <v>35300</v>
      </c>
      <c r="G187" s="7" t="s">
        <v>98</v>
      </c>
      <c r="H187" s="7" t="s">
        <v>37</v>
      </c>
      <c r="I187" s="7"/>
      <c r="J187" s="7"/>
      <c r="K187" s="7" t="s">
        <v>1184</v>
      </c>
      <c r="L187" s="7"/>
      <c r="M187" s="7" t="s">
        <v>1480</v>
      </c>
      <c r="N187" s="7">
        <v>23256</v>
      </c>
      <c r="O187" s="7">
        <v>1897</v>
      </c>
      <c r="P187" s="7">
        <v>10552</v>
      </c>
      <c r="Q187" s="7">
        <v>15856</v>
      </c>
      <c r="R187" s="7">
        <v>0</v>
      </c>
      <c r="S187" s="7">
        <v>0</v>
      </c>
      <c r="T187" s="7">
        <v>0</v>
      </c>
      <c r="U187" s="7">
        <v>0</v>
      </c>
      <c r="V187" s="7">
        <v>15328</v>
      </c>
      <c r="W187" s="7">
        <v>0</v>
      </c>
      <c r="X187" s="7" t="s">
        <v>42</v>
      </c>
      <c r="Y187" s="7" t="s">
        <v>98</v>
      </c>
      <c r="Z187" s="7" t="s">
        <v>91</v>
      </c>
      <c r="AA187" s="7">
        <v>6</v>
      </c>
      <c r="AB187" s="7"/>
      <c r="AC187" s="7"/>
    </row>
    <row r="188" spans="1:29">
      <c r="A188" s="7" t="s">
        <v>1181</v>
      </c>
      <c r="B188" s="7" t="s">
        <v>1458</v>
      </c>
      <c r="C188" s="7" t="s">
        <v>64</v>
      </c>
      <c r="D188" s="7" t="s">
        <v>1461</v>
      </c>
      <c r="E188" s="7" t="s">
        <v>93</v>
      </c>
      <c r="F188" s="7">
        <v>35300</v>
      </c>
      <c r="G188" s="7" t="s">
        <v>110</v>
      </c>
      <c r="H188" s="7" t="s">
        <v>37</v>
      </c>
      <c r="I188" s="7"/>
      <c r="J188" s="7"/>
      <c r="K188" s="7" t="s">
        <v>1187</v>
      </c>
      <c r="L188" s="7"/>
      <c r="M188" s="7" t="s">
        <v>1481</v>
      </c>
      <c r="N188" s="7">
        <v>23256</v>
      </c>
      <c r="O188" s="7">
        <v>1897</v>
      </c>
      <c r="P188" s="7">
        <v>10552</v>
      </c>
      <c r="Q188" s="7">
        <v>0</v>
      </c>
      <c r="R188" s="7">
        <v>0</v>
      </c>
      <c r="S188" s="7">
        <v>0</v>
      </c>
      <c r="T188" s="7">
        <v>0</v>
      </c>
      <c r="U188" s="7">
        <v>15856</v>
      </c>
      <c r="V188" s="7">
        <v>15328</v>
      </c>
      <c r="W188" s="7">
        <v>0</v>
      </c>
      <c r="X188" s="7" t="s">
        <v>47</v>
      </c>
      <c r="Y188" s="7" t="s">
        <v>91</v>
      </c>
      <c r="Z188" s="7" t="s">
        <v>32</v>
      </c>
      <c r="AA188" s="7">
        <v>6</v>
      </c>
      <c r="AB188" s="7"/>
      <c r="AC188" s="7"/>
    </row>
    <row r="189" spans="1:29">
      <c r="A189" s="7" t="s">
        <v>1181</v>
      </c>
      <c r="B189" s="7" t="s">
        <v>1458</v>
      </c>
      <c r="C189" s="7" t="s">
        <v>64</v>
      </c>
      <c r="D189" s="7" t="s">
        <v>1482</v>
      </c>
      <c r="E189" s="7" t="s">
        <v>646</v>
      </c>
      <c r="F189" s="7">
        <v>35300</v>
      </c>
      <c r="G189" s="7" t="s">
        <v>32</v>
      </c>
      <c r="H189" s="7" t="s">
        <v>37</v>
      </c>
      <c r="I189" s="7"/>
      <c r="J189" s="7"/>
      <c r="K189" s="7" t="s">
        <v>1172</v>
      </c>
      <c r="L189" s="7" t="s">
        <v>1173</v>
      </c>
      <c r="M189" s="7" t="s">
        <v>1483</v>
      </c>
      <c r="N189" s="7">
        <v>23256</v>
      </c>
      <c r="O189" s="7">
        <v>1897</v>
      </c>
      <c r="P189" s="7">
        <v>10552</v>
      </c>
      <c r="Q189" s="7">
        <v>0</v>
      </c>
      <c r="R189" s="7">
        <v>0</v>
      </c>
      <c r="S189" s="7">
        <v>15856</v>
      </c>
      <c r="T189" s="7">
        <v>0</v>
      </c>
      <c r="U189" s="7">
        <v>0</v>
      </c>
      <c r="V189" s="7">
        <v>15328</v>
      </c>
      <c r="W189" s="7">
        <v>0</v>
      </c>
      <c r="X189" s="7" t="s">
        <v>47</v>
      </c>
      <c r="Y189" s="7" t="s">
        <v>91</v>
      </c>
      <c r="Z189" s="7" t="s">
        <v>32</v>
      </c>
      <c r="AA189" s="7">
        <v>6</v>
      </c>
      <c r="AB189" s="7"/>
      <c r="AC189" s="7"/>
    </row>
    <row r="190" spans="1:29">
      <c r="A190" s="7" t="s">
        <v>1181</v>
      </c>
      <c r="B190" s="7" t="s">
        <v>1458</v>
      </c>
      <c r="C190" s="7" t="s">
        <v>64</v>
      </c>
      <c r="D190" s="7" t="s">
        <v>1484</v>
      </c>
      <c r="E190" s="7" t="s">
        <v>93</v>
      </c>
      <c r="F190" s="7">
        <v>35300</v>
      </c>
      <c r="G190" s="7" t="s">
        <v>110</v>
      </c>
      <c r="H190" s="7" t="s">
        <v>37</v>
      </c>
      <c r="I190" s="7"/>
      <c r="J190" s="7"/>
      <c r="K190" s="7" t="s">
        <v>1187</v>
      </c>
      <c r="L190" s="7"/>
      <c r="M190" s="7" t="s">
        <v>1485</v>
      </c>
      <c r="N190" s="7">
        <v>23256</v>
      </c>
      <c r="O190" s="7">
        <v>1897</v>
      </c>
      <c r="P190" s="7">
        <v>10552</v>
      </c>
      <c r="Q190" s="7">
        <v>0</v>
      </c>
      <c r="R190" s="7">
        <v>0</v>
      </c>
      <c r="S190" s="7">
        <v>0</v>
      </c>
      <c r="T190" s="7">
        <v>0</v>
      </c>
      <c r="U190" s="7">
        <v>15856</v>
      </c>
      <c r="V190" s="7">
        <v>15328</v>
      </c>
      <c r="W190" s="7">
        <v>0</v>
      </c>
      <c r="X190" s="7" t="s">
        <v>47</v>
      </c>
      <c r="Y190" s="7" t="s">
        <v>91</v>
      </c>
      <c r="Z190" s="7" t="s">
        <v>32</v>
      </c>
      <c r="AA190" s="7">
        <v>6</v>
      </c>
      <c r="AB190" s="7"/>
      <c r="AC190" s="7"/>
    </row>
    <row r="191" spans="1:29">
      <c r="A191" s="7" t="s">
        <v>1181</v>
      </c>
      <c r="B191" s="7" t="s">
        <v>631</v>
      </c>
      <c r="C191" s="7" t="s">
        <v>64</v>
      </c>
      <c r="D191" s="7" t="s">
        <v>1469</v>
      </c>
      <c r="E191" s="7" t="s">
        <v>100</v>
      </c>
      <c r="F191" s="7">
        <v>35000</v>
      </c>
      <c r="G191" s="7" t="s">
        <v>98</v>
      </c>
      <c r="H191" s="7" t="s">
        <v>32</v>
      </c>
      <c r="I191" s="7" t="s">
        <v>24</v>
      </c>
      <c r="J191" s="7"/>
      <c r="K191" s="7" t="s">
        <v>1457</v>
      </c>
      <c r="L191" s="7"/>
      <c r="M191" s="7" t="s">
        <v>1486</v>
      </c>
      <c r="N191" s="7">
        <v>25620</v>
      </c>
      <c r="O191" s="7">
        <v>2090</v>
      </c>
      <c r="P191" s="7">
        <v>11624</v>
      </c>
      <c r="Q191" s="7">
        <v>12228</v>
      </c>
      <c r="R191" s="7">
        <v>0</v>
      </c>
      <c r="S191" s="7">
        <v>12810</v>
      </c>
      <c r="T191" s="7">
        <v>6405</v>
      </c>
      <c r="U191" s="7">
        <v>0</v>
      </c>
      <c r="V191" s="7">
        <v>0</v>
      </c>
      <c r="W191" s="7">
        <v>0</v>
      </c>
      <c r="X191" s="7" t="s">
        <v>47</v>
      </c>
      <c r="Y191" s="7" t="s">
        <v>91</v>
      </c>
      <c r="Z191" s="7" t="s">
        <v>32</v>
      </c>
      <c r="AA191" s="7">
        <v>8</v>
      </c>
      <c r="AB191" s="7"/>
      <c r="AC191" s="7"/>
    </row>
    <row r="192" spans="1:29">
      <c r="A192" s="7" t="s">
        <v>1181</v>
      </c>
      <c r="B192" s="7" t="s">
        <v>1458</v>
      </c>
      <c r="C192" s="7" t="s">
        <v>64</v>
      </c>
      <c r="D192" s="7" t="s">
        <v>651</v>
      </c>
      <c r="E192" s="7" t="s">
        <v>651</v>
      </c>
      <c r="F192" s="7">
        <v>33400</v>
      </c>
      <c r="G192" s="7" t="s">
        <v>110</v>
      </c>
      <c r="H192" s="7" t="s">
        <v>37</v>
      </c>
      <c r="I192" s="7"/>
      <c r="J192" s="7"/>
      <c r="K192" s="7" t="s">
        <v>1187</v>
      </c>
      <c r="L192" s="7" t="s">
        <v>1173</v>
      </c>
      <c r="M192" s="7" t="s">
        <v>1487</v>
      </c>
      <c r="N192" s="7">
        <v>22004</v>
      </c>
      <c r="O192" s="7">
        <v>1795</v>
      </c>
      <c r="P192" s="7">
        <v>9984</v>
      </c>
      <c r="Q192" s="7">
        <v>0</v>
      </c>
      <c r="R192" s="7">
        <v>0</v>
      </c>
      <c r="S192" s="7">
        <v>0</v>
      </c>
      <c r="T192" s="7">
        <v>0</v>
      </c>
      <c r="U192" s="7">
        <v>15003</v>
      </c>
      <c r="V192" s="7">
        <v>14503</v>
      </c>
      <c r="W192" s="7">
        <v>0</v>
      </c>
      <c r="X192" s="7" t="s">
        <v>47</v>
      </c>
      <c r="Y192" s="7" t="s">
        <v>91</v>
      </c>
      <c r="Z192" s="7" t="s">
        <v>32</v>
      </c>
      <c r="AA192" s="7">
        <v>6</v>
      </c>
      <c r="AB192" s="7"/>
      <c r="AC192" s="7"/>
    </row>
    <row r="193" spans="1:29">
      <c r="A193" s="7" t="s">
        <v>1181</v>
      </c>
      <c r="B193" s="7" t="s">
        <v>631</v>
      </c>
      <c r="C193" s="7" t="s">
        <v>64</v>
      </c>
      <c r="D193" s="7" t="s">
        <v>1469</v>
      </c>
      <c r="E193" s="7" t="s">
        <v>100</v>
      </c>
      <c r="F193" s="7">
        <v>32000</v>
      </c>
      <c r="G193" s="7" t="s">
        <v>98</v>
      </c>
      <c r="H193" s="7" t="s">
        <v>32</v>
      </c>
      <c r="I193" s="7" t="s">
        <v>24</v>
      </c>
      <c r="J193" s="7"/>
      <c r="K193" s="7" t="s">
        <v>1457</v>
      </c>
      <c r="L193" s="7"/>
      <c r="M193" s="7" t="s">
        <v>264</v>
      </c>
      <c r="N193" s="7">
        <v>23424</v>
      </c>
      <c r="O193" s="7">
        <v>1911</v>
      </c>
      <c r="P193" s="7">
        <v>10627</v>
      </c>
      <c r="Q193" s="7">
        <v>11180</v>
      </c>
      <c r="R193" s="7">
        <v>0</v>
      </c>
      <c r="S193" s="7">
        <v>11712</v>
      </c>
      <c r="T193" s="7">
        <v>5856</v>
      </c>
      <c r="U193" s="7">
        <v>0</v>
      </c>
      <c r="V193" s="7">
        <v>0</v>
      </c>
      <c r="W193" s="7">
        <v>0</v>
      </c>
      <c r="X193" s="7" t="s">
        <v>47</v>
      </c>
      <c r="Y193" s="7" t="s">
        <v>91</v>
      </c>
      <c r="Z193" s="7" t="s">
        <v>32</v>
      </c>
      <c r="AA193" s="7">
        <v>8</v>
      </c>
      <c r="AB193" s="7"/>
      <c r="AC193" s="7"/>
    </row>
    <row r="194" spans="1:29">
      <c r="A194" s="7" t="s">
        <v>1181</v>
      </c>
      <c r="B194" s="7" t="s">
        <v>1458</v>
      </c>
      <c r="C194" s="7" t="s">
        <v>64</v>
      </c>
      <c r="D194" s="7" t="s">
        <v>1488</v>
      </c>
      <c r="E194" s="7" t="s">
        <v>653</v>
      </c>
      <c r="F194" s="7">
        <v>30700</v>
      </c>
      <c r="G194" s="7" t="s">
        <v>98</v>
      </c>
      <c r="H194" s="7" t="s">
        <v>37</v>
      </c>
      <c r="I194" s="7"/>
      <c r="J194" s="7"/>
      <c r="K194" s="7" t="s">
        <v>1184</v>
      </c>
      <c r="L194" s="7"/>
      <c r="M194" s="7" t="s">
        <v>1489</v>
      </c>
      <c r="N194" s="7">
        <v>20225</v>
      </c>
      <c r="O194" s="7">
        <v>1650</v>
      </c>
      <c r="P194" s="7">
        <v>9177</v>
      </c>
      <c r="Q194" s="7">
        <v>13790</v>
      </c>
      <c r="R194" s="7">
        <v>0</v>
      </c>
      <c r="S194" s="7">
        <v>0</v>
      </c>
      <c r="T194" s="7">
        <v>0</v>
      </c>
      <c r="U194" s="7">
        <v>0</v>
      </c>
      <c r="V194" s="7">
        <v>13330</v>
      </c>
      <c r="W194" s="7">
        <v>0</v>
      </c>
      <c r="X194" s="7" t="s">
        <v>42</v>
      </c>
      <c r="Y194" s="7" t="s">
        <v>98</v>
      </c>
      <c r="Z194" s="7" t="s">
        <v>91</v>
      </c>
      <c r="AA194" s="7">
        <v>6</v>
      </c>
      <c r="AB194" s="7"/>
      <c r="AC194" s="7"/>
    </row>
    <row r="195" spans="1:29">
      <c r="A195" s="7" t="s">
        <v>1181</v>
      </c>
      <c r="B195" s="7" t="s">
        <v>631</v>
      </c>
      <c r="C195" s="7" t="s">
        <v>64</v>
      </c>
      <c r="D195" s="7" t="s">
        <v>1469</v>
      </c>
      <c r="E195" s="7" t="s">
        <v>100</v>
      </c>
      <c r="F195" s="7">
        <v>29500</v>
      </c>
      <c r="G195" s="7" t="s">
        <v>98</v>
      </c>
      <c r="H195" s="7" t="s">
        <v>32</v>
      </c>
      <c r="I195" s="7" t="s">
        <v>24</v>
      </c>
      <c r="J195" s="7"/>
      <c r="K195" s="7" t="s">
        <v>1457</v>
      </c>
      <c r="L195" s="7"/>
      <c r="M195" s="7" t="s">
        <v>1490</v>
      </c>
      <c r="N195" s="7">
        <v>21594</v>
      </c>
      <c r="O195" s="7">
        <v>1761</v>
      </c>
      <c r="P195" s="7">
        <v>9797</v>
      </c>
      <c r="Q195" s="7">
        <v>10307</v>
      </c>
      <c r="R195" s="7">
        <v>0</v>
      </c>
      <c r="S195" s="7">
        <v>10797</v>
      </c>
      <c r="T195" s="7">
        <v>5399</v>
      </c>
      <c r="U195" s="7">
        <v>0</v>
      </c>
      <c r="V195" s="7">
        <v>0</v>
      </c>
      <c r="W195" s="7">
        <v>0</v>
      </c>
      <c r="X195" s="7" t="s">
        <v>47</v>
      </c>
      <c r="Y195" s="7" t="s">
        <v>91</v>
      </c>
      <c r="Z195" s="7" t="s">
        <v>32</v>
      </c>
      <c r="AA195" s="7">
        <v>8</v>
      </c>
      <c r="AB195" s="7"/>
      <c r="AC195" s="7"/>
    </row>
    <row r="196" spans="1:29">
      <c r="A196" s="7" t="s">
        <v>1181</v>
      </c>
      <c r="B196" s="7" t="s">
        <v>631</v>
      </c>
      <c r="C196" s="7" t="s">
        <v>64</v>
      </c>
      <c r="D196" s="7" t="s">
        <v>1456</v>
      </c>
      <c r="E196" s="7" t="s">
        <v>648</v>
      </c>
      <c r="F196" s="7">
        <v>27500</v>
      </c>
      <c r="G196" s="7" t="s">
        <v>98</v>
      </c>
      <c r="H196" s="7" t="s">
        <v>32</v>
      </c>
      <c r="I196" s="7" t="s">
        <v>24</v>
      </c>
      <c r="J196" s="7"/>
      <c r="K196" s="7" t="s">
        <v>1457</v>
      </c>
      <c r="L196" s="7"/>
      <c r="M196" s="7" t="s">
        <v>1491</v>
      </c>
      <c r="N196" s="7">
        <v>20130</v>
      </c>
      <c r="O196" s="7">
        <v>1642</v>
      </c>
      <c r="P196" s="7">
        <v>9133</v>
      </c>
      <c r="Q196" s="7">
        <v>9608</v>
      </c>
      <c r="R196" s="7">
        <v>0</v>
      </c>
      <c r="S196" s="7">
        <v>10065</v>
      </c>
      <c r="T196" s="7">
        <v>5033</v>
      </c>
      <c r="U196" s="7">
        <v>0</v>
      </c>
      <c r="V196" s="7">
        <v>0</v>
      </c>
      <c r="W196" s="7">
        <v>0</v>
      </c>
      <c r="X196" s="7" t="s">
        <v>47</v>
      </c>
      <c r="Y196" s="7" t="s">
        <v>91</v>
      </c>
      <c r="Z196" s="7" t="s">
        <v>32</v>
      </c>
      <c r="AA196" s="7">
        <v>8</v>
      </c>
      <c r="AB196" s="7"/>
      <c r="AC196" s="7"/>
    </row>
    <row r="197" spans="1:29">
      <c r="A197" s="7" t="s">
        <v>1181</v>
      </c>
      <c r="B197" s="7" t="s">
        <v>1182</v>
      </c>
      <c r="C197" s="7" t="s">
        <v>50</v>
      </c>
      <c r="D197" s="7" t="s">
        <v>1492</v>
      </c>
      <c r="E197" s="7" t="s">
        <v>93</v>
      </c>
      <c r="F197" s="7">
        <v>42100</v>
      </c>
      <c r="G197" s="7" t="s">
        <v>110</v>
      </c>
      <c r="H197" s="7" t="s">
        <v>37</v>
      </c>
      <c r="I197" s="7"/>
      <c r="J197" s="7"/>
      <c r="K197" s="7" t="s">
        <v>1187</v>
      </c>
      <c r="L197" s="7"/>
      <c r="M197" s="7" t="s">
        <v>1493</v>
      </c>
      <c r="N197" s="7">
        <v>11556</v>
      </c>
      <c r="O197" s="7">
        <v>943</v>
      </c>
      <c r="P197" s="7">
        <v>2381</v>
      </c>
      <c r="Q197" s="7">
        <v>0</v>
      </c>
      <c r="R197" s="7">
        <v>0</v>
      </c>
      <c r="S197" s="7">
        <v>0</v>
      </c>
      <c r="T197" s="7">
        <v>0</v>
      </c>
      <c r="U197" s="7">
        <v>7879</v>
      </c>
      <c r="V197" s="7">
        <v>6303</v>
      </c>
      <c r="W197" s="7">
        <v>0</v>
      </c>
      <c r="X197" s="7" t="s">
        <v>47</v>
      </c>
      <c r="Y197" s="7">
        <v>0</v>
      </c>
      <c r="Z197" s="7">
        <v>0</v>
      </c>
      <c r="AA197" s="7">
        <v>6</v>
      </c>
      <c r="AB197" s="7"/>
      <c r="AC197" s="7"/>
    </row>
    <row r="198" spans="1:29">
      <c r="A198" s="7" t="s">
        <v>1168</v>
      </c>
      <c r="B198" s="7" t="s">
        <v>1169</v>
      </c>
      <c r="C198" s="7" t="s">
        <v>50</v>
      </c>
      <c r="D198" s="7" t="s">
        <v>928</v>
      </c>
      <c r="E198" s="7" t="s">
        <v>701</v>
      </c>
      <c r="F198" s="7">
        <v>41400</v>
      </c>
      <c r="G198" s="7" t="s">
        <v>32</v>
      </c>
      <c r="H198" s="7" t="s">
        <v>37</v>
      </c>
      <c r="I198" s="7"/>
      <c r="J198" s="7"/>
      <c r="K198" s="7" t="s">
        <v>1172</v>
      </c>
      <c r="L198" s="7" t="s">
        <v>1173</v>
      </c>
      <c r="M198" s="7" t="s">
        <v>1494</v>
      </c>
      <c r="N198" s="7">
        <v>11364</v>
      </c>
      <c r="O198" s="7">
        <v>0</v>
      </c>
      <c r="P198" s="7">
        <v>1561</v>
      </c>
      <c r="Q198" s="7">
        <v>0</v>
      </c>
      <c r="R198" s="7">
        <v>0</v>
      </c>
      <c r="S198" s="7">
        <v>20145</v>
      </c>
      <c r="T198" s="7">
        <v>0</v>
      </c>
      <c r="U198" s="7">
        <v>0</v>
      </c>
      <c r="V198" s="7">
        <v>6199</v>
      </c>
      <c r="W198" s="7">
        <v>0</v>
      </c>
      <c r="X198" s="7" t="s">
        <v>32</v>
      </c>
      <c r="Y198" s="7">
        <v>0</v>
      </c>
      <c r="Z198" s="7">
        <v>0</v>
      </c>
      <c r="AA198" s="7">
        <v>6</v>
      </c>
      <c r="AB198" s="7"/>
      <c r="AC198" s="7"/>
    </row>
    <row r="199" spans="1:29">
      <c r="A199" s="7" t="s">
        <v>1168</v>
      </c>
      <c r="B199" s="7" t="s">
        <v>1169</v>
      </c>
      <c r="C199" s="7" t="s">
        <v>50</v>
      </c>
      <c r="D199" s="7" t="s">
        <v>928</v>
      </c>
      <c r="E199" s="7" t="s">
        <v>704</v>
      </c>
      <c r="F199" s="7">
        <v>41400</v>
      </c>
      <c r="G199" s="7" t="s">
        <v>98</v>
      </c>
      <c r="H199" s="7" t="s">
        <v>37</v>
      </c>
      <c r="I199" s="7"/>
      <c r="J199" s="7"/>
      <c r="K199" s="7" t="s">
        <v>1184</v>
      </c>
      <c r="L199" s="7" t="s">
        <v>1173</v>
      </c>
      <c r="M199" s="7" t="s">
        <v>1495</v>
      </c>
      <c r="N199" s="7">
        <v>11364</v>
      </c>
      <c r="O199" s="7">
        <v>0</v>
      </c>
      <c r="P199" s="7">
        <v>1561</v>
      </c>
      <c r="Q199" s="7">
        <v>20145</v>
      </c>
      <c r="R199" s="7">
        <v>0</v>
      </c>
      <c r="S199" s="7">
        <v>0</v>
      </c>
      <c r="T199" s="7">
        <v>0</v>
      </c>
      <c r="U199" s="7">
        <v>0</v>
      </c>
      <c r="V199" s="7">
        <v>6199</v>
      </c>
      <c r="W199" s="7">
        <v>0</v>
      </c>
      <c r="X199" s="7" t="s">
        <v>47</v>
      </c>
      <c r="Y199" s="7">
        <v>0</v>
      </c>
      <c r="Z199" s="7">
        <v>0</v>
      </c>
      <c r="AA199" s="7">
        <v>6</v>
      </c>
      <c r="AB199" s="7"/>
      <c r="AC199" s="7"/>
    </row>
    <row r="200" spans="1:29">
      <c r="A200" s="7" t="s">
        <v>1168</v>
      </c>
      <c r="B200" s="7" t="s">
        <v>1193</v>
      </c>
      <c r="C200" s="7" t="s">
        <v>50</v>
      </c>
      <c r="D200" s="7" t="s">
        <v>928</v>
      </c>
      <c r="E200" s="7" t="s">
        <v>701</v>
      </c>
      <c r="F200" s="7">
        <v>41400</v>
      </c>
      <c r="G200" s="7" t="s">
        <v>110</v>
      </c>
      <c r="H200" s="7" t="s">
        <v>37</v>
      </c>
      <c r="I200" s="7"/>
      <c r="J200" s="7"/>
      <c r="K200" s="7" t="s">
        <v>1187</v>
      </c>
      <c r="L200" s="7" t="s">
        <v>1173</v>
      </c>
      <c r="M200" s="7" t="s">
        <v>1496</v>
      </c>
      <c r="N200" s="7">
        <v>11364</v>
      </c>
      <c r="O200" s="7">
        <v>0</v>
      </c>
      <c r="P200" s="7">
        <v>1561</v>
      </c>
      <c r="Q200" s="7">
        <v>0</v>
      </c>
      <c r="R200" s="7">
        <v>0</v>
      </c>
      <c r="S200" s="7">
        <v>0</v>
      </c>
      <c r="T200" s="7">
        <v>0</v>
      </c>
      <c r="U200" s="7">
        <v>20662</v>
      </c>
      <c r="V200" s="7">
        <v>6199</v>
      </c>
      <c r="W200" s="7">
        <v>0</v>
      </c>
      <c r="X200" s="7" t="s">
        <v>47</v>
      </c>
      <c r="Y200" s="7">
        <v>0</v>
      </c>
      <c r="Z200" s="7">
        <v>0</v>
      </c>
      <c r="AA200" s="7">
        <v>6</v>
      </c>
      <c r="AB200" s="7"/>
      <c r="AC200" s="7"/>
    </row>
    <row r="201" spans="1:29">
      <c r="A201" s="7" t="s">
        <v>1181</v>
      </c>
      <c r="B201" s="7" t="s">
        <v>1182</v>
      </c>
      <c r="C201" s="7" t="s">
        <v>50</v>
      </c>
      <c r="D201" s="7" t="s">
        <v>1497</v>
      </c>
      <c r="E201" s="7" t="s">
        <v>93</v>
      </c>
      <c r="F201" s="7">
        <v>41400</v>
      </c>
      <c r="G201" s="7" t="s">
        <v>32</v>
      </c>
      <c r="H201" s="7" t="s">
        <v>37</v>
      </c>
      <c r="I201" s="7"/>
      <c r="J201" s="7"/>
      <c r="K201" s="7" t="s">
        <v>1172</v>
      </c>
      <c r="L201" s="7"/>
      <c r="M201" s="7" t="s">
        <v>51</v>
      </c>
      <c r="N201" s="7">
        <v>11364</v>
      </c>
      <c r="O201" s="7">
        <v>927</v>
      </c>
      <c r="P201" s="7">
        <v>2342</v>
      </c>
      <c r="Q201" s="7">
        <v>0</v>
      </c>
      <c r="R201" s="7">
        <v>0</v>
      </c>
      <c r="S201" s="7">
        <v>7748</v>
      </c>
      <c r="T201" s="7">
        <v>0</v>
      </c>
      <c r="U201" s="7">
        <v>0</v>
      </c>
      <c r="V201" s="7">
        <v>6199</v>
      </c>
      <c r="W201" s="7">
        <v>0</v>
      </c>
      <c r="X201" s="7" t="s">
        <v>37</v>
      </c>
      <c r="Y201" s="7">
        <v>0</v>
      </c>
      <c r="Z201" s="7">
        <v>0</v>
      </c>
      <c r="AA201" s="7">
        <v>6</v>
      </c>
      <c r="AB201" s="7"/>
      <c r="AC201" s="7"/>
    </row>
    <row r="202" spans="1:29">
      <c r="A202" s="7" t="s">
        <v>1181</v>
      </c>
      <c r="B202" s="7" t="s">
        <v>1182</v>
      </c>
      <c r="C202" s="7" t="s">
        <v>50</v>
      </c>
      <c r="D202" s="7" t="s">
        <v>1498</v>
      </c>
      <c r="E202" s="7" t="s">
        <v>93</v>
      </c>
      <c r="F202" s="7">
        <v>41400</v>
      </c>
      <c r="G202" s="7" t="s">
        <v>98</v>
      </c>
      <c r="H202" s="7" t="s">
        <v>37</v>
      </c>
      <c r="I202" s="7"/>
      <c r="J202" s="7"/>
      <c r="K202" s="7" t="s">
        <v>1184</v>
      </c>
      <c r="L202" s="7"/>
      <c r="M202" s="7" t="s">
        <v>1499</v>
      </c>
      <c r="N202" s="7">
        <v>11364</v>
      </c>
      <c r="O202" s="7">
        <v>927</v>
      </c>
      <c r="P202" s="7">
        <v>2342</v>
      </c>
      <c r="Q202" s="7">
        <v>7748</v>
      </c>
      <c r="R202" s="7">
        <v>0</v>
      </c>
      <c r="S202" s="7">
        <v>0</v>
      </c>
      <c r="T202" s="7">
        <v>0</v>
      </c>
      <c r="U202" s="7">
        <v>0</v>
      </c>
      <c r="V202" s="7">
        <v>6199</v>
      </c>
      <c r="W202" s="7">
        <v>0</v>
      </c>
      <c r="X202" s="7" t="s">
        <v>32</v>
      </c>
      <c r="Y202" s="7">
        <v>0</v>
      </c>
      <c r="Z202" s="7">
        <v>0</v>
      </c>
      <c r="AA202" s="7">
        <v>6</v>
      </c>
      <c r="AB202" s="7"/>
      <c r="AC202" s="7"/>
    </row>
    <row r="203" spans="1:29">
      <c r="A203" s="7" t="s">
        <v>1181</v>
      </c>
      <c r="B203" s="7" t="s">
        <v>1182</v>
      </c>
      <c r="C203" s="7" t="s">
        <v>50</v>
      </c>
      <c r="D203" s="7" t="s">
        <v>1500</v>
      </c>
      <c r="E203" s="7" t="s">
        <v>93</v>
      </c>
      <c r="F203" s="7">
        <v>41400</v>
      </c>
      <c r="G203" s="7" t="s">
        <v>98</v>
      </c>
      <c r="H203" s="7" t="s">
        <v>37</v>
      </c>
      <c r="I203" s="7"/>
      <c r="J203" s="7"/>
      <c r="K203" s="7" t="s">
        <v>1184</v>
      </c>
      <c r="L203" s="7"/>
      <c r="M203" s="7" t="s">
        <v>1501</v>
      </c>
      <c r="N203" s="7">
        <v>11364</v>
      </c>
      <c r="O203" s="7">
        <v>927</v>
      </c>
      <c r="P203" s="7">
        <v>2342</v>
      </c>
      <c r="Q203" s="7">
        <v>7748</v>
      </c>
      <c r="R203" s="7">
        <v>0</v>
      </c>
      <c r="S203" s="7">
        <v>0</v>
      </c>
      <c r="T203" s="7">
        <v>0</v>
      </c>
      <c r="U203" s="7">
        <v>0</v>
      </c>
      <c r="V203" s="7">
        <v>6199</v>
      </c>
      <c r="W203" s="7">
        <v>0</v>
      </c>
      <c r="X203" s="7" t="s">
        <v>32</v>
      </c>
      <c r="Y203" s="7">
        <v>0</v>
      </c>
      <c r="Z203" s="7">
        <v>0</v>
      </c>
      <c r="AA203" s="7">
        <v>6</v>
      </c>
      <c r="AB203" s="7"/>
      <c r="AC203" s="7"/>
    </row>
    <row r="204" spans="1:29">
      <c r="A204" s="7" t="s">
        <v>1181</v>
      </c>
      <c r="B204" s="7" t="s">
        <v>1182</v>
      </c>
      <c r="C204" s="7" t="s">
        <v>50</v>
      </c>
      <c r="D204" s="7" t="s">
        <v>1502</v>
      </c>
      <c r="E204" s="7" t="s">
        <v>93</v>
      </c>
      <c r="F204" s="7">
        <v>41400</v>
      </c>
      <c r="G204" s="7" t="s">
        <v>24</v>
      </c>
      <c r="H204" s="7" t="s">
        <v>37</v>
      </c>
      <c r="I204" s="7"/>
      <c r="J204" s="7"/>
      <c r="K204" s="7" t="s">
        <v>1191</v>
      </c>
      <c r="L204" s="7"/>
      <c r="M204" s="7" t="s">
        <v>1503</v>
      </c>
      <c r="N204" s="7">
        <v>11364</v>
      </c>
      <c r="O204" s="7">
        <v>927</v>
      </c>
      <c r="P204" s="7">
        <v>2342</v>
      </c>
      <c r="Q204" s="7">
        <v>0</v>
      </c>
      <c r="R204" s="7">
        <v>0</v>
      </c>
      <c r="S204" s="7">
        <v>0</v>
      </c>
      <c r="T204" s="7">
        <v>7748</v>
      </c>
      <c r="U204" s="7">
        <v>0</v>
      </c>
      <c r="V204" s="7">
        <v>6199</v>
      </c>
      <c r="W204" s="7">
        <v>0</v>
      </c>
      <c r="X204" s="7" t="s">
        <v>37</v>
      </c>
      <c r="Y204" s="7">
        <v>0</v>
      </c>
      <c r="Z204" s="7">
        <v>0</v>
      </c>
      <c r="AA204" s="7">
        <v>6</v>
      </c>
      <c r="AB204" s="7"/>
      <c r="AC204" s="7"/>
    </row>
    <row r="205" spans="1:29">
      <c r="A205" s="7" t="s">
        <v>1168</v>
      </c>
      <c r="B205" s="7" t="s">
        <v>1205</v>
      </c>
      <c r="C205" s="7" t="s">
        <v>50</v>
      </c>
      <c r="D205" s="7" t="s">
        <v>928</v>
      </c>
      <c r="E205" s="7" t="s">
        <v>702</v>
      </c>
      <c r="F205" s="7">
        <v>38100</v>
      </c>
      <c r="G205" s="7" t="s">
        <v>98</v>
      </c>
      <c r="H205" s="7" t="s">
        <v>110</v>
      </c>
      <c r="I205" s="7" t="s">
        <v>32</v>
      </c>
      <c r="J205" s="7" t="s">
        <v>37</v>
      </c>
      <c r="K205" s="7" t="s">
        <v>1331</v>
      </c>
      <c r="L205" s="7" t="s">
        <v>1173</v>
      </c>
      <c r="M205" s="7" t="s">
        <v>1504</v>
      </c>
      <c r="N205" s="7">
        <v>10458</v>
      </c>
      <c r="O205" s="7">
        <v>0</v>
      </c>
      <c r="P205" s="7">
        <v>3376</v>
      </c>
      <c r="Q205" s="7">
        <v>4753</v>
      </c>
      <c r="R205" s="7">
        <v>0</v>
      </c>
      <c r="S205" s="7">
        <v>4753</v>
      </c>
      <c r="T205" s="7">
        <v>0</v>
      </c>
      <c r="U205" s="7">
        <v>4753</v>
      </c>
      <c r="V205" s="7">
        <v>4753</v>
      </c>
      <c r="W205" s="7">
        <v>0</v>
      </c>
      <c r="X205" s="7" t="s">
        <v>98</v>
      </c>
      <c r="Y205" s="7">
        <v>0</v>
      </c>
      <c r="Z205" s="7">
        <v>0</v>
      </c>
      <c r="AA205" s="7">
        <v>6</v>
      </c>
      <c r="AB205" s="7"/>
      <c r="AC205" s="7"/>
    </row>
    <row r="206" spans="1:29">
      <c r="A206" s="7" t="s">
        <v>1168</v>
      </c>
      <c r="B206" s="7" t="s">
        <v>1176</v>
      </c>
      <c r="C206" s="7" t="s">
        <v>50</v>
      </c>
      <c r="D206" s="7" t="s">
        <v>928</v>
      </c>
      <c r="E206" s="7" t="s">
        <v>702</v>
      </c>
      <c r="F206" s="7">
        <v>38100</v>
      </c>
      <c r="G206" s="7" t="s">
        <v>110</v>
      </c>
      <c r="H206" s="7"/>
      <c r="I206" s="7"/>
      <c r="J206" s="7"/>
      <c r="K206" s="7" t="s">
        <v>110</v>
      </c>
      <c r="L206" s="7" t="s">
        <v>1173</v>
      </c>
      <c r="M206" s="7" t="s">
        <v>1505</v>
      </c>
      <c r="N206" s="7">
        <v>10458</v>
      </c>
      <c r="O206" s="7">
        <v>0</v>
      </c>
      <c r="P206" s="7">
        <v>4022</v>
      </c>
      <c r="Q206" s="7">
        <v>0</v>
      </c>
      <c r="R206" s="7">
        <v>0</v>
      </c>
      <c r="S206" s="7">
        <v>0</v>
      </c>
      <c r="T206" s="7">
        <v>0</v>
      </c>
      <c r="U206" s="7">
        <v>14737</v>
      </c>
      <c r="V206" s="7">
        <v>0</v>
      </c>
      <c r="W206" s="7">
        <v>0</v>
      </c>
      <c r="X206" s="7" t="s">
        <v>98</v>
      </c>
      <c r="Y206" s="7">
        <v>0</v>
      </c>
      <c r="Z206" s="7">
        <v>0</v>
      </c>
      <c r="AA206" s="7">
        <v>6</v>
      </c>
      <c r="AB206" s="7"/>
      <c r="AC206" s="7"/>
    </row>
    <row r="207" spans="1:29">
      <c r="A207" s="7" t="s">
        <v>1168</v>
      </c>
      <c r="B207" s="7" t="s">
        <v>1176</v>
      </c>
      <c r="C207" s="7" t="s">
        <v>50</v>
      </c>
      <c r="D207" s="7" t="s">
        <v>928</v>
      </c>
      <c r="E207" s="7" t="s">
        <v>705</v>
      </c>
      <c r="F207" s="7">
        <v>38100</v>
      </c>
      <c r="G207" s="7" t="s">
        <v>98</v>
      </c>
      <c r="H207" s="7" t="s">
        <v>42</v>
      </c>
      <c r="I207" s="7" t="s">
        <v>110</v>
      </c>
      <c r="J207" s="7"/>
      <c r="K207" s="7" t="s">
        <v>1179</v>
      </c>
      <c r="L207" s="7" t="s">
        <v>1173</v>
      </c>
      <c r="M207" s="7" t="s">
        <v>1506</v>
      </c>
      <c r="N207" s="7">
        <v>10458</v>
      </c>
      <c r="O207" s="7">
        <v>0</v>
      </c>
      <c r="P207" s="7">
        <v>4166</v>
      </c>
      <c r="Q207" s="7">
        <v>8557</v>
      </c>
      <c r="R207" s="7">
        <v>3566</v>
      </c>
      <c r="S207" s="7">
        <v>0</v>
      </c>
      <c r="T207" s="7">
        <v>0</v>
      </c>
      <c r="U207" s="7">
        <v>3566</v>
      </c>
      <c r="V207" s="7">
        <v>0</v>
      </c>
      <c r="W207" s="7">
        <v>0</v>
      </c>
      <c r="X207" s="7" t="s">
        <v>32</v>
      </c>
      <c r="Y207" s="7">
        <v>0</v>
      </c>
      <c r="Z207" s="7">
        <v>0</v>
      </c>
      <c r="AA207" s="7">
        <v>6</v>
      </c>
      <c r="AB207" s="7"/>
      <c r="AC207" s="7"/>
    </row>
    <row r="208" spans="1:29">
      <c r="A208" s="7" t="s">
        <v>1181</v>
      </c>
      <c r="B208" s="7" t="s">
        <v>1182</v>
      </c>
      <c r="C208" s="7" t="s">
        <v>50</v>
      </c>
      <c r="D208" s="7" t="s">
        <v>1492</v>
      </c>
      <c r="E208" s="7" t="s">
        <v>93</v>
      </c>
      <c r="F208" s="7">
        <v>35900</v>
      </c>
      <c r="G208" s="7" t="s">
        <v>110</v>
      </c>
      <c r="H208" s="7" t="s">
        <v>37</v>
      </c>
      <c r="I208" s="7"/>
      <c r="J208" s="7"/>
      <c r="K208" s="7" t="s">
        <v>1187</v>
      </c>
      <c r="L208" s="7"/>
      <c r="M208" s="7" t="s">
        <v>256</v>
      </c>
      <c r="N208" s="7">
        <v>9854</v>
      </c>
      <c r="O208" s="7">
        <v>804</v>
      </c>
      <c r="P208" s="7">
        <v>2031</v>
      </c>
      <c r="Q208" s="7">
        <v>0</v>
      </c>
      <c r="R208" s="7">
        <v>0</v>
      </c>
      <c r="S208" s="7">
        <v>0</v>
      </c>
      <c r="T208" s="7">
        <v>0</v>
      </c>
      <c r="U208" s="7">
        <v>6719</v>
      </c>
      <c r="V208" s="7">
        <v>5375</v>
      </c>
      <c r="W208" s="7">
        <v>0</v>
      </c>
      <c r="X208" s="7" t="s">
        <v>47</v>
      </c>
      <c r="Y208" s="7">
        <v>0</v>
      </c>
      <c r="Z208" s="7">
        <v>0</v>
      </c>
      <c r="AA208" s="7">
        <v>6</v>
      </c>
      <c r="AB208" s="7"/>
      <c r="AC208" s="7"/>
    </row>
    <row r="209" spans="1:29">
      <c r="A209" s="7" t="s">
        <v>1181</v>
      </c>
      <c r="B209" s="7" t="s">
        <v>1182</v>
      </c>
      <c r="C209" s="7" t="s">
        <v>50</v>
      </c>
      <c r="D209" s="7" t="s">
        <v>1507</v>
      </c>
      <c r="E209" s="7" t="s">
        <v>93</v>
      </c>
      <c r="F209" s="7">
        <v>35300</v>
      </c>
      <c r="G209" s="7" t="s">
        <v>98</v>
      </c>
      <c r="H209" s="7" t="s">
        <v>37</v>
      </c>
      <c r="I209" s="7"/>
      <c r="J209" s="7"/>
      <c r="K209" s="7" t="s">
        <v>1184</v>
      </c>
      <c r="L209" s="7"/>
      <c r="M209" s="7" t="s">
        <v>1508</v>
      </c>
      <c r="N209" s="7">
        <v>9690</v>
      </c>
      <c r="O209" s="7">
        <v>790</v>
      </c>
      <c r="P209" s="7">
        <v>1997</v>
      </c>
      <c r="Q209" s="7">
        <v>6607</v>
      </c>
      <c r="R209" s="7">
        <v>0</v>
      </c>
      <c r="S209" s="7">
        <v>0</v>
      </c>
      <c r="T209" s="7">
        <v>0</v>
      </c>
      <c r="U209" s="7">
        <v>0</v>
      </c>
      <c r="V209" s="7">
        <v>5285</v>
      </c>
      <c r="W209" s="7">
        <v>0</v>
      </c>
      <c r="X209" s="7" t="s">
        <v>32</v>
      </c>
      <c r="Y209" s="7">
        <v>0</v>
      </c>
      <c r="Z209" s="7">
        <v>0</v>
      </c>
      <c r="AA209" s="7">
        <v>6</v>
      </c>
      <c r="AB209" s="7"/>
      <c r="AC209" s="7"/>
    </row>
    <row r="210" spans="1:29">
      <c r="A210" s="7" t="s">
        <v>1181</v>
      </c>
      <c r="B210" s="7" t="s">
        <v>1182</v>
      </c>
      <c r="C210" s="7" t="s">
        <v>50</v>
      </c>
      <c r="D210" s="7" t="s">
        <v>1500</v>
      </c>
      <c r="E210" s="7" t="s">
        <v>93</v>
      </c>
      <c r="F210" s="7">
        <v>35300</v>
      </c>
      <c r="G210" s="7" t="s">
        <v>98</v>
      </c>
      <c r="H210" s="7" t="s">
        <v>37</v>
      </c>
      <c r="I210" s="7"/>
      <c r="J210" s="7"/>
      <c r="K210" s="7" t="s">
        <v>1184</v>
      </c>
      <c r="L210" s="7"/>
      <c r="M210" s="7" t="s">
        <v>1509</v>
      </c>
      <c r="N210" s="7">
        <v>9690</v>
      </c>
      <c r="O210" s="7">
        <v>790</v>
      </c>
      <c r="P210" s="7">
        <v>1997</v>
      </c>
      <c r="Q210" s="7">
        <v>6607</v>
      </c>
      <c r="R210" s="7">
        <v>0</v>
      </c>
      <c r="S210" s="7">
        <v>0</v>
      </c>
      <c r="T210" s="7">
        <v>0</v>
      </c>
      <c r="U210" s="7">
        <v>0</v>
      </c>
      <c r="V210" s="7">
        <v>5285</v>
      </c>
      <c r="W210" s="7">
        <v>0</v>
      </c>
      <c r="X210" s="7" t="s">
        <v>32</v>
      </c>
      <c r="Y210" s="7">
        <v>0</v>
      </c>
      <c r="Z210" s="7">
        <v>0</v>
      </c>
      <c r="AA210" s="7">
        <v>6</v>
      </c>
      <c r="AB210" s="7"/>
      <c r="AC210" s="7"/>
    </row>
    <row r="211" spans="1:29">
      <c r="A211" s="7" t="s">
        <v>1181</v>
      </c>
      <c r="B211" s="7" t="s">
        <v>1182</v>
      </c>
      <c r="C211" s="7" t="s">
        <v>50</v>
      </c>
      <c r="D211" s="7" t="s">
        <v>1510</v>
      </c>
      <c r="E211" s="7" t="s">
        <v>93</v>
      </c>
      <c r="F211" s="7">
        <v>35300</v>
      </c>
      <c r="G211" s="7" t="s">
        <v>32</v>
      </c>
      <c r="H211" s="7" t="s">
        <v>37</v>
      </c>
      <c r="I211" s="7"/>
      <c r="J211" s="7"/>
      <c r="K211" s="7" t="s">
        <v>1172</v>
      </c>
      <c r="L211" s="7"/>
      <c r="M211" s="7" t="s">
        <v>1511</v>
      </c>
      <c r="N211" s="7">
        <v>9690</v>
      </c>
      <c r="O211" s="7">
        <v>790</v>
      </c>
      <c r="P211" s="7">
        <v>1997</v>
      </c>
      <c r="Q211" s="7">
        <v>0</v>
      </c>
      <c r="R211" s="7">
        <v>0</v>
      </c>
      <c r="S211" s="7">
        <v>6607</v>
      </c>
      <c r="T211" s="7">
        <v>0</v>
      </c>
      <c r="U211" s="7">
        <v>0</v>
      </c>
      <c r="V211" s="7">
        <v>5285</v>
      </c>
      <c r="W211" s="7">
        <v>0</v>
      </c>
      <c r="X211" s="7" t="s">
        <v>37</v>
      </c>
      <c r="Y211" s="7">
        <v>0</v>
      </c>
      <c r="Z211" s="7">
        <v>0</v>
      </c>
      <c r="AA211" s="7">
        <v>6</v>
      </c>
      <c r="AB211" s="7"/>
      <c r="AC211" s="7"/>
    </row>
    <row r="212" spans="1:29">
      <c r="A212" s="7" t="s">
        <v>1181</v>
      </c>
      <c r="B212" s="7" t="s">
        <v>1182</v>
      </c>
      <c r="C212" s="7" t="s">
        <v>50</v>
      </c>
      <c r="D212" s="7" t="s">
        <v>1512</v>
      </c>
      <c r="E212" s="7" t="s">
        <v>93</v>
      </c>
      <c r="F212" s="7">
        <v>35300</v>
      </c>
      <c r="G212" s="7" t="s">
        <v>24</v>
      </c>
      <c r="H212" s="7" t="s">
        <v>37</v>
      </c>
      <c r="I212" s="7"/>
      <c r="J212" s="7"/>
      <c r="K212" s="7" t="s">
        <v>1191</v>
      </c>
      <c r="L212" s="7"/>
      <c r="M212" s="7" t="s">
        <v>1513</v>
      </c>
      <c r="N212" s="7">
        <v>9690</v>
      </c>
      <c r="O212" s="7">
        <v>790</v>
      </c>
      <c r="P212" s="7">
        <v>1997</v>
      </c>
      <c r="Q212" s="7">
        <v>0</v>
      </c>
      <c r="R212" s="7">
        <v>0</v>
      </c>
      <c r="S212" s="7">
        <v>0</v>
      </c>
      <c r="T212" s="7">
        <v>6607</v>
      </c>
      <c r="U212" s="7">
        <v>0</v>
      </c>
      <c r="V212" s="7">
        <v>5285</v>
      </c>
      <c r="W212" s="7">
        <v>0</v>
      </c>
      <c r="X212" s="7" t="s">
        <v>37</v>
      </c>
      <c r="Y212" s="7">
        <v>0</v>
      </c>
      <c r="Z212" s="7">
        <v>0</v>
      </c>
      <c r="AA212" s="7">
        <v>6</v>
      </c>
      <c r="AB212" s="7"/>
      <c r="AC212" s="7"/>
    </row>
    <row r="213" spans="1:29">
      <c r="A213" s="7" t="s">
        <v>1168</v>
      </c>
      <c r="B213" s="7" t="s">
        <v>1205</v>
      </c>
      <c r="C213" s="7" t="s">
        <v>50</v>
      </c>
      <c r="D213" s="7" t="s">
        <v>928</v>
      </c>
      <c r="E213" s="7" t="s">
        <v>700</v>
      </c>
      <c r="F213" s="7">
        <v>35300</v>
      </c>
      <c r="G213" s="7" t="s">
        <v>37</v>
      </c>
      <c r="H213" s="7"/>
      <c r="I213" s="7"/>
      <c r="J213" s="7"/>
      <c r="K213" s="7" t="s">
        <v>37</v>
      </c>
      <c r="L213" s="7" t="s">
        <v>1173</v>
      </c>
      <c r="M213" s="7" t="s">
        <v>1514</v>
      </c>
      <c r="N213" s="7">
        <v>9690</v>
      </c>
      <c r="O213" s="7">
        <v>0</v>
      </c>
      <c r="P213" s="7">
        <v>4525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9689</v>
      </c>
      <c r="W213" s="7">
        <v>0</v>
      </c>
      <c r="X213" s="7" t="s">
        <v>98</v>
      </c>
      <c r="Y213" s="7">
        <v>0</v>
      </c>
      <c r="Z213" s="7">
        <v>0</v>
      </c>
      <c r="AA213" s="7">
        <v>6</v>
      </c>
      <c r="AB213" s="7"/>
      <c r="AC213" s="7"/>
    </row>
    <row r="214" spans="1:29">
      <c r="A214" s="7" t="s">
        <v>1168</v>
      </c>
      <c r="B214" s="7" t="s">
        <v>1205</v>
      </c>
      <c r="C214" s="7" t="s">
        <v>50</v>
      </c>
      <c r="D214" s="7" t="s">
        <v>928</v>
      </c>
      <c r="E214" s="7" t="s">
        <v>703</v>
      </c>
      <c r="F214" s="7">
        <v>35300</v>
      </c>
      <c r="G214" s="7" t="s">
        <v>98</v>
      </c>
      <c r="H214" s="7" t="s">
        <v>110</v>
      </c>
      <c r="I214" s="7" t="s">
        <v>37</v>
      </c>
      <c r="J214" s="7"/>
      <c r="K214" s="7" t="s">
        <v>1239</v>
      </c>
      <c r="L214" s="7" t="s">
        <v>1173</v>
      </c>
      <c r="M214" s="7" t="s">
        <v>279</v>
      </c>
      <c r="N214" s="7">
        <v>9690</v>
      </c>
      <c r="O214" s="7">
        <v>0</v>
      </c>
      <c r="P214" s="7">
        <v>3860</v>
      </c>
      <c r="Q214" s="7">
        <v>4404</v>
      </c>
      <c r="R214" s="7">
        <v>0</v>
      </c>
      <c r="S214" s="7">
        <v>0</v>
      </c>
      <c r="T214" s="7">
        <v>0</v>
      </c>
      <c r="U214" s="7">
        <v>4404</v>
      </c>
      <c r="V214" s="7">
        <v>4404</v>
      </c>
      <c r="W214" s="7">
        <v>0</v>
      </c>
      <c r="X214" s="7" t="s">
        <v>32</v>
      </c>
      <c r="Y214" s="7">
        <v>0</v>
      </c>
      <c r="Z214" s="7">
        <v>0</v>
      </c>
      <c r="AA214" s="7">
        <v>6</v>
      </c>
      <c r="AB214" s="7"/>
      <c r="AC214" s="7"/>
    </row>
    <row r="215" spans="1:29">
      <c r="A215" s="7" t="s">
        <v>1168</v>
      </c>
      <c r="B215" s="7" t="s">
        <v>1205</v>
      </c>
      <c r="C215" s="7" t="s">
        <v>50</v>
      </c>
      <c r="D215" s="7" t="s">
        <v>928</v>
      </c>
      <c r="E215" s="7" t="s">
        <v>700</v>
      </c>
      <c r="F215" s="7">
        <v>35300</v>
      </c>
      <c r="G215" s="7" t="s">
        <v>32</v>
      </c>
      <c r="H215" s="7" t="s">
        <v>37</v>
      </c>
      <c r="I215" s="7"/>
      <c r="J215" s="7"/>
      <c r="K215" s="7" t="s">
        <v>1172</v>
      </c>
      <c r="L215" s="7" t="s">
        <v>1173</v>
      </c>
      <c r="M215" s="7" t="s">
        <v>277</v>
      </c>
      <c r="N215" s="7">
        <v>9690</v>
      </c>
      <c r="O215" s="7">
        <v>0</v>
      </c>
      <c r="P215" s="7">
        <v>3194</v>
      </c>
      <c r="Q215" s="7">
        <v>0</v>
      </c>
      <c r="R215" s="7">
        <v>0</v>
      </c>
      <c r="S215" s="7">
        <v>4845</v>
      </c>
      <c r="T215" s="7">
        <v>0</v>
      </c>
      <c r="U215" s="7">
        <v>0</v>
      </c>
      <c r="V215" s="7">
        <v>9690</v>
      </c>
      <c r="W215" s="7">
        <v>0</v>
      </c>
      <c r="X215" s="7" t="s">
        <v>110</v>
      </c>
      <c r="Y215" s="7">
        <v>0</v>
      </c>
      <c r="Z215" s="7">
        <v>0</v>
      </c>
      <c r="AA215" s="7">
        <v>6</v>
      </c>
      <c r="AB215" s="7"/>
      <c r="AC215" s="7"/>
    </row>
    <row r="216" spans="1:29">
      <c r="A216" s="7" t="s">
        <v>1181</v>
      </c>
      <c r="B216" s="7" t="s">
        <v>1182</v>
      </c>
      <c r="C216" s="7" t="s">
        <v>45</v>
      </c>
      <c r="D216" s="7" t="s">
        <v>1515</v>
      </c>
      <c r="E216" s="7" t="s">
        <v>598</v>
      </c>
      <c r="F216" s="7">
        <v>42100</v>
      </c>
      <c r="G216" s="7" t="s">
        <v>110</v>
      </c>
      <c r="H216" s="7" t="s">
        <v>37</v>
      </c>
      <c r="I216" s="7"/>
      <c r="J216" s="7"/>
      <c r="K216" s="7" t="s">
        <v>1187</v>
      </c>
      <c r="L216" s="7"/>
      <c r="M216" s="7" t="s">
        <v>1516</v>
      </c>
      <c r="N216" s="7">
        <v>16179</v>
      </c>
      <c r="O216" s="7">
        <v>1320</v>
      </c>
      <c r="P216" s="7">
        <v>3334</v>
      </c>
      <c r="Q216" s="7">
        <v>0</v>
      </c>
      <c r="R216" s="7">
        <v>0</v>
      </c>
      <c r="S216" s="7">
        <v>0</v>
      </c>
      <c r="T216" s="7">
        <v>0</v>
      </c>
      <c r="U216" s="7">
        <v>11031</v>
      </c>
      <c r="V216" s="7">
        <v>8825</v>
      </c>
      <c r="W216" s="7">
        <v>0</v>
      </c>
      <c r="X216" s="7" t="s">
        <v>91</v>
      </c>
      <c r="Y216" s="7" t="s">
        <v>47</v>
      </c>
      <c r="Z216" s="7">
        <v>0</v>
      </c>
      <c r="AA216" s="7">
        <v>6</v>
      </c>
      <c r="AB216" s="7"/>
      <c r="AC216" s="7"/>
    </row>
    <row r="217" spans="1:29">
      <c r="A217" s="7" t="s">
        <v>1168</v>
      </c>
      <c r="B217" s="7" t="s">
        <v>1169</v>
      </c>
      <c r="C217" s="7" t="s">
        <v>45</v>
      </c>
      <c r="D217" s="7" t="s">
        <v>927</v>
      </c>
      <c r="E217" s="7" t="s">
        <v>698</v>
      </c>
      <c r="F217" s="7">
        <v>41400</v>
      </c>
      <c r="G217" s="7" t="s">
        <v>32</v>
      </c>
      <c r="H217" s="7" t="s">
        <v>37</v>
      </c>
      <c r="I217" s="7"/>
      <c r="J217" s="7"/>
      <c r="K217" s="7" t="s">
        <v>1172</v>
      </c>
      <c r="L217" s="7" t="s">
        <v>1173</v>
      </c>
      <c r="M217" s="7" t="s">
        <v>1517</v>
      </c>
      <c r="N217" s="7">
        <v>15910</v>
      </c>
      <c r="O217" s="7">
        <v>0</v>
      </c>
      <c r="P217" s="7">
        <v>2185</v>
      </c>
      <c r="Q217" s="7">
        <v>0</v>
      </c>
      <c r="R217" s="7">
        <v>0</v>
      </c>
      <c r="S217" s="7">
        <v>28203</v>
      </c>
      <c r="T217" s="7">
        <v>0</v>
      </c>
      <c r="U217" s="7">
        <v>0</v>
      </c>
      <c r="V217" s="7">
        <v>8679</v>
      </c>
      <c r="W217" s="7">
        <v>0</v>
      </c>
      <c r="X217" s="7" t="s">
        <v>32</v>
      </c>
      <c r="Y217" s="7" t="s">
        <v>47</v>
      </c>
      <c r="Z217" s="7">
        <v>0</v>
      </c>
      <c r="AA217" s="7">
        <v>6</v>
      </c>
      <c r="AB217" s="7"/>
      <c r="AC217" s="7"/>
    </row>
    <row r="218" spans="1:29">
      <c r="A218" s="7" t="s">
        <v>1168</v>
      </c>
      <c r="B218" s="7" t="s">
        <v>1205</v>
      </c>
      <c r="C218" s="7" t="s">
        <v>45</v>
      </c>
      <c r="D218" s="7" t="s">
        <v>927</v>
      </c>
      <c r="E218" s="7" t="s">
        <v>698</v>
      </c>
      <c r="F218" s="7">
        <v>41400</v>
      </c>
      <c r="G218" s="7" t="s">
        <v>98</v>
      </c>
      <c r="H218" s="7" t="s">
        <v>110</v>
      </c>
      <c r="I218" s="7" t="s">
        <v>32</v>
      </c>
      <c r="J218" s="7" t="s">
        <v>37</v>
      </c>
      <c r="K218" s="7" t="s">
        <v>1331</v>
      </c>
      <c r="L218" s="7" t="s">
        <v>1173</v>
      </c>
      <c r="M218" s="7" t="s">
        <v>1518</v>
      </c>
      <c r="N218" s="7">
        <v>15910</v>
      </c>
      <c r="O218" s="7">
        <v>0</v>
      </c>
      <c r="P218" s="7">
        <v>5135</v>
      </c>
      <c r="Q218" s="7">
        <v>7231</v>
      </c>
      <c r="R218" s="7">
        <v>0</v>
      </c>
      <c r="S218" s="7">
        <v>7231</v>
      </c>
      <c r="T218" s="7">
        <v>0</v>
      </c>
      <c r="U218" s="7">
        <v>7231</v>
      </c>
      <c r="V218" s="7">
        <v>7231</v>
      </c>
      <c r="W218" s="7">
        <v>0</v>
      </c>
      <c r="X218" s="7" t="s">
        <v>98</v>
      </c>
      <c r="Y218" s="7" t="s">
        <v>110</v>
      </c>
      <c r="Z218" s="7">
        <v>0</v>
      </c>
      <c r="AA218" s="7">
        <v>6</v>
      </c>
      <c r="AB218" s="7"/>
      <c r="AC218" s="7"/>
    </row>
    <row r="219" spans="1:29">
      <c r="A219" s="7" t="s">
        <v>1168</v>
      </c>
      <c r="B219" s="7" t="s">
        <v>1176</v>
      </c>
      <c r="C219" s="7" t="s">
        <v>45</v>
      </c>
      <c r="D219" s="7" t="s">
        <v>927</v>
      </c>
      <c r="E219" s="7" t="s">
        <v>695</v>
      </c>
      <c r="F219" s="7">
        <v>41400</v>
      </c>
      <c r="G219" s="7" t="s">
        <v>98</v>
      </c>
      <c r="H219" s="7" t="s">
        <v>42</v>
      </c>
      <c r="I219" s="7" t="s">
        <v>37</v>
      </c>
      <c r="J219" s="7"/>
      <c r="K219" s="7" t="s">
        <v>1177</v>
      </c>
      <c r="L219" s="7" t="s">
        <v>1173</v>
      </c>
      <c r="M219" s="7" t="s">
        <v>1519</v>
      </c>
      <c r="N219" s="7">
        <v>15910</v>
      </c>
      <c r="O219" s="7">
        <v>0</v>
      </c>
      <c r="P219" s="7">
        <v>6338</v>
      </c>
      <c r="Q219" s="7">
        <v>13018</v>
      </c>
      <c r="R219" s="7">
        <v>5424</v>
      </c>
      <c r="S219" s="7">
        <v>0</v>
      </c>
      <c r="T219" s="7">
        <v>0</v>
      </c>
      <c r="U219" s="7">
        <v>0</v>
      </c>
      <c r="V219" s="7">
        <v>5424</v>
      </c>
      <c r="W219" s="7">
        <v>0</v>
      </c>
      <c r="X219" s="7" t="s">
        <v>32</v>
      </c>
      <c r="Y219" s="7" t="s">
        <v>37</v>
      </c>
      <c r="Z219" s="7">
        <v>0</v>
      </c>
      <c r="AA219" s="7">
        <v>6</v>
      </c>
      <c r="AB219" s="7"/>
      <c r="AC219" s="7"/>
    </row>
    <row r="220" spans="1:29">
      <c r="A220" s="7" t="s">
        <v>1181</v>
      </c>
      <c r="B220" s="7" t="s">
        <v>1182</v>
      </c>
      <c r="C220" s="7" t="s">
        <v>45</v>
      </c>
      <c r="D220" s="7" t="s">
        <v>1520</v>
      </c>
      <c r="E220" s="7" t="s">
        <v>93</v>
      </c>
      <c r="F220" s="7">
        <v>41400</v>
      </c>
      <c r="G220" s="7" t="s">
        <v>24</v>
      </c>
      <c r="H220" s="7" t="s">
        <v>37</v>
      </c>
      <c r="I220" s="7"/>
      <c r="J220" s="7"/>
      <c r="K220" s="7" t="s">
        <v>1191</v>
      </c>
      <c r="L220" s="7"/>
      <c r="M220" s="7" t="s">
        <v>1521</v>
      </c>
      <c r="N220" s="7">
        <v>15910</v>
      </c>
      <c r="O220" s="7">
        <v>1298</v>
      </c>
      <c r="P220" s="7">
        <v>3278</v>
      </c>
      <c r="Q220" s="7">
        <v>0</v>
      </c>
      <c r="R220" s="7">
        <v>0</v>
      </c>
      <c r="S220" s="7">
        <v>0</v>
      </c>
      <c r="T220" s="7">
        <v>10848</v>
      </c>
      <c r="U220" s="7">
        <v>0</v>
      </c>
      <c r="V220" s="7">
        <v>8678</v>
      </c>
      <c r="W220" s="7">
        <v>0</v>
      </c>
      <c r="X220" s="7" t="s">
        <v>32</v>
      </c>
      <c r="Y220" s="7" t="s">
        <v>37</v>
      </c>
      <c r="Z220" s="7">
        <v>0</v>
      </c>
      <c r="AA220" s="7">
        <v>6</v>
      </c>
      <c r="AB220" s="7"/>
      <c r="AC220" s="7"/>
    </row>
    <row r="221" spans="1:29">
      <c r="A221" s="7" t="s">
        <v>1181</v>
      </c>
      <c r="B221" s="7" t="s">
        <v>1182</v>
      </c>
      <c r="C221" s="7" t="s">
        <v>45</v>
      </c>
      <c r="D221" s="7" t="s">
        <v>1522</v>
      </c>
      <c r="E221" s="7" t="s">
        <v>93</v>
      </c>
      <c r="F221" s="7">
        <v>41400</v>
      </c>
      <c r="G221" s="7" t="s">
        <v>98</v>
      </c>
      <c r="H221" s="7" t="s">
        <v>37</v>
      </c>
      <c r="I221" s="7"/>
      <c r="J221" s="7"/>
      <c r="K221" s="7" t="s">
        <v>1184</v>
      </c>
      <c r="L221" s="7"/>
      <c r="M221" s="7" t="s">
        <v>1523</v>
      </c>
      <c r="N221" s="7">
        <v>15910</v>
      </c>
      <c r="O221" s="7">
        <v>1298</v>
      </c>
      <c r="P221" s="7">
        <v>3278</v>
      </c>
      <c r="Q221" s="7">
        <v>10848</v>
      </c>
      <c r="R221" s="7">
        <v>0</v>
      </c>
      <c r="S221" s="7">
        <v>0</v>
      </c>
      <c r="T221" s="7">
        <v>0</v>
      </c>
      <c r="U221" s="7">
        <v>0</v>
      </c>
      <c r="V221" s="7">
        <v>8678</v>
      </c>
      <c r="W221" s="7">
        <v>0</v>
      </c>
      <c r="X221" s="7" t="s">
        <v>91</v>
      </c>
      <c r="Y221" s="7" t="s">
        <v>37</v>
      </c>
      <c r="Z221" s="7">
        <v>0</v>
      </c>
      <c r="AA221" s="7">
        <v>6</v>
      </c>
      <c r="AB221" s="7"/>
      <c r="AC221" s="7"/>
    </row>
    <row r="222" spans="1:29">
      <c r="A222" s="7" t="s">
        <v>1181</v>
      </c>
      <c r="B222" s="7" t="s">
        <v>1182</v>
      </c>
      <c r="C222" s="7" t="s">
        <v>45</v>
      </c>
      <c r="D222" s="7" t="s">
        <v>1524</v>
      </c>
      <c r="E222" s="7" t="s">
        <v>93</v>
      </c>
      <c r="F222" s="7">
        <v>41400</v>
      </c>
      <c r="G222" s="7" t="s">
        <v>98</v>
      </c>
      <c r="H222" s="7" t="s">
        <v>37</v>
      </c>
      <c r="I222" s="7"/>
      <c r="J222" s="7"/>
      <c r="K222" s="7" t="s">
        <v>1184</v>
      </c>
      <c r="L222" s="7"/>
      <c r="M222" s="7" t="s">
        <v>1525</v>
      </c>
      <c r="N222" s="7">
        <v>15910</v>
      </c>
      <c r="O222" s="7">
        <v>1298</v>
      </c>
      <c r="P222" s="7">
        <v>3278</v>
      </c>
      <c r="Q222" s="7">
        <v>10848</v>
      </c>
      <c r="R222" s="7">
        <v>0</v>
      </c>
      <c r="S222" s="7">
        <v>0</v>
      </c>
      <c r="T222" s="7">
        <v>0</v>
      </c>
      <c r="U222" s="7">
        <v>0</v>
      </c>
      <c r="V222" s="7">
        <v>8678</v>
      </c>
      <c r="W222" s="7">
        <v>0</v>
      </c>
      <c r="X222" s="7" t="s">
        <v>91</v>
      </c>
      <c r="Y222" s="7" t="s">
        <v>37</v>
      </c>
      <c r="Z222" s="7">
        <v>0</v>
      </c>
      <c r="AA222" s="7">
        <v>6</v>
      </c>
      <c r="AB222" s="7"/>
      <c r="AC222" s="7"/>
    </row>
    <row r="223" spans="1:29">
      <c r="A223" s="7" t="s">
        <v>1181</v>
      </c>
      <c r="B223" s="7" t="s">
        <v>1182</v>
      </c>
      <c r="C223" s="7" t="s">
        <v>45</v>
      </c>
      <c r="D223" s="7" t="s">
        <v>1957</v>
      </c>
      <c r="E223" s="7" t="s">
        <v>787</v>
      </c>
      <c r="F223" s="7">
        <v>41400</v>
      </c>
      <c r="G223" s="7" t="s">
        <v>32</v>
      </c>
      <c r="H223" s="7" t="s">
        <v>37</v>
      </c>
      <c r="I223" s="7"/>
      <c r="J223" s="7"/>
      <c r="K223" s="7" t="s">
        <v>1172</v>
      </c>
      <c r="L223" s="7"/>
      <c r="M223" s="7" t="s">
        <v>46</v>
      </c>
      <c r="N223" s="7">
        <v>15910</v>
      </c>
      <c r="O223" s="7">
        <v>1298</v>
      </c>
      <c r="P223" s="7">
        <v>3278</v>
      </c>
      <c r="Q223" s="7">
        <v>0</v>
      </c>
      <c r="R223" s="7">
        <v>0</v>
      </c>
      <c r="S223" s="7">
        <v>10848</v>
      </c>
      <c r="T223" s="7">
        <v>0</v>
      </c>
      <c r="U223" s="7">
        <v>0</v>
      </c>
      <c r="V223" s="7">
        <v>8678</v>
      </c>
      <c r="W223" s="7">
        <v>0</v>
      </c>
      <c r="X223" s="7" t="s">
        <v>47</v>
      </c>
      <c r="Y223" s="7" t="s">
        <v>32</v>
      </c>
      <c r="Z223" s="7">
        <v>0</v>
      </c>
      <c r="AA223" s="7">
        <v>6</v>
      </c>
      <c r="AB223" s="7"/>
      <c r="AC223" s="7"/>
    </row>
    <row r="224" spans="1:29">
      <c r="A224" s="7" t="s">
        <v>1168</v>
      </c>
      <c r="B224" s="7" t="s">
        <v>1169</v>
      </c>
      <c r="C224" s="7" t="s">
        <v>45</v>
      </c>
      <c r="D224" s="7" t="s">
        <v>927</v>
      </c>
      <c r="E224" s="7" t="s">
        <v>696</v>
      </c>
      <c r="F224" s="7">
        <v>38100</v>
      </c>
      <c r="G224" s="7" t="s">
        <v>98</v>
      </c>
      <c r="H224" s="7" t="s">
        <v>37</v>
      </c>
      <c r="I224" s="7"/>
      <c r="J224" s="7"/>
      <c r="K224" s="7" t="s">
        <v>1184</v>
      </c>
      <c r="L224" s="7" t="s">
        <v>1173</v>
      </c>
      <c r="M224" s="7" t="s">
        <v>255</v>
      </c>
      <c r="N224" s="7">
        <v>14642</v>
      </c>
      <c r="O224" s="7">
        <v>0</v>
      </c>
      <c r="P224" s="7">
        <v>2011</v>
      </c>
      <c r="Q224" s="7">
        <v>25955</v>
      </c>
      <c r="R224" s="7">
        <v>0</v>
      </c>
      <c r="S224" s="7">
        <v>0</v>
      </c>
      <c r="T224" s="7">
        <v>0</v>
      </c>
      <c r="U224" s="7">
        <v>0</v>
      </c>
      <c r="V224" s="7">
        <v>7987</v>
      </c>
      <c r="W224" s="7">
        <v>0</v>
      </c>
      <c r="X224" s="7" t="s">
        <v>47</v>
      </c>
      <c r="Y224" s="7" t="s">
        <v>37</v>
      </c>
      <c r="Z224" s="7">
        <v>0</v>
      </c>
      <c r="AA224" s="7">
        <v>6</v>
      </c>
      <c r="AB224" s="7"/>
      <c r="AC224" s="7"/>
    </row>
    <row r="225" spans="1:29">
      <c r="A225" s="7" t="s">
        <v>1168</v>
      </c>
      <c r="B225" s="7" t="s">
        <v>1176</v>
      </c>
      <c r="C225" s="7" t="s">
        <v>45</v>
      </c>
      <c r="D225" s="7" t="s">
        <v>927</v>
      </c>
      <c r="E225" s="7" t="s">
        <v>696</v>
      </c>
      <c r="F225" s="7">
        <v>38100</v>
      </c>
      <c r="G225" s="7" t="s">
        <v>98</v>
      </c>
      <c r="H225" s="7" t="s">
        <v>42</v>
      </c>
      <c r="I225" s="7" t="s">
        <v>110</v>
      </c>
      <c r="J225" s="7"/>
      <c r="K225" s="7" t="s">
        <v>1179</v>
      </c>
      <c r="L225" s="7" t="s">
        <v>1173</v>
      </c>
      <c r="M225" s="7" t="s">
        <v>1527</v>
      </c>
      <c r="N225" s="7">
        <v>14642</v>
      </c>
      <c r="O225" s="7">
        <v>0</v>
      </c>
      <c r="P225" s="7">
        <v>5833</v>
      </c>
      <c r="Q225" s="7">
        <v>11980</v>
      </c>
      <c r="R225" s="7">
        <v>4992</v>
      </c>
      <c r="S225" s="7">
        <v>0</v>
      </c>
      <c r="T225" s="7">
        <v>0</v>
      </c>
      <c r="U225" s="7">
        <v>4992</v>
      </c>
      <c r="V225" s="7">
        <v>0</v>
      </c>
      <c r="W225" s="7">
        <v>0</v>
      </c>
      <c r="X225" s="7" t="s">
        <v>32</v>
      </c>
      <c r="Y225" s="7" t="s">
        <v>47</v>
      </c>
      <c r="Z225" s="7">
        <v>0</v>
      </c>
      <c r="AA225" s="7">
        <v>6</v>
      </c>
      <c r="AB225" s="7"/>
      <c r="AC225" s="7"/>
    </row>
    <row r="226" spans="1:29">
      <c r="A226" s="7" t="s">
        <v>1168</v>
      </c>
      <c r="B226" s="7" t="s">
        <v>1169</v>
      </c>
      <c r="C226" s="7" t="s">
        <v>45</v>
      </c>
      <c r="D226" s="7" t="s">
        <v>927</v>
      </c>
      <c r="E226" s="7" t="s">
        <v>699</v>
      </c>
      <c r="F226" s="7">
        <v>38100</v>
      </c>
      <c r="G226" s="7" t="s">
        <v>32</v>
      </c>
      <c r="H226" s="7" t="s">
        <v>37</v>
      </c>
      <c r="I226" s="7"/>
      <c r="J226" s="7"/>
      <c r="K226" s="7" t="s">
        <v>1172</v>
      </c>
      <c r="L226" s="7" t="s">
        <v>1173</v>
      </c>
      <c r="M226" s="7" t="s">
        <v>1528</v>
      </c>
      <c r="N226" s="7">
        <v>14642</v>
      </c>
      <c r="O226" s="7">
        <v>0</v>
      </c>
      <c r="P226" s="7">
        <v>2011</v>
      </c>
      <c r="Q226" s="7">
        <v>0</v>
      </c>
      <c r="R226" s="7">
        <v>0</v>
      </c>
      <c r="S226" s="7">
        <v>25955</v>
      </c>
      <c r="T226" s="7">
        <v>0</v>
      </c>
      <c r="U226" s="7">
        <v>0</v>
      </c>
      <c r="V226" s="7">
        <v>7987</v>
      </c>
      <c r="W226" s="7">
        <v>0</v>
      </c>
      <c r="X226" s="7" t="s">
        <v>32</v>
      </c>
      <c r="Y226" s="7" t="s">
        <v>47</v>
      </c>
      <c r="Z226" s="7">
        <v>0</v>
      </c>
      <c r="AA226" s="7">
        <v>6</v>
      </c>
      <c r="AB226" s="7"/>
      <c r="AC226" s="7"/>
    </row>
    <row r="227" spans="1:29">
      <c r="A227" s="7" t="s">
        <v>1181</v>
      </c>
      <c r="B227" s="7" t="s">
        <v>1182</v>
      </c>
      <c r="C227" s="7" t="s">
        <v>45</v>
      </c>
      <c r="D227" s="7" t="s">
        <v>1529</v>
      </c>
      <c r="E227" s="7" t="s">
        <v>601</v>
      </c>
      <c r="F227" s="7">
        <v>35900</v>
      </c>
      <c r="G227" s="7" t="s">
        <v>110</v>
      </c>
      <c r="H227" s="7" t="s">
        <v>37</v>
      </c>
      <c r="I227" s="7"/>
      <c r="J227" s="7"/>
      <c r="K227" s="7" t="s">
        <v>1187</v>
      </c>
      <c r="L227" s="7"/>
      <c r="M227" s="7" t="s">
        <v>1530</v>
      </c>
      <c r="N227" s="7">
        <v>13796</v>
      </c>
      <c r="O227" s="7">
        <v>1126</v>
      </c>
      <c r="P227" s="7">
        <v>2843</v>
      </c>
      <c r="Q227" s="7">
        <v>0</v>
      </c>
      <c r="R227" s="7">
        <v>0</v>
      </c>
      <c r="S227" s="7">
        <v>0</v>
      </c>
      <c r="T227" s="7">
        <v>0</v>
      </c>
      <c r="U227" s="7">
        <v>9407</v>
      </c>
      <c r="V227" s="7">
        <v>7525</v>
      </c>
      <c r="W227" s="7">
        <v>0</v>
      </c>
      <c r="X227" s="7" t="s">
        <v>91</v>
      </c>
      <c r="Y227" s="7" t="s">
        <v>47</v>
      </c>
      <c r="Z227" s="7">
        <v>0</v>
      </c>
      <c r="AA227" s="7">
        <v>6</v>
      </c>
      <c r="AB227" s="7"/>
      <c r="AC227" s="7"/>
    </row>
    <row r="228" spans="1:29">
      <c r="A228" s="7" t="s">
        <v>1181</v>
      </c>
      <c r="B228" s="7" t="s">
        <v>1182</v>
      </c>
      <c r="C228" s="7" t="s">
        <v>45</v>
      </c>
      <c r="D228" s="7" t="s">
        <v>1531</v>
      </c>
      <c r="E228" s="7" t="s">
        <v>93</v>
      </c>
      <c r="F228" s="7">
        <v>35300</v>
      </c>
      <c r="G228" s="7" t="s">
        <v>24</v>
      </c>
      <c r="H228" s="7" t="s">
        <v>37</v>
      </c>
      <c r="I228" s="7"/>
      <c r="J228" s="7"/>
      <c r="K228" s="7" t="s">
        <v>1191</v>
      </c>
      <c r="L228" s="7"/>
      <c r="M228" s="7" t="s">
        <v>1532</v>
      </c>
      <c r="N228" s="7">
        <v>13566</v>
      </c>
      <c r="O228" s="7">
        <v>1107</v>
      </c>
      <c r="P228" s="7">
        <v>2795</v>
      </c>
      <c r="Q228" s="7">
        <v>0</v>
      </c>
      <c r="R228" s="7">
        <v>0</v>
      </c>
      <c r="S228" s="7">
        <v>0</v>
      </c>
      <c r="T228" s="7">
        <v>9249</v>
      </c>
      <c r="U228" s="7">
        <v>0</v>
      </c>
      <c r="V228" s="7">
        <v>7400</v>
      </c>
      <c r="W228" s="7">
        <v>0</v>
      </c>
      <c r="X228" s="7" t="s">
        <v>32</v>
      </c>
      <c r="Y228" s="7" t="s">
        <v>37</v>
      </c>
      <c r="Z228" s="7">
        <v>0</v>
      </c>
      <c r="AA228" s="7">
        <v>6</v>
      </c>
      <c r="AB228" s="7"/>
      <c r="AC228" s="7"/>
    </row>
    <row r="229" spans="1:29">
      <c r="A229" s="7" t="s">
        <v>1181</v>
      </c>
      <c r="B229" s="7" t="s">
        <v>1182</v>
      </c>
      <c r="C229" s="7" t="s">
        <v>45</v>
      </c>
      <c r="D229" s="7" t="s">
        <v>1524</v>
      </c>
      <c r="E229" s="7" t="s">
        <v>93</v>
      </c>
      <c r="F229" s="7">
        <v>35300</v>
      </c>
      <c r="G229" s="7" t="s">
        <v>98</v>
      </c>
      <c r="H229" s="7" t="s">
        <v>37</v>
      </c>
      <c r="I229" s="7"/>
      <c r="J229" s="7"/>
      <c r="K229" s="7" t="s">
        <v>1184</v>
      </c>
      <c r="L229" s="7"/>
      <c r="M229" s="7" t="s">
        <v>1533</v>
      </c>
      <c r="N229" s="7">
        <v>13566</v>
      </c>
      <c r="O229" s="7">
        <v>1107</v>
      </c>
      <c r="P229" s="7">
        <v>2795</v>
      </c>
      <c r="Q229" s="7">
        <v>9249</v>
      </c>
      <c r="R229" s="7">
        <v>0</v>
      </c>
      <c r="S229" s="7">
        <v>0</v>
      </c>
      <c r="T229" s="7">
        <v>0</v>
      </c>
      <c r="U229" s="7">
        <v>0</v>
      </c>
      <c r="V229" s="7">
        <v>7400</v>
      </c>
      <c r="W229" s="7">
        <v>0</v>
      </c>
      <c r="X229" s="7" t="s">
        <v>91</v>
      </c>
      <c r="Y229" s="7" t="s">
        <v>37</v>
      </c>
      <c r="Z229" s="7">
        <v>0</v>
      </c>
      <c r="AA229" s="7">
        <v>6</v>
      </c>
      <c r="AB229" s="7"/>
      <c r="AC229" s="7"/>
    </row>
    <row r="230" spans="1:29">
      <c r="A230" s="7" t="s">
        <v>1181</v>
      </c>
      <c r="B230" s="7" t="s">
        <v>1182</v>
      </c>
      <c r="C230" s="7" t="s">
        <v>45</v>
      </c>
      <c r="D230" s="7" t="s">
        <v>1534</v>
      </c>
      <c r="E230" s="7" t="s">
        <v>93</v>
      </c>
      <c r="F230" s="7">
        <v>35300</v>
      </c>
      <c r="G230" s="7" t="s">
        <v>98</v>
      </c>
      <c r="H230" s="7" t="s">
        <v>37</v>
      </c>
      <c r="I230" s="7"/>
      <c r="J230" s="7"/>
      <c r="K230" s="7" t="s">
        <v>1184</v>
      </c>
      <c r="L230" s="7"/>
      <c r="M230" s="7" t="s">
        <v>1535</v>
      </c>
      <c r="N230" s="7">
        <v>13566</v>
      </c>
      <c r="O230" s="7">
        <v>1107</v>
      </c>
      <c r="P230" s="7">
        <v>2795</v>
      </c>
      <c r="Q230" s="7">
        <v>9249</v>
      </c>
      <c r="R230" s="7">
        <v>0</v>
      </c>
      <c r="S230" s="7">
        <v>0</v>
      </c>
      <c r="T230" s="7">
        <v>0</v>
      </c>
      <c r="U230" s="7">
        <v>0</v>
      </c>
      <c r="V230" s="7">
        <v>7400</v>
      </c>
      <c r="W230" s="7">
        <v>0</v>
      </c>
      <c r="X230" s="7" t="s">
        <v>91</v>
      </c>
      <c r="Y230" s="7" t="s">
        <v>37</v>
      </c>
      <c r="Z230" s="7">
        <v>0</v>
      </c>
      <c r="AA230" s="7">
        <v>6</v>
      </c>
      <c r="AB230" s="7"/>
      <c r="AC230" s="7"/>
    </row>
    <row r="231" spans="1:29">
      <c r="A231" s="7" t="s">
        <v>1181</v>
      </c>
      <c r="B231" s="7" t="s">
        <v>1182</v>
      </c>
      <c r="C231" s="7" t="s">
        <v>45</v>
      </c>
      <c r="D231" s="7" t="s">
        <v>1958</v>
      </c>
      <c r="E231" s="7" t="s">
        <v>787</v>
      </c>
      <c r="F231" s="7">
        <v>35300</v>
      </c>
      <c r="G231" s="7" t="s">
        <v>32</v>
      </c>
      <c r="H231" s="7" t="s">
        <v>37</v>
      </c>
      <c r="I231" s="7"/>
      <c r="J231" s="7"/>
      <c r="K231" s="7" t="s">
        <v>1172</v>
      </c>
      <c r="L231" s="7"/>
      <c r="M231" s="7" t="s">
        <v>1959</v>
      </c>
      <c r="N231" s="7">
        <v>13566</v>
      </c>
      <c r="O231" s="7">
        <v>1107</v>
      </c>
      <c r="P231" s="7">
        <v>2795</v>
      </c>
      <c r="Q231" s="7">
        <v>0</v>
      </c>
      <c r="R231" s="7">
        <v>0</v>
      </c>
      <c r="S231" s="7">
        <v>9249</v>
      </c>
      <c r="T231" s="7">
        <v>0</v>
      </c>
      <c r="U231" s="7">
        <v>0</v>
      </c>
      <c r="V231" s="7">
        <v>7400</v>
      </c>
      <c r="W231" s="7">
        <v>0</v>
      </c>
      <c r="X231" s="7" t="s">
        <v>47</v>
      </c>
      <c r="Y231" s="7" t="s">
        <v>32</v>
      </c>
      <c r="Z231" s="7">
        <v>0</v>
      </c>
      <c r="AA231" s="7">
        <v>6</v>
      </c>
      <c r="AB231" s="7"/>
      <c r="AC231" s="7"/>
    </row>
    <row r="232" spans="1:29">
      <c r="A232" s="7" t="s">
        <v>1168</v>
      </c>
      <c r="B232" s="7" t="s">
        <v>1205</v>
      </c>
      <c r="C232" s="7" t="s">
        <v>45</v>
      </c>
      <c r="D232" s="7" t="s">
        <v>927</v>
      </c>
      <c r="E232" s="7" t="s">
        <v>107</v>
      </c>
      <c r="F232" s="7">
        <v>35300</v>
      </c>
      <c r="G232" s="7" t="s">
        <v>98</v>
      </c>
      <c r="H232" s="7" t="s">
        <v>42</v>
      </c>
      <c r="I232" s="7" t="s">
        <v>37</v>
      </c>
      <c r="J232" s="7"/>
      <c r="K232" s="7" t="s">
        <v>1177</v>
      </c>
      <c r="L232" s="7" t="s">
        <v>1173</v>
      </c>
      <c r="M232" s="7" t="s">
        <v>276</v>
      </c>
      <c r="N232" s="7">
        <v>13566</v>
      </c>
      <c r="O232" s="7">
        <v>0</v>
      </c>
      <c r="P232" s="7">
        <v>5404</v>
      </c>
      <c r="Q232" s="7">
        <v>9250</v>
      </c>
      <c r="R232" s="7">
        <v>4625</v>
      </c>
      <c r="S232" s="7">
        <v>0</v>
      </c>
      <c r="T232" s="7">
        <v>0</v>
      </c>
      <c r="U232" s="7">
        <v>0</v>
      </c>
      <c r="V232" s="7">
        <v>4625</v>
      </c>
      <c r="W232" s="7">
        <v>0</v>
      </c>
      <c r="X232" s="7" t="s">
        <v>32</v>
      </c>
      <c r="Y232" s="7" t="s">
        <v>37</v>
      </c>
      <c r="Z232" s="7">
        <v>0</v>
      </c>
      <c r="AA232" s="7">
        <v>6</v>
      </c>
      <c r="AB232" s="7"/>
      <c r="AC232" s="7"/>
    </row>
    <row r="233" spans="1:29">
      <c r="A233" s="7" t="s">
        <v>1168</v>
      </c>
      <c r="B233" s="7" t="s">
        <v>1205</v>
      </c>
      <c r="C233" s="7" t="s">
        <v>45</v>
      </c>
      <c r="D233" s="7" t="s">
        <v>927</v>
      </c>
      <c r="E233" s="7" t="s">
        <v>697</v>
      </c>
      <c r="F233" s="7">
        <v>35300</v>
      </c>
      <c r="G233" s="7" t="s">
        <v>110</v>
      </c>
      <c r="H233" s="7" t="s">
        <v>37</v>
      </c>
      <c r="I233" s="7"/>
      <c r="J233" s="7"/>
      <c r="K233" s="7" t="s">
        <v>1187</v>
      </c>
      <c r="L233" s="7" t="s">
        <v>1173</v>
      </c>
      <c r="M233" s="7" t="s">
        <v>1537</v>
      </c>
      <c r="N233" s="7">
        <v>13566</v>
      </c>
      <c r="O233" s="7">
        <v>0</v>
      </c>
      <c r="P233" s="7">
        <v>3726</v>
      </c>
      <c r="Q233" s="7">
        <v>0</v>
      </c>
      <c r="R233" s="7">
        <v>0</v>
      </c>
      <c r="S233" s="7">
        <v>0</v>
      </c>
      <c r="T233" s="7">
        <v>0</v>
      </c>
      <c r="U233" s="7">
        <v>14183</v>
      </c>
      <c r="V233" s="7">
        <v>9249</v>
      </c>
      <c r="W233" s="7">
        <v>0</v>
      </c>
      <c r="X233" s="7" t="s">
        <v>98</v>
      </c>
      <c r="Y233" s="7" t="s">
        <v>37</v>
      </c>
      <c r="Z233" s="7">
        <v>0</v>
      </c>
      <c r="AA233" s="7">
        <v>6</v>
      </c>
      <c r="AB233" s="7"/>
      <c r="AC233" s="7"/>
    </row>
    <row r="234" spans="1:29">
      <c r="A234" s="7" t="s">
        <v>1168</v>
      </c>
      <c r="B234" s="7" t="s">
        <v>1176</v>
      </c>
      <c r="C234" s="7" t="s">
        <v>45</v>
      </c>
      <c r="D234" s="7" t="s">
        <v>927</v>
      </c>
      <c r="E234" s="7" t="s">
        <v>706</v>
      </c>
      <c r="F234" s="7">
        <v>35300</v>
      </c>
      <c r="G234" s="7" t="s">
        <v>32</v>
      </c>
      <c r="H234" s="7" t="s">
        <v>37</v>
      </c>
      <c r="I234" s="7"/>
      <c r="J234" s="7"/>
      <c r="K234" s="7" t="s">
        <v>1172</v>
      </c>
      <c r="L234" s="7" t="s">
        <v>1173</v>
      </c>
      <c r="M234" s="7" t="s">
        <v>1538</v>
      </c>
      <c r="N234" s="7">
        <v>13566</v>
      </c>
      <c r="O234" s="7">
        <v>0</v>
      </c>
      <c r="P234" s="7">
        <v>4472</v>
      </c>
      <c r="Q234" s="7">
        <v>0</v>
      </c>
      <c r="R234" s="7">
        <v>0</v>
      </c>
      <c r="S234" s="7">
        <v>14183</v>
      </c>
      <c r="T234" s="7">
        <v>0</v>
      </c>
      <c r="U234" s="7">
        <v>0</v>
      </c>
      <c r="V234" s="7">
        <v>7399</v>
      </c>
      <c r="W234" s="7">
        <v>0</v>
      </c>
      <c r="X234" s="7" t="s">
        <v>110</v>
      </c>
      <c r="Y234" s="7" t="s">
        <v>47</v>
      </c>
      <c r="Z234" s="7">
        <v>0</v>
      </c>
      <c r="AA234" s="7">
        <v>6</v>
      </c>
      <c r="AB234" s="7"/>
      <c r="AC234" s="7"/>
    </row>
    <row r="235" spans="1:29">
      <c r="A235" s="7" t="s">
        <v>1181</v>
      </c>
      <c r="B235" s="7" t="s">
        <v>1182</v>
      </c>
      <c r="C235" s="7" t="s">
        <v>45</v>
      </c>
      <c r="D235" s="7" t="s">
        <v>1539</v>
      </c>
      <c r="E235" s="7" t="s">
        <v>93</v>
      </c>
      <c r="F235" s="7">
        <v>35300</v>
      </c>
      <c r="G235" s="7" t="s">
        <v>98</v>
      </c>
      <c r="H235" s="7" t="s">
        <v>37</v>
      </c>
      <c r="I235" s="7"/>
      <c r="J235" s="7"/>
      <c r="K235" s="7" t="s">
        <v>1184</v>
      </c>
      <c r="L235" s="7"/>
      <c r="M235" s="7" t="s">
        <v>1540</v>
      </c>
      <c r="N235" s="7">
        <v>13566</v>
      </c>
      <c r="O235" s="7">
        <v>1107</v>
      </c>
      <c r="P235" s="7">
        <v>2795</v>
      </c>
      <c r="Q235" s="7">
        <v>9249</v>
      </c>
      <c r="R235" s="7">
        <v>0</v>
      </c>
      <c r="S235" s="7">
        <v>0</v>
      </c>
      <c r="T235" s="7">
        <v>0</v>
      </c>
      <c r="U235" s="7">
        <v>0</v>
      </c>
      <c r="V235" s="7">
        <v>7400</v>
      </c>
      <c r="W235" s="7">
        <v>0</v>
      </c>
      <c r="X235" s="7" t="s">
        <v>91</v>
      </c>
      <c r="Y235" s="7" t="s">
        <v>37</v>
      </c>
      <c r="Z235" s="7">
        <v>0</v>
      </c>
      <c r="AA235" s="7">
        <v>6</v>
      </c>
      <c r="AB235" s="7"/>
      <c r="AC235" s="7"/>
    </row>
    <row r="236" spans="1:29">
      <c r="A236" s="7" t="s">
        <v>1181</v>
      </c>
      <c r="B236" s="7" t="s">
        <v>1182</v>
      </c>
      <c r="C236" s="7" t="s">
        <v>45</v>
      </c>
      <c r="D236" s="7" t="s">
        <v>1541</v>
      </c>
      <c r="E236" s="7" t="s">
        <v>93</v>
      </c>
      <c r="F236" s="7">
        <v>35300</v>
      </c>
      <c r="G236" s="7" t="s">
        <v>98</v>
      </c>
      <c r="H236" s="7" t="s">
        <v>37</v>
      </c>
      <c r="I236" s="7"/>
      <c r="J236" s="7"/>
      <c r="K236" s="7" t="s">
        <v>1184</v>
      </c>
      <c r="L236" s="7"/>
      <c r="M236" s="7" t="s">
        <v>1542</v>
      </c>
      <c r="N236" s="7">
        <v>13566</v>
      </c>
      <c r="O236" s="7">
        <v>1107</v>
      </c>
      <c r="P236" s="7">
        <v>2795</v>
      </c>
      <c r="Q236" s="7">
        <v>9249</v>
      </c>
      <c r="R236" s="7">
        <v>0</v>
      </c>
      <c r="S236" s="7">
        <v>0</v>
      </c>
      <c r="T236" s="7">
        <v>0</v>
      </c>
      <c r="U236" s="7">
        <v>0</v>
      </c>
      <c r="V236" s="7">
        <v>7400</v>
      </c>
      <c r="W236" s="7">
        <v>0</v>
      </c>
      <c r="X236" s="7" t="s">
        <v>91</v>
      </c>
      <c r="Y236" s="7" t="s">
        <v>37</v>
      </c>
      <c r="Z236" s="7">
        <v>0</v>
      </c>
      <c r="AA236" s="7">
        <v>6</v>
      </c>
      <c r="AB236" s="7"/>
      <c r="AC236" s="7"/>
    </row>
    <row r="237" spans="1:29">
      <c r="A237" s="7" t="s">
        <v>1181</v>
      </c>
      <c r="B237" s="7" t="s">
        <v>1182</v>
      </c>
      <c r="C237" s="7" t="s">
        <v>33</v>
      </c>
      <c r="D237" s="7" t="s">
        <v>1543</v>
      </c>
      <c r="E237" s="7" t="s">
        <v>598</v>
      </c>
      <c r="F237" s="7">
        <v>42100</v>
      </c>
      <c r="G237" s="7" t="s">
        <v>98</v>
      </c>
      <c r="H237" s="7" t="s">
        <v>37</v>
      </c>
      <c r="I237" s="7"/>
      <c r="J237" s="7"/>
      <c r="K237" s="7" t="s">
        <v>1184</v>
      </c>
      <c r="L237" s="7"/>
      <c r="M237" s="7" t="s">
        <v>1544</v>
      </c>
      <c r="N237" s="7">
        <v>16179</v>
      </c>
      <c r="O237" s="7">
        <v>1320</v>
      </c>
      <c r="P237" s="7">
        <v>3334</v>
      </c>
      <c r="Q237" s="7">
        <v>11031</v>
      </c>
      <c r="R237" s="7">
        <v>0</v>
      </c>
      <c r="S237" s="7">
        <v>0</v>
      </c>
      <c r="T237" s="7">
        <v>0</v>
      </c>
      <c r="U237" s="7">
        <v>0</v>
      </c>
      <c r="V237" s="7">
        <v>8825</v>
      </c>
      <c r="W237" s="7">
        <v>0</v>
      </c>
      <c r="X237" s="7" t="s">
        <v>98</v>
      </c>
      <c r="Y237" s="7" t="s">
        <v>47</v>
      </c>
      <c r="Z237" s="7">
        <v>0</v>
      </c>
      <c r="AA237" s="7">
        <v>6</v>
      </c>
      <c r="AB237" s="7"/>
      <c r="AC237" s="7"/>
    </row>
    <row r="238" spans="1:29">
      <c r="A238" s="7" t="s">
        <v>1181</v>
      </c>
      <c r="B238" s="7" t="s">
        <v>1182</v>
      </c>
      <c r="C238" s="7" t="s">
        <v>33</v>
      </c>
      <c r="D238" s="7" t="s">
        <v>1545</v>
      </c>
      <c r="E238" s="7" t="s">
        <v>93</v>
      </c>
      <c r="F238" s="7">
        <v>41400</v>
      </c>
      <c r="G238" s="7" t="s">
        <v>32</v>
      </c>
      <c r="H238" s="7" t="s">
        <v>37</v>
      </c>
      <c r="I238" s="7"/>
      <c r="J238" s="7"/>
      <c r="K238" s="7" t="s">
        <v>1172</v>
      </c>
      <c r="L238" s="7"/>
      <c r="M238" s="7" t="s">
        <v>1546</v>
      </c>
      <c r="N238" s="7">
        <v>15910</v>
      </c>
      <c r="O238" s="7">
        <v>1298</v>
      </c>
      <c r="P238" s="7">
        <v>3278</v>
      </c>
      <c r="Q238" s="7">
        <v>0</v>
      </c>
      <c r="R238" s="7">
        <v>0</v>
      </c>
      <c r="S238" s="7">
        <v>10848</v>
      </c>
      <c r="T238" s="7">
        <v>0</v>
      </c>
      <c r="U238" s="7">
        <v>0</v>
      </c>
      <c r="V238" s="7">
        <v>8678</v>
      </c>
      <c r="W238" s="7">
        <v>0</v>
      </c>
      <c r="X238" s="7" t="s">
        <v>37</v>
      </c>
      <c r="Y238" s="7" t="s">
        <v>98</v>
      </c>
      <c r="Z238" s="7">
        <v>0</v>
      </c>
      <c r="AA238" s="7">
        <v>6</v>
      </c>
      <c r="AB238" s="7"/>
      <c r="AC238" s="7"/>
    </row>
    <row r="239" spans="1:29">
      <c r="A239" s="7" t="s">
        <v>1181</v>
      </c>
      <c r="B239" s="7" t="s">
        <v>1182</v>
      </c>
      <c r="C239" s="7" t="s">
        <v>33</v>
      </c>
      <c r="D239" s="7" t="s">
        <v>1547</v>
      </c>
      <c r="E239" s="7" t="s">
        <v>93</v>
      </c>
      <c r="F239" s="7">
        <v>41400</v>
      </c>
      <c r="G239" s="7" t="s">
        <v>24</v>
      </c>
      <c r="H239" s="7" t="s">
        <v>37</v>
      </c>
      <c r="I239" s="7"/>
      <c r="J239" s="7"/>
      <c r="K239" s="7" t="s">
        <v>1191</v>
      </c>
      <c r="L239" s="7"/>
      <c r="M239" s="7" t="s">
        <v>1548</v>
      </c>
      <c r="N239" s="7">
        <v>15910</v>
      </c>
      <c r="O239" s="7">
        <v>1298</v>
      </c>
      <c r="P239" s="7">
        <v>3278</v>
      </c>
      <c r="Q239" s="7">
        <v>0</v>
      </c>
      <c r="R239" s="7">
        <v>0</v>
      </c>
      <c r="S239" s="7">
        <v>0</v>
      </c>
      <c r="T239" s="7">
        <v>10848</v>
      </c>
      <c r="U239" s="7">
        <v>0</v>
      </c>
      <c r="V239" s="7">
        <v>8678</v>
      </c>
      <c r="W239" s="7">
        <v>0</v>
      </c>
      <c r="X239" s="7" t="s">
        <v>47</v>
      </c>
      <c r="Y239" s="7" t="s">
        <v>91</v>
      </c>
      <c r="Z239" s="7">
        <v>0</v>
      </c>
      <c r="AA239" s="7">
        <v>6</v>
      </c>
      <c r="AB239" s="7"/>
      <c r="AC239" s="7"/>
    </row>
    <row r="240" spans="1:29">
      <c r="A240" s="7" t="s">
        <v>1181</v>
      </c>
      <c r="B240" s="7" t="s">
        <v>1182</v>
      </c>
      <c r="C240" s="7" t="s">
        <v>33</v>
      </c>
      <c r="D240" s="7" t="s">
        <v>1549</v>
      </c>
      <c r="E240" s="7" t="s">
        <v>93</v>
      </c>
      <c r="F240" s="7">
        <v>41400</v>
      </c>
      <c r="G240" s="7" t="s">
        <v>32</v>
      </c>
      <c r="H240" s="7" t="s">
        <v>37</v>
      </c>
      <c r="I240" s="7"/>
      <c r="J240" s="7"/>
      <c r="K240" s="7" t="s">
        <v>1172</v>
      </c>
      <c r="L240" s="7"/>
      <c r="M240" s="7" t="s">
        <v>1550</v>
      </c>
      <c r="N240" s="7">
        <v>15910</v>
      </c>
      <c r="O240" s="7">
        <v>1298</v>
      </c>
      <c r="P240" s="7">
        <v>3278</v>
      </c>
      <c r="Q240" s="7">
        <v>0</v>
      </c>
      <c r="R240" s="7">
        <v>0</v>
      </c>
      <c r="S240" s="7">
        <v>10848</v>
      </c>
      <c r="T240" s="7">
        <v>0</v>
      </c>
      <c r="U240" s="7">
        <v>0</v>
      </c>
      <c r="V240" s="7">
        <v>8678</v>
      </c>
      <c r="W240" s="7">
        <v>0</v>
      </c>
      <c r="X240" s="7" t="s">
        <v>37</v>
      </c>
      <c r="Y240" s="7" t="s">
        <v>98</v>
      </c>
      <c r="Z240" s="7">
        <v>0</v>
      </c>
      <c r="AA240" s="7">
        <v>6</v>
      </c>
      <c r="AB240" s="7"/>
      <c r="AC240" s="7"/>
    </row>
    <row r="241" spans="1:29">
      <c r="A241" s="7" t="s">
        <v>1181</v>
      </c>
      <c r="B241" s="7" t="s">
        <v>1182</v>
      </c>
      <c r="C241" s="7" t="s">
        <v>33</v>
      </c>
      <c r="D241" s="7" t="s">
        <v>1960</v>
      </c>
      <c r="E241" s="7" t="s">
        <v>787</v>
      </c>
      <c r="F241" s="7">
        <v>41400</v>
      </c>
      <c r="G241" s="7" t="s">
        <v>98</v>
      </c>
      <c r="H241" s="7" t="s">
        <v>37</v>
      </c>
      <c r="I241" s="7"/>
      <c r="J241" s="7"/>
      <c r="K241" s="7" t="s">
        <v>1184</v>
      </c>
      <c r="L241" s="7"/>
      <c r="M241" s="7" t="s">
        <v>34</v>
      </c>
      <c r="N241" s="7">
        <v>15910</v>
      </c>
      <c r="O241" s="7">
        <v>1298</v>
      </c>
      <c r="P241" s="7">
        <v>3278</v>
      </c>
      <c r="Q241" s="7">
        <v>10848</v>
      </c>
      <c r="R241" s="7">
        <v>0</v>
      </c>
      <c r="S241" s="7">
        <v>0</v>
      </c>
      <c r="T241" s="7">
        <v>0</v>
      </c>
      <c r="U241" s="7">
        <v>0</v>
      </c>
      <c r="V241" s="7">
        <v>8678</v>
      </c>
      <c r="W241" s="7">
        <v>0</v>
      </c>
      <c r="X241" s="7" t="s">
        <v>98</v>
      </c>
      <c r="Y241" s="7" t="s">
        <v>47</v>
      </c>
      <c r="Z241" s="7">
        <v>0</v>
      </c>
      <c r="AA241" s="7">
        <v>6</v>
      </c>
      <c r="AB241" s="7"/>
      <c r="AC241" s="7"/>
    </row>
    <row r="242" spans="1:29">
      <c r="A242" s="7" t="s">
        <v>1168</v>
      </c>
      <c r="B242" s="7" t="s">
        <v>1176</v>
      </c>
      <c r="C242" s="7" t="s">
        <v>33</v>
      </c>
      <c r="D242" s="7" t="s">
        <v>1552</v>
      </c>
      <c r="E242" s="7" t="s">
        <v>93</v>
      </c>
      <c r="F242" s="7">
        <v>41400</v>
      </c>
      <c r="G242" s="7" t="s">
        <v>37</v>
      </c>
      <c r="H242" s="7"/>
      <c r="I242" s="7"/>
      <c r="J242" s="7"/>
      <c r="K242" s="7" t="s">
        <v>37</v>
      </c>
      <c r="L242" s="7" t="s">
        <v>1226</v>
      </c>
      <c r="M242" s="7" t="s">
        <v>1553</v>
      </c>
      <c r="N242" s="7">
        <v>15910</v>
      </c>
      <c r="O242" s="7">
        <v>0</v>
      </c>
      <c r="P242" s="7">
        <v>7430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18803</v>
      </c>
      <c r="W242" s="7">
        <v>0</v>
      </c>
      <c r="X242" s="7" t="s">
        <v>98</v>
      </c>
      <c r="Y242" s="7" t="s">
        <v>37</v>
      </c>
      <c r="Z242" s="7">
        <v>0</v>
      </c>
      <c r="AA242" s="7">
        <v>6</v>
      </c>
      <c r="AB242" s="7"/>
      <c r="AC242" s="7"/>
    </row>
    <row r="243" spans="1:29">
      <c r="A243" s="7" t="s">
        <v>1168</v>
      </c>
      <c r="B243" s="7" t="s">
        <v>1233</v>
      </c>
      <c r="C243" s="7" t="s">
        <v>33</v>
      </c>
      <c r="D243" s="7" t="s">
        <v>1554</v>
      </c>
      <c r="E243" s="7" t="s">
        <v>93</v>
      </c>
      <c r="F243" s="7">
        <v>41400</v>
      </c>
      <c r="G243" s="7" t="s">
        <v>98</v>
      </c>
      <c r="H243" s="7" t="s">
        <v>37</v>
      </c>
      <c r="I243" s="7"/>
      <c r="J243" s="7"/>
      <c r="K243" s="7" t="s">
        <v>1184</v>
      </c>
      <c r="L243" s="7" t="s">
        <v>1226</v>
      </c>
      <c r="M243" s="7" t="s">
        <v>1555</v>
      </c>
      <c r="N243" s="7">
        <v>15910</v>
      </c>
      <c r="O243" s="7">
        <v>0</v>
      </c>
      <c r="P243" s="7">
        <v>5245</v>
      </c>
      <c r="Q243" s="7">
        <v>10125</v>
      </c>
      <c r="R243" s="7">
        <v>0</v>
      </c>
      <c r="S243" s="7">
        <v>0</v>
      </c>
      <c r="T243" s="7">
        <v>0</v>
      </c>
      <c r="U243" s="7">
        <v>0</v>
      </c>
      <c r="V243" s="7">
        <v>15910</v>
      </c>
      <c r="W243" s="7">
        <v>0</v>
      </c>
      <c r="X243" s="7" t="s">
        <v>47</v>
      </c>
      <c r="Y243" s="7" t="s">
        <v>37</v>
      </c>
      <c r="Z243" s="7">
        <v>0</v>
      </c>
      <c r="AA243" s="7">
        <v>6</v>
      </c>
      <c r="AB243" s="7"/>
      <c r="AC243" s="7"/>
    </row>
    <row r="244" spans="1:29">
      <c r="A244" s="7" t="s">
        <v>1168</v>
      </c>
      <c r="B244" s="7" t="s">
        <v>1233</v>
      </c>
      <c r="C244" s="7" t="s">
        <v>33</v>
      </c>
      <c r="D244" s="7" t="s">
        <v>1556</v>
      </c>
      <c r="E244" s="7" t="s">
        <v>93</v>
      </c>
      <c r="F244" s="7">
        <v>41400</v>
      </c>
      <c r="G244" s="7" t="s">
        <v>32</v>
      </c>
      <c r="H244" s="7" t="s">
        <v>37</v>
      </c>
      <c r="I244" s="7"/>
      <c r="J244" s="7"/>
      <c r="K244" s="7" t="s">
        <v>1172</v>
      </c>
      <c r="L244" s="7" t="s">
        <v>1226</v>
      </c>
      <c r="M244" s="7" t="s">
        <v>1557</v>
      </c>
      <c r="N244" s="7">
        <v>15910</v>
      </c>
      <c r="O244" s="7">
        <v>0</v>
      </c>
      <c r="P244" s="7">
        <v>5245</v>
      </c>
      <c r="Q244" s="7">
        <v>0</v>
      </c>
      <c r="R244" s="7">
        <v>0</v>
      </c>
      <c r="S244" s="7">
        <v>10125</v>
      </c>
      <c r="T244" s="7">
        <v>0</v>
      </c>
      <c r="U244" s="7">
        <v>0</v>
      </c>
      <c r="V244" s="7">
        <v>15910</v>
      </c>
      <c r="W244" s="7">
        <v>0</v>
      </c>
      <c r="X244" s="7" t="s">
        <v>32</v>
      </c>
      <c r="Y244" s="7" t="s">
        <v>47</v>
      </c>
      <c r="Z244" s="7">
        <v>0</v>
      </c>
      <c r="AA244" s="7">
        <v>6</v>
      </c>
      <c r="AB244" s="7"/>
      <c r="AC244" s="7"/>
    </row>
    <row r="245" spans="1:29">
      <c r="A245" s="7" t="s">
        <v>1168</v>
      </c>
      <c r="B245" s="7" t="s">
        <v>1233</v>
      </c>
      <c r="C245" s="7" t="s">
        <v>33</v>
      </c>
      <c r="D245" s="7" t="s">
        <v>1558</v>
      </c>
      <c r="E245" s="7" t="s">
        <v>93</v>
      </c>
      <c r="F245" s="7">
        <v>41400</v>
      </c>
      <c r="G245" s="7" t="s">
        <v>110</v>
      </c>
      <c r="H245" s="7" t="s">
        <v>37</v>
      </c>
      <c r="I245" s="7"/>
      <c r="J245" s="7"/>
      <c r="K245" s="7" t="s">
        <v>1187</v>
      </c>
      <c r="L245" s="7" t="s">
        <v>1226</v>
      </c>
      <c r="M245" s="7" t="s">
        <v>1559</v>
      </c>
      <c r="N245" s="7">
        <v>15910</v>
      </c>
      <c r="O245" s="7">
        <v>0</v>
      </c>
      <c r="P245" s="7">
        <v>4371</v>
      </c>
      <c r="Q245" s="7">
        <v>0</v>
      </c>
      <c r="R245" s="7">
        <v>0</v>
      </c>
      <c r="S245" s="7">
        <v>0</v>
      </c>
      <c r="T245" s="7">
        <v>0</v>
      </c>
      <c r="U245" s="7">
        <v>20611</v>
      </c>
      <c r="V245" s="7">
        <v>10848</v>
      </c>
      <c r="W245" s="7">
        <v>0</v>
      </c>
      <c r="X245" s="7" t="s">
        <v>110</v>
      </c>
      <c r="Y245" s="7" t="s">
        <v>37</v>
      </c>
      <c r="Z245" s="7">
        <v>0</v>
      </c>
      <c r="AA245" s="7">
        <v>6</v>
      </c>
      <c r="AB245" s="7"/>
      <c r="AC245" s="7"/>
    </row>
    <row r="246" spans="1:29">
      <c r="A246" s="7" t="s">
        <v>1168</v>
      </c>
      <c r="B246" s="7" t="s">
        <v>1176</v>
      </c>
      <c r="C246" s="7" t="s">
        <v>33</v>
      </c>
      <c r="D246" s="7" t="s">
        <v>1560</v>
      </c>
      <c r="E246" s="7" t="s">
        <v>93</v>
      </c>
      <c r="F246" s="7">
        <v>41400</v>
      </c>
      <c r="G246" s="7" t="s">
        <v>98</v>
      </c>
      <c r="H246" s="7" t="s">
        <v>32</v>
      </c>
      <c r="I246" s="7" t="s">
        <v>37</v>
      </c>
      <c r="J246" s="7"/>
      <c r="K246" s="7" t="s">
        <v>1206</v>
      </c>
      <c r="L246" s="7" t="s">
        <v>1226</v>
      </c>
      <c r="M246" s="7" t="s">
        <v>1561</v>
      </c>
      <c r="N246" s="7">
        <v>15910</v>
      </c>
      <c r="O246" s="7">
        <v>0</v>
      </c>
      <c r="P246" s="7">
        <v>6337</v>
      </c>
      <c r="Q246" s="7">
        <v>7955</v>
      </c>
      <c r="R246" s="7">
        <v>0</v>
      </c>
      <c r="S246" s="7">
        <v>7955</v>
      </c>
      <c r="T246" s="7">
        <v>0</v>
      </c>
      <c r="U246" s="7">
        <v>0</v>
      </c>
      <c r="V246" s="7">
        <v>7955</v>
      </c>
      <c r="W246" s="7">
        <v>0</v>
      </c>
      <c r="X246" s="7" t="s">
        <v>42</v>
      </c>
      <c r="Y246" s="7" t="s">
        <v>47</v>
      </c>
      <c r="Z246" s="7">
        <v>0</v>
      </c>
      <c r="AA246" s="7">
        <v>6</v>
      </c>
      <c r="AB246" s="7"/>
      <c r="AC246" s="7"/>
    </row>
    <row r="247" spans="1:29">
      <c r="A247" s="7" t="s">
        <v>1168</v>
      </c>
      <c r="B247" s="7" t="s">
        <v>1176</v>
      </c>
      <c r="C247" s="7" t="s">
        <v>33</v>
      </c>
      <c r="D247" s="7" t="s">
        <v>1562</v>
      </c>
      <c r="E247" s="7" t="s">
        <v>93</v>
      </c>
      <c r="F247" s="7">
        <v>41400</v>
      </c>
      <c r="G247" s="7" t="s">
        <v>98</v>
      </c>
      <c r="H247" s="7" t="s">
        <v>110</v>
      </c>
      <c r="I247" s="7" t="s">
        <v>37</v>
      </c>
      <c r="J247" s="7"/>
      <c r="K247" s="7" t="s">
        <v>1239</v>
      </c>
      <c r="L247" s="7" t="s">
        <v>1226</v>
      </c>
      <c r="M247" s="7" t="s">
        <v>1563</v>
      </c>
      <c r="N247" s="7">
        <v>15910</v>
      </c>
      <c r="O247" s="7">
        <v>0</v>
      </c>
      <c r="P247" s="7">
        <v>6337</v>
      </c>
      <c r="Q247" s="7">
        <v>7955</v>
      </c>
      <c r="R247" s="7">
        <v>0</v>
      </c>
      <c r="S247" s="7">
        <v>0</v>
      </c>
      <c r="T247" s="7">
        <v>0</v>
      </c>
      <c r="U247" s="7">
        <v>7955</v>
      </c>
      <c r="V247" s="7">
        <v>7955</v>
      </c>
      <c r="W247" s="7">
        <v>0</v>
      </c>
      <c r="X247" s="7" t="s">
        <v>98</v>
      </c>
      <c r="Y247" s="7" t="s">
        <v>37</v>
      </c>
      <c r="Z247" s="7">
        <v>0</v>
      </c>
      <c r="AA247" s="7">
        <v>6</v>
      </c>
      <c r="AB247" s="7"/>
      <c r="AC247" s="7"/>
    </row>
    <row r="248" spans="1:29">
      <c r="A248" s="7" t="s">
        <v>1168</v>
      </c>
      <c r="B248" s="7" t="s">
        <v>1176</v>
      </c>
      <c r="C248" s="7" t="s">
        <v>33</v>
      </c>
      <c r="D248" s="7" t="s">
        <v>1564</v>
      </c>
      <c r="E248" s="7" t="s">
        <v>93</v>
      </c>
      <c r="F248" s="7">
        <v>41400</v>
      </c>
      <c r="G248" s="7" t="s">
        <v>32</v>
      </c>
      <c r="H248" s="7" t="s">
        <v>110</v>
      </c>
      <c r="I248" s="7" t="s">
        <v>37</v>
      </c>
      <c r="J248" s="7"/>
      <c r="K248" s="7" t="s">
        <v>1207</v>
      </c>
      <c r="L248" s="7" t="s">
        <v>1226</v>
      </c>
      <c r="M248" s="7" t="s">
        <v>270</v>
      </c>
      <c r="N248" s="7">
        <v>15910</v>
      </c>
      <c r="O248" s="7">
        <v>0</v>
      </c>
      <c r="P248" s="7">
        <v>6337</v>
      </c>
      <c r="Q248" s="7">
        <v>0</v>
      </c>
      <c r="R248" s="7">
        <v>0</v>
      </c>
      <c r="S248" s="7">
        <v>7955</v>
      </c>
      <c r="T248" s="7">
        <v>0</v>
      </c>
      <c r="U248" s="7">
        <v>7955</v>
      </c>
      <c r="V248" s="7">
        <v>7955</v>
      </c>
      <c r="W248" s="7">
        <v>0</v>
      </c>
      <c r="X248" s="7" t="s">
        <v>32</v>
      </c>
      <c r="Y248" s="7" t="s">
        <v>37</v>
      </c>
      <c r="Z248" s="7">
        <v>0</v>
      </c>
      <c r="AA248" s="7">
        <v>6</v>
      </c>
      <c r="AB248" s="7"/>
      <c r="AC248" s="7"/>
    </row>
    <row r="249" spans="1:29">
      <c r="A249" s="7" t="s">
        <v>1168</v>
      </c>
      <c r="B249" s="7" t="s">
        <v>1228</v>
      </c>
      <c r="C249" s="7" t="s">
        <v>33</v>
      </c>
      <c r="D249" s="7" t="s">
        <v>1565</v>
      </c>
      <c r="E249" s="7" t="s">
        <v>93</v>
      </c>
      <c r="F249" s="7">
        <v>41400</v>
      </c>
      <c r="G249" s="7" t="s">
        <v>24</v>
      </c>
      <c r="H249" s="7" t="s">
        <v>37</v>
      </c>
      <c r="I249" s="7"/>
      <c r="J249" s="7"/>
      <c r="K249" s="7" t="s">
        <v>1191</v>
      </c>
      <c r="L249" s="7" t="s">
        <v>1226</v>
      </c>
      <c r="M249" s="7" t="s">
        <v>1566</v>
      </c>
      <c r="N249" s="7">
        <v>15910</v>
      </c>
      <c r="O249" s="7">
        <v>0</v>
      </c>
      <c r="P249" s="7">
        <v>7452</v>
      </c>
      <c r="Q249" s="7">
        <v>0</v>
      </c>
      <c r="R249" s="7">
        <v>0</v>
      </c>
      <c r="S249" s="7">
        <v>0</v>
      </c>
      <c r="T249" s="7">
        <v>8967</v>
      </c>
      <c r="U249" s="7">
        <v>0</v>
      </c>
      <c r="V249" s="7">
        <v>11209</v>
      </c>
      <c r="W249" s="7">
        <v>0</v>
      </c>
      <c r="X249" s="7" t="s">
        <v>98</v>
      </c>
      <c r="Y249" s="7" t="s">
        <v>110</v>
      </c>
      <c r="Z249" s="7">
        <v>0</v>
      </c>
      <c r="AA249" s="7">
        <v>6</v>
      </c>
      <c r="AB249" s="7"/>
      <c r="AC249" s="7"/>
    </row>
    <row r="250" spans="1:29">
      <c r="A250" s="7" t="s">
        <v>1168</v>
      </c>
      <c r="B250" s="7" t="s">
        <v>1205</v>
      </c>
      <c r="C250" s="7" t="s">
        <v>33</v>
      </c>
      <c r="D250" s="7" t="s">
        <v>1567</v>
      </c>
      <c r="E250" s="7" t="s">
        <v>655</v>
      </c>
      <c r="F250" s="7">
        <v>41400</v>
      </c>
      <c r="G250" s="7" t="s">
        <v>98</v>
      </c>
      <c r="H250" s="7" t="s">
        <v>110</v>
      </c>
      <c r="I250" s="7" t="s">
        <v>32</v>
      </c>
      <c r="J250" s="7" t="s">
        <v>37</v>
      </c>
      <c r="K250" s="7" t="s">
        <v>1331</v>
      </c>
      <c r="L250" s="7" t="s">
        <v>1173</v>
      </c>
      <c r="M250" s="7" t="s">
        <v>1568</v>
      </c>
      <c r="N250" s="7">
        <v>15910</v>
      </c>
      <c r="O250" s="7">
        <v>0</v>
      </c>
      <c r="P250" s="7">
        <v>5135</v>
      </c>
      <c r="Q250" s="7">
        <v>7231</v>
      </c>
      <c r="R250" s="7">
        <v>0</v>
      </c>
      <c r="S250" s="7">
        <v>7231</v>
      </c>
      <c r="T250" s="7">
        <v>0</v>
      </c>
      <c r="U250" s="7">
        <v>7231</v>
      </c>
      <c r="V250" s="7">
        <v>7231</v>
      </c>
      <c r="W250" s="7">
        <v>0</v>
      </c>
      <c r="X250" s="7" t="s">
        <v>98</v>
      </c>
      <c r="Y250" s="7" t="s">
        <v>110</v>
      </c>
      <c r="Z250" s="7">
        <v>0</v>
      </c>
      <c r="AA250" s="7">
        <v>6</v>
      </c>
      <c r="AB250" s="7"/>
      <c r="AC250" s="7"/>
    </row>
    <row r="251" spans="1:29">
      <c r="A251" s="7" t="s">
        <v>1168</v>
      </c>
      <c r="B251" s="7" t="s">
        <v>1176</v>
      </c>
      <c r="C251" s="7" t="s">
        <v>33</v>
      </c>
      <c r="D251" s="7" t="s">
        <v>1569</v>
      </c>
      <c r="E251" s="7" t="s">
        <v>655</v>
      </c>
      <c r="F251" s="7">
        <v>41400</v>
      </c>
      <c r="G251" s="7" t="s">
        <v>110</v>
      </c>
      <c r="H251" s="7"/>
      <c r="I251" s="7"/>
      <c r="J251" s="7"/>
      <c r="K251" s="7" t="s">
        <v>110</v>
      </c>
      <c r="L251" s="7" t="s">
        <v>1173</v>
      </c>
      <c r="M251" s="7" t="s">
        <v>1570</v>
      </c>
      <c r="N251" s="7">
        <v>15910</v>
      </c>
      <c r="O251" s="7">
        <v>0</v>
      </c>
      <c r="P251" s="7">
        <v>6118</v>
      </c>
      <c r="Q251" s="7">
        <v>0</v>
      </c>
      <c r="R251" s="7">
        <v>0</v>
      </c>
      <c r="S251" s="7">
        <v>0</v>
      </c>
      <c r="T251" s="7">
        <v>0</v>
      </c>
      <c r="U251" s="7">
        <v>22419</v>
      </c>
      <c r="V251" s="7">
        <v>0</v>
      </c>
      <c r="W251" s="7">
        <v>0</v>
      </c>
      <c r="X251" s="7" t="s">
        <v>98</v>
      </c>
      <c r="Y251" s="7" t="s">
        <v>110</v>
      </c>
      <c r="Z251" s="7">
        <v>0</v>
      </c>
      <c r="AA251" s="7">
        <v>6</v>
      </c>
      <c r="AB251" s="7"/>
      <c r="AC251" s="7"/>
    </row>
    <row r="252" spans="1:29">
      <c r="A252" s="7" t="s">
        <v>1168</v>
      </c>
      <c r="B252" s="7" t="s">
        <v>1248</v>
      </c>
      <c r="C252" s="7" t="s">
        <v>33</v>
      </c>
      <c r="D252" s="7" t="s">
        <v>1571</v>
      </c>
      <c r="E252" s="7" t="s">
        <v>655</v>
      </c>
      <c r="F252" s="7">
        <v>41400</v>
      </c>
      <c r="G252" s="7" t="s">
        <v>98</v>
      </c>
      <c r="H252" s="7" t="s">
        <v>37</v>
      </c>
      <c r="I252" s="7"/>
      <c r="J252" s="7"/>
      <c r="K252" s="7" t="s">
        <v>1184</v>
      </c>
      <c r="L252" s="7" t="s">
        <v>1173</v>
      </c>
      <c r="M252" s="7" t="s">
        <v>1572</v>
      </c>
      <c r="N252" s="7">
        <v>15910</v>
      </c>
      <c r="O252" s="7">
        <v>0</v>
      </c>
      <c r="P252" s="7">
        <v>2185</v>
      </c>
      <c r="Q252" s="7">
        <v>28203</v>
      </c>
      <c r="R252" s="7">
        <v>0</v>
      </c>
      <c r="S252" s="7">
        <v>0</v>
      </c>
      <c r="T252" s="7">
        <v>0</v>
      </c>
      <c r="U252" s="7">
        <v>0</v>
      </c>
      <c r="V252" s="7">
        <v>8679</v>
      </c>
      <c r="W252" s="7">
        <v>0</v>
      </c>
      <c r="X252" s="7" t="s">
        <v>47</v>
      </c>
      <c r="Y252" s="7" t="s">
        <v>37</v>
      </c>
      <c r="Z252" s="7">
        <v>0</v>
      </c>
      <c r="AA252" s="7">
        <v>6</v>
      </c>
      <c r="AB252" s="7"/>
      <c r="AC252" s="7"/>
    </row>
    <row r="253" spans="1:29">
      <c r="A253" s="7" t="s">
        <v>1168</v>
      </c>
      <c r="B253" s="7" t="s">
        <v>1248</v>
      </c>
      <c r="C253" s="7" t="s">
        <v>33</v>
      </c>
      <c r="D253" s="7" t="s">
        <v>1573</v>
      </c>
      <c r="E253" s="7" t="s">
        <v>655</v>
      </c>
      <c r="F253" s="7">
        <v>41400</v>
      </c>
      <c r="G253" s="7" t="s">
        <v>32</v>
      </c>
      <c r="H253" s="7" t="s">
        <v>37</v>
      </c>
      <c r="I253" s="7"/>
      <c r="J253" s="7"/>
      <c r="K253" s="7" t="s">
        <v>1172</v>
      </c>
      <c r="L253" s="7" t="s">
        <v>1173</v>
      </c>
      <c r="M253" s="7" t="s">
        <v>1574</v>
      </c>
      <c r="N253" s="7">
        <v>15910</v>
      </c>
      <c r="O253" s="7">
        <v>0</v>
      </c>
      <c r="P253" s="7">
        <v>2185</v>
      </c>
      <c r="Q253" s="7">
        <v>0</v>
      </c>
      <c r="R253" s="7">
        <v>0</v>
      </c>
      <c r="S253" s="7">
        <v>28203</v>
      </c>
      <c r="T253" s="7">
        <v>0</v>
      </c>
      <c r="U253" s="7">
        <v>0</v>
      </c>
      <c r="V253" s="7">
        <v>8679</v>
      </c>
      <c r="W253" s="7">
        <v>0</v>
      </c>
      <c r="X253" s="7" t="s">
        <v>32</v>
      </c>
      <c r="Y253" s="7" t="s">
        <v>47</v>
      </c>
      <c r="Z253" s="7">
        <v>0</v>
      </c>
      <c r="AA253" s="7">
        <v>6</v>
      </c>
      <c r="AB253" s="7"/>
      <c r="AC253" s="7"/>
    </row>
    <row r="254" spans="1:29">
      <c r="A254" s="7" t="s">
        <v>1168</v>
      </c>
      <c r="B254" s="7" t="s">
        <v>1205</v>
      </c>
      <c r="C254" s="7" t="s">
        <v>33</v>
      </c>
      <c r="D254" s="7" t="s">
        <v>1575</v>
      </c>
      <c r="E254" s="7" t="s">
        <v>656</v>
      </c>
      <c r="F254" s="7">
        <v>41400</v>
      </c>
      <c r="G254" s="7" t="s">
        <v>98</v>
      </c>
      <c r="H254" s="7"/>
      <c r="I254" s="7"/>
      <c r="J254" s="7"/>
      <c r="K254" s="7" t="s">
        <v>98</v>
      </c>
      <c r="L254" s="7" t="s">
        <v>1173</v>
      </c>
      <c r="M254" s="7" t="s">
        <v>271</v>
      </c>
      <c r="N254" s="7">
        <v>15910</v>
      </c>
      <c r="O254" s="7">
        <v>0</v>
      </c>
      <c r="P254" s="7">
        <v>6337</v>
      </c>
      <c r="Q254" s="7">
        <v>10847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 t="s">
        <v>42</v>
      </c>
      <c r="Y254" s="7" t="s">
        <v>37</v>
      </c>
      <c r="Z254" s="7">
        <v>0</v>
      </c>
      <c r="AA254" s="7">
        <v>6</v>
      </c>
      <c r="AB254" s="7"/>
      <c r="AC254" s="7"/>
    </row>
    <row r="255" spans="1:29">
      <c r="A255" s="7" t="s">
        <v>1168</v>
      </c>
      <c r="B255" s="7" t="s">
        <v>1248</v>
      </c>
      <c r="C255" s="7" t="s">
        <v>33</v>
      </c>
      <c r="D255" s="7" t="s">
        <v>1576</v>
      </c>
      <c r="E255" s="7" t="s">
        <v>656</v>
      </c>
      <c r="F255" s="7">
        <v>41400</v>
      </c>
      <c r="G255" s="7" t="s">
        <v>32</v>
      </c>
      <c r="H255" s="7"/>
      <c r="I255" s="7"/>
      <c r="J255" s="7"/>
      <c r="K255" s="7" t="s">
        <v>32</v>
      </c>
      <c r="L255" s="7" t="s">
        <v>1173</v>
      </c>
      <c r="M255" s="7" t="s">
        <v>1577</v>
      </c>
      <c r="N255" s="7">
        <v>15910</v>
      </c>
      <c r="O255" s="7">
        <v>0</v>
      </c>
      <c r="P255" s="7">
        <v>6337</v>
      </c>
      <c r="Q255" s="7">
        <v>0</v>
      </c>
      <c r="R255" s="7">
        <v>0</v>
      </c>
      <c r="S255" s="7">
        <v>10847</v>
      </c>
      <c r="T255" s="7">
        <v>0</v>
      </c>
      <c r="U255" s="7">
        <v>0</v>
      </c>
      <c r="V255" s="7">
        <v>0</v>
      </c>
      <c r="W255" s="7">
        <v>0</v>
      </c>
      <c r="X255" s="7" t="s">
        <v>32</v>
      </c>
      <c r="Y255" s="7" t="s">
        <v>37</v>
      </c>
      <c r="Z255" s="7">
        <v>0</v>
      </c>
      <c r="AA255" s="7">
        <v>6</v>
      </c>
      <c r="AB255" s="7"/>
      <c r="AC255" s="7"/>
    </row>
    <row r="256" spans="1:29">
      <c r="A256" s="7" t="s">
        <v>1168</v>
      </c>
      <c r="B256" s="7" t="s">
        <v>1228</v>
      </c>
      <c r="C256" s="7" t="s">
        <v>33</v>
      </c>
      <c r="D256" s="7" t="s">
        <v>1578</v>
      </c>
      <c r="E256" s="7" t="s">
        <v>667</v>
      </c>
      <c r="F256" s="7">
        <v>41400</v>
      </c>
      <c r="G256" s="7" t="s">
        <v>24</v>
      </c>
      <c r="H256" s="7" t="s">
        <v>37</v>
      </c>
      <c r="I256" s="7"/>
      <c r="J256" s="7"/>
      <c r="K256" s="7" t="s">
        <v>1191</v>
      </c>
      <c r="L256" s="7" t="s">
        <v>1173</v>
      </c>
      <c r="M256" s="7" t="s">
        <v>1579</v>
      </c>
      <c r="N256" s="7">
        <v>15910</v>
      </c>
      <c r="O256" s="7">
        <v>0</v>
      </c>
      <c r="P256" s="7">
        <v>7452</v>
      </c>
      <c r="Q256" s="7">
        <v>0</v>
      </c>
      <c r="R256" s="7">
        <v>0</v>
      </c>
      <c r="S256" s="7">
        <v>0</v>
      </c>
      <c r="T256" s="7">
        <v>8967</v>
      </c>
      <c r="U256" s="7">
        <v>0</v>
      </c>
      <c r="V256" s="7">
        <v>11209</v>
      </c>
      <c r="W256" s="7">
        <v>0</v>
      </c>
      <c r="X256" s="7" t="s">
        <v>98</v>
      </c>
      <c r="Y256" s="7" t="s">
        <v>110</v>
      </c>
      <c r="Z256" s="7">
        <v>0</v>
      </c>
      <c r="AA256" s="7">
        <v>6</v>
      </c>
      <c r="AB256" s="7"/>
      <c r="AC256" s="7"/>
    </row>
    <row r="257" spans="1:29">
      <c r="A257" s="7" t="s">
        <v>1181</v>
      </c>
      <c r="B257" s="7" t="s">
        <v>1182</v>
      </c>
      <c r="C257" s="7" t="s">
        <v>33</v>
      </c>
      <c r="D257" s="7" t="s">
        <v>1580</v>
      </c>
      <c r="E257" s="7" t="s">
        <v>601</v>
      </c>
      <c r="F257" s="7">
        <v>35900</v>
      </c>
      <c r="G257" s="7" t="s">
        <v>98</v>
      </c>
      <c r="H257" s="7" t="s">
        <v>37</v>
      </c>
      <c r="I257" s="7"/>
      <c r="J257" s="7"/>
      <c r="K257" s="7" t="s">
        <v>1184</v>
      </c>
      <c r="L257" s="7"/>
      <c r="M257" s="7" t="s">
        <v>1581</v>
      </c>
      <c r="N257" s="7">
        <v>13796</v>
      </c>
      <c r="O257" s="7">
        <v>1126</v>
      </c>
      <c r="P257" s="7">
        <v>2843</v>
      </c>
      <c r="Q257" s="7">
        <v>9407</v>
      </c>
      <c r="R257" s="7">
        <v>0</v>
      </c>
      <c r="S257" s="7">
        <v>0</v>
      </c>
      <c r="T257" s="7">
        <v>0</v>
      </c>
      <c r="U257" s="7">
        <v>0</v>
      </c>
      <c r="V257" s="7">
        <v>7525</v>
      </c>
      <c r="W257" s="7">
        <v>0</v>
      </c>
      <c r="X257" s="7" t="s">
        <v>98</v>
      </c>
      <c r="Y257" s="7" t="s">
        <v>47</v>
      </c>
      <c r="Z257" s="7">
        <v>0</v>
      </c>
      <c r="AA257" s="7">
        <v>6</v>
      </c>
      <c r="AB257" s="7"/>
      <c r="AC257" s="7"/>
    </row>
    <row r="258" spans="1:29">
      <c r="A258" s="7" t="s">
        <v>1181</v>
      </c>
      <c r="B258" s="7" t="s">
        <v>1182</v>
      </c>
      <c r="C258" s="7" t="s">
        <v>33</v>
      </c>
      <c r="D258" s="7" t="s">
        <v>1582</v>
      </c>
      <c r="E258" s="7" t="s">
        <v>93</v>
      </c>
      <c r="F258" s="7">
        <v>35300</v>
      </c>
      <c r="G258" s="7" t="s">
        <v>32</v>
      </c>
      <c r="H258" s="7" t="s">
        <v>37</v>
      </c>
      <c r="I258" s="7"/>
      <c r="J258" s="7"/>
      <c r="K258" s="7" t="s">
        <v>1172</v>
      </c>
      <c r="L258" s="7"/>
      <c r="M258" s="7" t="s">
        <v>1583</v>
      </c>
      <c r="N258" s="7">
        <v>13566</v>
      </c>
      <c r="O258" s="7">
        <v>1107</v>
      </c>
      <c r="P258" s="7">
        <v>2795</v>
      </c>
      <c r="Q258" s="7">
        <v>0</v>
      </c>
      <c r="R258" s="7">
        <v>0</v>
      </c>
      <c r="S258" s="7">
        <v>9249</v>
      </c>
      <c r="T258" s="7">
        <v>0</v>
      </c>
      <c r="U258" s="7">
        <v>0</v>
      </c>
      <c r="V258" s="7">
        <v>7400</v>
      </c>
      <c r="W258" s="7">
        <v>0</v>
      </c>
      <c r="X258" s="7" t="s">
        <v>37</v>
      </c>
      <c r="Y258" s="7" t="s">
        <v>98</v>
      </c>
      <c r="Z258" s="7">
        <v>0</v>
      </c>
      <c r="AA258" s="7">
        <v>6</v>
      </c>
      <c r="AB258" s="7"/>
      <c r="AC258" s="7"/>
    </row>
    <row r="259" spans="1:29">
      <c r="A259" s="7" t="s">
        <v>1181</v>
      </c>
      <c r="B259" s="7" t="s">
        <v>1182</v>
      </c>
      <c r="C259" s="7" t="s">
        <v>33</v>
      </c>
      <c r="D259" s="7" t="s">
        <v>1584</v>
      </c>
      <c r="E259" s="7" t="s">
        <v>93</v>
      </c>
      <c r="F259" s="7">
        <v>35300</v>
      </c>
      <c r="G259" s="7" t="s">
        <v>24</v>
      </c>
      <c r="H259" s="7" t="s">
        <v>37</v>
      </c>
      <c r="I259" s="7"/>
      <c r="J259" s="7"/>
      <c r="K259" s="7" t="s">
        <v>1191</v>
      </c>
      <c r="L259" s="7"/>
      <c r="M259" s="7" t="s">
        <v>1585</v>
      </c>
      <c r="N259" s="7">
        <v>13566</v>
      </c>
      <c r="O259" s="7">
        <v>1107</v>
      </c>
      <c r="P259" s="7">
        <v>2795</v>
      </c>
      <c r="Q259" s="7">
        <v>0</v>
      </c>
      <c r="R259" s="7">
        <v>0</v>
      </c>
      <c r="S259" s="7">
        <v>0</v>
      </c>
      <c r="T259" s="7">
        <v>9249</v>
      </c>
      <c r="U259" s="7">
        <v>0</v>
      </c>
      <c r="V259" s="7">
        <v>7400</v>
      </c>
      <c r="W259" s="7">
        <v>0</v>
      </c>
      <c r="X259" s="7" t="s">
        <v>47</v>
      </c>
      <c r="Y259" s="7" t="s">
        <v>91</v>
      </c>
      <c r="Z259" s="7">
        <v>0</v>
      </c>
      <c r="AA259" s="7">
        <v>6</v>
      </c>
      <c r="AB259" s="7"/>
      <c r="AC259" s="7"/>
    </row>
    <row r="260" spans="1:29">
      <c r="A260" s="7" t="s">
        <v>1181</v>
      </c>
      <c r="B260" s="7" t="s">
        <v>1182</v>
      </c>
      <c r="C260" s="7" t="s">
        <v>33</v>
      </c>
      <c r="D260" s="7" t="s">
        <v>1549</v>
      </c>
      <c r="E260" s="7" t="s">
        <v>93</v>
      </c>
      <c r="F260" s="7">
        <v>35300</v>
      </c>
      <c r="G260" s="7" t="s">
        <v>32</v>
      </c>
      <c r="H260" s="7" t="s">
        <v>37</v>
      </c>
      <c r="I260" s="7"/>
      <c r="J260" s="7"/>
      <c r="K260" s="7" t="s">
        <v>1172</v>
      </c>
      <c r="L260" s="7"/>
      <c r="M260" s="7" t="s">
        <v>1586</v>
      </c>
      <c r="N260" s="7">
        <v>13566</v>
      </c>
      <c r="O260" s="7">
        <v>1107</v>
      </c>
      <c r="P260" s="7">
        <v>2795</v>
      </c>
      <c r="Q260" s="7">
        <v>0</v>
      </c>
      <c r="R260" s="7">
        <v>0</v>
      </c>
      <c r="S260" s="7">
        <v>9249</v>
      </c>
      <c r="T260" s="7">
        <v>0</v>
      </c>
      <c r="U260" s="7">
        <v>0</v>
      </c>
      <c r="V260" s="7">
        <v>7400</v>
      </c>
      <c r="W260" s="7">
        <v>0</v>
      </c>
      <c r="X260" s="7" t="s">
        <v>37</v>
      </c>
      <c r="Y260" s="7" t="s">
        <v>98</v>
      </c>
      <c r="Z260" s="7">
        <v>0</v>
      </c>
      <c r="AA260" s="7">
        <v>6</v>
      </c>
      <c r="AB260" s="7"/>
      <c r="AC260" s="7"/>
    </row>
    <row r="261" spans="1:29">
      <c r="A261" s="7" t="s">
        <v>1168</v>
      </c>
      <c r="B261" s="7" t="s">
        <v>1176</v>
      </c>
      <c r="C261" s="7" t="s">
        <v>33</v>
      </c>
      <c r="D261" s="7" t="s">
        <v>1587</v>
      </c>
      <c r="E261" s="7" t="s">
        <v>93</v>
      </c>
      <c r="F261" s="7">
        <v>35300</v>
      </c>
      <c r="G261" s="7" t="s">
        <v>37</v>
      </c>
      <c r="H261" s="7"/>
      <c r="I261" s="7"/>
      <c r="J261" s="7"/>
      <c r="K261" s="7" t="s">
        <v>37</v>
      </c>
      <c r="L261" s="7" t="s">
        <v>1226</v>
      </c>
      <c r="M261" s="7" t="s">
        <v>1588</v>
      </c>
      <c r="N261" s="7">
        <v>13566</v>
      </c>
      <c r="O261" s="7">
        <v>0</v>
      </c>
      <c r="P261" s="7">
        <v>6335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16032</v>
      </c>
      <c r="W261" s="7">
        <v>0</v>
      </c>
      <c r="X261" s="7" t="s">
        <v>98</v>
      </c>
      <c r="Y261" s="7" t="s">
        <v>37</v>
      </c>
      <c r="Z261" s="7">
        <v>0</v>
      </c>
      <c r="AA261" s="7">
        <v>6</v>
      </c>
      <c r="AB261" s="7"/>
      <c r="AC261" s="7"/>
    </row>
    <row r="262" spans="1:29">
      <c r="A262" s="7" t="s">
        <v>1168</v>
      </c>
      <c r="B262" s="7" t="s">
        <v>1176</v>
      </c>
      <c r="C262" s="7" t="s">
        <v>33</v>
      </c>
      <c r="D262" s="7" t="s">
        <v>1589</v>
      </c>
      <c r="E262" s="7" t="s">
        <v>93</v>
      </c>
      <c r="F262" s="7">
        <v>35300</v>
      </c>
      <c r="G262" s="7" t="s">
        <v>32</v>
      </c>
      <c r="H262" s="7" t="s">
        <v>110</v>
      </c>
      <c r="I262" s="7" t="s">
        <v>37</v>
      </c>
      <c r="J262" s="7"/>
      <c r="K262" s="7" t="s">
        <v>1207</v>
      </c>
      <c r="L262" s="7" t="s">
        <v>1226</v>
      </c>
      <c r="M262" s="7" t="s">
        <v>1590</v>
      </c>
      <c r="N262" s="7">
        <v>13566</v>
      </c>
      <c r="O262" s="7">
        <v>0</v>
      </c>
      <c r="P262" s="7">
        <v>5403</v>
      </c>
      <c r="Q262" s="7">
        <v>0</v>
      </c>
      <c r="R262" s="7">
        <v>0</v>
      </c>
      <c r="S262" s="7">
        <v>6783</v>
      </c>
      <c r="T262" s="7">
        <v>0</v>
      </c>
      <c r="U262" s="7">
        <v>6783</v>
      </c>
      <c r="V262" s="7">
        <v>6783</v>
      </c>
      <c r="W262" s="7">
        <v>0</v>
      </c>
      <c r="X262" s="7" t="s">
        <v>32</v>
      </c>
      <c r="Y262" s="7" t="s">
        <v>37</v>
      </c>
      <c r="Z262" s="7">
        <v>0</v>
      </c>
      <c r="AA262" s="7">
        <v>6</v>
      </c>
      <c r="AB262" s="7"/>
      <c r="AC262" s="7"/>
    </row>
    <row r="263" spans="1:29">
      <c r="A263" s="7" t="s">
        <v>1168</v>
      </c>
      <c r="B263" s="7" t="s">
        <v>1233</v>
      </c>
      <c r="C263" s="7" t="s">
        <v>33</v>
      </c>
      <c r="D263" s="7" t="s">
        <v>1591</v>
      </c>
      <c r="E263" s="7" t="s">
        <v>93</v>
      </c>
      <c r="F263" s="7">
        <v>35300</v>
      </c>
      <c r="G263" s="7" t="s">
        <v>98</v>
      </c>
      <c r="H263" s="7" t="s">
        <v>37</v>
      </c>
      <c r="I263" s="7"/>
      <c r="J263" s="7"/>
      <c r="K263" s="7" t="s">
        <v>1184</v>
      </c>
      <c r="L263" s="7" t="s">
        <v>1226</v>
      </c>
      <c r="M263" s="7" t="s">
        <v>1592</v>
      </c>
      <c r="N263" s="7">
        <v>13566</v>
      </c>
      <c r="O263" s="7">
        <v>0</v>
      </c>
      <c r="P263" s="7">
        <v>4472</v>
      </c>
      <c r="Q263" s="7">
        <v>8633</v>
      </c>
      <c r="R263" s="7">
        <v>0</v>
      </c>
      <c r="S263" s="7">
        <v>0</v>
      </c>
      <c r="T263" s="7">
        <v>0</v>
      </c>
      <c r="U263" s="7">
        <v>0</v>
      </c>
      <c r="V263" s="7">
        <v>13566</v>
      </c>
      <c r="W263" s="7">
        <v>0</v>
      </c>
      <c r="X263" s="7" t="s">
        <v>47</v>
      </c>
      <c r="Y263" s="7" t="s">
        <v>37</v>
      </c>
      <c r="Z263" s="7">
        <v>0</v>
      </c>
      <c r="AA263" s="7">
        <v>6</v>
      </c>
      <c r="AB263" s="7"/>
      <c r="AC263" s="7"/>
    </row>
    <row r="264" spans="1:29">
      <c r="A264" s="7" t="s">
        <v>1168</v>
      </c>
      <c r="B264" s="7" t="s">
        <v>1233</v>
      </c>
      <c r="C264" s="7" t="s">
        <v>33</v>
      </c>
      <c r="D264" s="7" t="s">
        <v>1593</v>
      </c>
      <c r="E264" s="7" t="s">
        <v>93</v>
      </c>
      <c r="F264" s="7">
        <v>35300</v>
      </c>
      <c r="G264" s="7" t="s">
        <v>32</v>
      </c>
      <c r="H264" s="7" t="s">
        <v>37</v>
      </c>
      <c r="I264" s="7"/>
      <c r="J264" s="7"/>
      <c r="K264" s="7" t="s">
        <v>1172</v>
      </c>
      <c r="L264" s="7" t="s">
        <v>1226</v>
      </c>
      <c r="M264" s="7" t="s">
        <v>1594</v>
      </c>
      <c r="N264" s="7">
        <v>13566</v>
      </c>
      <c r="O264" s="7">
        <v>0</v>
      </c>
      <c r="P264" s="7">
        <v>4472</v>
      </c>
      <c r="Q264" s="7">
        <v>0</v>
      </c>
      <c r="R264" s="7">
        <v>0</v>
      </c>
      <c r="S264" s="7">
        <v>8633</v>
      </c>
      <c r="T264" s="7">
        <v>0</v>
      </c>
      <c r="U264" s="7">
        <v>0</v>
      </c>
      <c r="V264" s="7">
        <v>13566</v>
      </c>
      <c r="W264" s="7">
        <v>0</v>
      </c>
      <c r="X264" s="7" t="s">
        <v>32</v>
      </c>
      <c r="Y264" s="7" t="s">
        <v>47</v>
      </c>
      <c r="Z264" s="7">
        <v>0</v>
      </c>
      <c r="AA264" s="7">
        <v>6</v>
      </c>
      <c r="AB264" s="7"/>
      <c r="AC264" s="7"/>
    </row>
    <row r="265" spans="1:29">
      <c r="A265" s="7" t="s">
        <v>1168</v>
      </c>
      <c r="B265" s="7" t="s">
        <v>1228</v>
      </c>
      <c r="C265" s="7" t="s">
        <v>33</v>
      </c>
      <c r="D265" s="7" t="s">
        <v>1595</v>
      </c>
      <c r="E265" s="7" t="s">
        <v>93</v>
      </c>
      <c r="F265" s="7">
        <v>35300</v>
      </c>
      <c r="G265" s="7" t="s">
        <v>110</v>
      </c>
      <c r="H265" s="7" t="s">
        <v>37</v>
      </c>
      <c r="I265" s="7"/>
      <c r="J265" s="7"/>
      <c r="K265" s="7" t="s">
        <v>1187</v>
      </c>
      <c r="L265" s="7" t="s">
        <v>1226</v>
      </c>
      <c r="M265" s="7" t="s">
        <v>1596</v>
      </c>
      <c r="N265" s="7">
        <v>13566</v>
      </c>
      <c r="O265" s="7">
        <v>0</v>
      </c>
      <c r="P265" s="7">
        <v>3726</v>
      </c>
      <c r="Q265" s="7">
        <v>0</v>
      </c>
      <c r="R265" s="7">
        <v>0</v>
      </c>
      <c r="S265" s="7">
        <v>0</v>
      </c>
      <c r="T265" s="7">
        <v>0</v>
      </c>
      <c r="U265" s="7">
        <v>16957</v>
      </c>
      <c r="V265" s="7">
        <v>9249</v>
      </c>
      <c r="W265" s="7">
        <v>0</v>
      </c>
      <c r="X265" s="7" t="s">
        <v>110</v>
      </c>
      <c r="Y265" s="7" t="s">
        <v>37</v>
      </c>
      <c r="Z265" s="7">
        <v>0</v>
      </c>
      <c r="AA265" s="7">
        <v>6</v>
      </c>
      <c r="AB265" s="7"/>
      <c r="AC265" s="7"/>
    </row>
    <row r="266" spans="1:29">
      <c r="A266" s="7" t="s">
        <v>1168</v>
      </c>
      <c r="B266" s="7" t="s">
        <v>1176</v>
      </c>
      <c r="C266" s="7" t="s">
        <v>33</v>
      </c>
      <c r="D266" s="7" t="s">
        <v>1597</v>
      </c>
      <c r="E266" s="7" t="s">
        <v>93</v>
      </c>
      <c r="F266" s="7">
        <v>35300</v>
      </c>
      <c r="G266" s="7" t="s">
        <v>98</v>
      </c>
      <c r="H266" s="7" t="s">
        <v>32</v>
      </c>
      <c r="I266" s="7" t="s">
        <v>37</v>
      </c>
      <c r="J266" s="7"/>
      <c r="K266" s="7" t="s">
        <v>1206</v>
      </c>
      <c r="L266" s="7" t="s">
        <v>1226</v>
      </c>
      <c r="M266" s="7" t="s">
        <v>1598</v>
      </c>
      <c r="N266" s="7">
        <v>13566</v>
      </c>
      <c r="O266" s="7">
        <v>0</v>
      </c>
      <c r="P266" s="7">
        <v>5403</v>
      </c>
      <c r="Q266" s="7">
        <v>6783</v>
      </c>
      <c r="R266" s="7">
        <v>0</v>
      </c>
      <c r="S266" s="7">
        <v>6783</v>
      </c>
      <c r="T266" s="7">
        <v>0</v>
      </c>
      <c r="U266" s="7">
        <v>0</v>
      </c>
      <c r="V266" s="7">
        <v>6783</v>
      </c>
      <c r="W266" s="7">
        <v>0</v>
      </c>
      <c r="X266" s="7" t="s">
        <v>42</v>
      </c>
      <c r="Y266" s="7" t="s">
        <v>47</v>
      </c>
      <c r="Z266" s="7">
        <v>0</v>
      </c>
      <c r="AA266" s="7">
        <v>6</v>
      </c>
      <c r="AB266" s="7"/>
      <c r="AC266" s="7"/>
    </row>
    <row r="267" spans="1:29">
      <c r="A267" s="7" t="s">
        <v>1168</v>
      </c>
      <c r="B267" s="7" t="s">
        <v>1176</v>
      </c>
      <c r="C267" s="7" t="s">
        <v>33</v>
      </c>
      <c r="D267" s="7" t="s">
        <v>1599</v>
      </c>
      <c r="E267" s="7" t="s">
        <v>93</v>
      </c>
      <c r="F267" s="7">
        <v>35300</v>
      </c>
      <c r="G267" s="7" t="s">
        <v>98</v>
      </c>
      <c r="H267" s="7" t="s">
        <v>110</v>
      </c>
      <c r="I267" s="7" t="s">
        <v>37</v>
      </c>
      <c r="J267" s="7"/>
      <c r="K267" s="7" t="s">
        <v>1239</v>
      </c>
      <c r="L267" s="7" t="s">
        <v>1226</v>
      </c>
      <c r="M267" s="7" t="s">
        <v>1600</v>
      </c>
      <c r="N267" s="7">
        <v>13566</v>
      </c>
      <c r="O267" s="7">
        <v>0</v>
      </c>
      <c r="P267" s="7">
        <v>5403</v>
      </c>
      <c r="Q267" s="7">
        <v>6783</v>
      </c>
      <c r="R267" s="7">
        <v>0</v>
      </c>
      <c r="S267" s="7">
        <v>0</v>
      </c>
      <c r="T267" s="7">
        <v>0</v>
      </c>
      <c r="U267" s="7">
        <v>6783</v>
      </c>
      <c r="V267" s="7">
        <v>6783</v>
      </c>
      <c r="W267" s="7">
        <v>0</v>
      </c>
      <c r="X267" s="7" t="s">
        <v>98</v>
      </c>
      <c r="Y267" s="7" t="s">
        <v>37</v>
      </c>
      <c r="Z267" s="7">
        <v>0</v>
      </c>
      <c r="AA267" s="7">
        <v>6</v>
      </c>
      <c r="AB267" s="7"/>
      <c r="AC267" s="7"/>
    </row>
    <row r="268" spans="1:29">
      <c r="A268" s="7" t="s">
        <v>1168</v>
      </c>
      <c r="B268" s="7" t="s">
        <v>1169</v>
      </c>
      <c r="C268" s="7" t="s">
        <v>33</v>
      </c>
      <c r="D268" s="7" t="s">
        <v>1601</v>
      </c>
      <c r="E268" s="7" t="s">
        <v>93</v>
      </c>
      <c r="F268" s="7">
        <v>35300</v>
      </c>
      <c r="G268" s="7" t="s">
        <v>24</v>
      </c>
      <c r="H268" s="7" t="s">
        <v>37</v>
      </c>
      <c r="I268" s="7"/>
      <c r="J268" s="7"/>
      <c r="K268" s="7" t="s">
        <v>1191</v>
      </c>
      <c r="L268" s="7" t="s">
        <v>1226</v>
      </c>
      <c r="M268" s="7" t="s">
        <v>1602</v>
      </c>
      <c r="N268" s="7">
        <v>13566</v>
      </c>
      <c r="O268" s="7">
        <v>0</v>
      </c>
      <c r="P268" s="7">
        <v>5962</v>
      </c>
      <c r="Q268" s="7">
        <v>0</v>
      </c>
      <c r="R268" s="7">
        <v>0</v>
      </c>
      <c r="S268" s="7">
        <v>0</v>
      </c>
      <c r="T268" s="7">
        <v>8941</v>
      </c>
      <c r="U268" s="7">
        <v>0</v>
      </c>
      <c r="V268" s="7">
        <v>9558</v>
      </c>
      <c r="W268" s="7">
        <v>0</v>
      </c>
      <c r="X268" s="7" t="s">
        <v>98</v>
      </c>
      <c r="Y268" s="7" t="s">
        <v>110</v>
      </c>
      <c r="Z268" s="7">
        <v>0</v>
      </c>
      <c r="AA268" s="7">
        <v>6</v>
      </c>
      <c r="AB268" s="7"/>
      <c r="AC268" s="7"/>
    </row>
    <row r="269" spans="1:29">
      <c r="A269" s="7" t="s">
        <v>1168</v>
      </c>
      <c r="B269" s="7" t="s">
        <v>1205</v>
      </c>
      <c r="C269" s="7" t="s">
        <v>33</v>
      </c>
      <c r="D269" s="7" t="s">
        <v>1603</v>
      </c>
      <c r="E269" s="7" t="s">
        <v>673</v>
      </c>
      <c r="F269" s="7">
        <v>35300</v>
      </c>
      <c r="G269" s="7" t="s">
        <v>98</v>
      </c>
      <c r="H269" s="7" t="s">
        <v>110</v>
      </c>
      <c r="I269" s="7" t="s">
        <v>32</v>
      </c>
      <c r="J269" s="7" t="s">
        <v>37</v>
      </c>
      <c r="K269" s="7" t="s">
        <v>1331</v>
      </c>
      <c r="L269" s="7" t="s">
        <v>1173</v>
      </c>
      <c r="M269" s="7" t="s">
        <v>1604</v>
      </c>
      <c r="N269" s="7">
        <v>13566</v>
      </c>
      <c r="O269" s="7">
        <v>0</v>
      </c>
      <c r="P269" s="7">
        <v>4379</v>
      </c>
      <c r="Q269" s="7">
        <v>6166</v>
      </c>
      <c r="R269" s="7">
        <v>0</v>
      </c>
      <c r="S269" s="7">
        <v>6166</v>
      </c>
      <c r="T269" s="7">
        <v>0</v>
      </c>
      <c r="U269" s="7">
        <v>6166</v>
      </c>
      <c r="V269" s="7">
        <v>6166</v>
      </c>
      <c r="W269" s="7">
        <v>0</v>
      </c>
      <c r="X269" s="7" t="s">
        <v>98</v>
      </c>
      <c r="Y269" s="7" t="s">
        <v>110</v>
      </c>
      <c r="Z269" s="7">
        <v>0</v>
      </c>
      <c r="AA269" s="7">
        <v>6</v>
      </c>
      <c r="AB269" s="7"/>
      <c r="AC269" s="7"/>
    </row>
    <row r="270" spans="1:29">
      <c r="A270" s="7" t="s">
        <v>1168</v>
      </c>
      <c r="B270" s="7" t="s">
        <v>1205</v>
      </c>
      <c r="C270" s="7" t="s">
        <v>33</v>
      </c>
      <c r="D270" s="7" t="s">
        <v>1605</v>
      </c>
      <c r="E270" s="7" t="s">
        <v>673</v>
      </c>
      <c r="F270" s="7">
        <v>35300</v>
      </c>
      <c r="G270" s="7" t="s">
        <v>110</v>
      </c>
      <c r="H270" s="7"/>
      <c r="I270" s="7"/>
      <c r="J270" s="7"/>
      <c r="K270" s="7" t="s">
        <v>110</v>
      </c>
      <c r="L270" s="7" t="s">
        <v>1173</v>
      </c>
      <c r="M270" s="7" t="s">
        <v>1606</v>
      </c>
      <c r="N270" s="7">
        <v>13566</v>
      </c>
      <c r="O270" s="7">
        <v>0</v>
      </c>
      <c r="P270" s="7">
        <v>5217</v>
      </c>
      <c r="Q270" s="7">
        <v>0</v>
      </c>
      <c r="R270" s="7">
        <v>0</v>
      </c>
      <c r="S270" s="7">
        <v>0</v>
      </c>
      <c r="T270" s="7">
        <v>0</v>
      </c>
      <c r="U270" s="7">
        <v>18499</v>
      </c>
      <c r="V270" s="7">
        <v>0</v>
      </c>
      <c r="W270" s="7">
        <v>0</v>
      </c>
      <c r="X270" s="7" t="s">
        <v>98</v>
      </c>
      <c r="Y270" s="7" t="s">
        <v>110</v>
      </c>
      <c r="Z270" s="7">
        <v>0</v>
      </c>
      <c r="AA270" s="7">
        <v>6</v>
      </c>
      <c r="AB270" s="7"/>
      <c r="AC270" s="7"/>
    </row>
    <row r="271" spans="1:29">
      <c r="A271" s="7" t="s">
        <v>1168</v>
      </c>
      <c r="B271" s="7" t="s">
        <v>1248</v>
      </c>
      <c r="C271" s="7" t="s">
        <v>33</v>
      </c>
      <c r="D271" s="7" t="s">
        <v>1607</v>
      </c>
      <c r="E271" s="7" t="s">
        <v>673</v>
      </c>
      <c r="F271" s="7">
        <v>35300</v>
      </c>
      <c r="G271" s="7" t="s">
        <v>98</v>
      </c>
      <c r="H271" s="7" t="s">
        <v>37</v>
      </c>
      <c r="I271" s="7"/>
      <c r="J271" s="7"/>
      <c r="K271" s="7" t="s">
        <v>1184</v>
      </c>
      <c r="L271" s="7" t="s">
        <v>1173</v>
      </c>
      <c r="M271" s="7" t="s">
        <v>1608</v>
      </c>
      <c r="N271" s="7">
        <v>13566</v>
      </c>
      <c r="O271" s="7">
        <v>0</v>
      </c>
      <c r="P271" s="7">
        <v>1863</v>
      </c>
      <c r="Q271" s="7">
        <v>24048</v>
      </c>
      <c r="R271" s="7">
        <v>0</v>
      </c>
      <c r="S271" s="7">
        <v>0</v>
      </c>
      <c r="T271" s="7">
        <v>0</v>
      </c>
      <c r="U271" s="7">
        <v>0</v>
      </c>
      <c r="V271" s="7">
        <v>7400</v>
      </c>
      <c r="W271" s="7">
        <v>0</v>
      </c>
      <c r="X271" s="7" t="s">
        <v>47</v>
      </c>
      <c r="Y271" s="7" t="s">
        <v>37</v>
      </c>
      <c r="Z271" s="7">
        <v>0</v>
      </c>
      <c r="AA271" s="7">
        <v>6</v>
      </c>
      <c r="AB271" s="7"/>
      <c r="AC271" s="7"/>
    </row>
    <row r="272" spans="1:29">
      <c r="A272" s="7" t="s">
        <v>1168</v>
      </c>
      <c r="B272" s="7" t="s">
        <v>1248</v>
      </c>
      <c r="C272" s="7" t="s">
        <v>33</v>
      </c>
      <c r="D272" s="7" t="s">
        <v>1609</v>
      </c>
      <c r="E272" s="7" t="s">
        <v>673</v>
      </c>
      <c r="F272" s="7">
        <v>35300</v>
      </c>
      <c r="G272" s="7" t="s">
        <v>32</v>
      </c>
      <c r="H272" s="7" t="s">
        <v>37</v>
      </c>
      <c r="I272" s="7"/>
      <c r="J272" s="7"/>
      <c r="K272" s="7" t="s">
        <v>1172</v>
      </c>
      <c r="L272" s="7" t="s">
        <v>1173</v>
      </c>
      <c r="M272" s="7" t="s">
        <v>1610</v>
      </c>
      <c r="N272" s="7">
        <v>13566</v>
      </c>
      <c r="O272" s="7">
        <v>0</v>
      </c>
      <c r="P272" s="7">
        <v>1863</v>
      </c>
      <c r="Q272" s="7">
        <v>0</v>
      </c>
      <c r="R272" s="7">
        <v>0</v>
      </c>
      <c r="S272" s="7">
        <v>24048</v>
      </c>
      <c r="T272" s="7">
        <v>0</v>
      </c>
      <c r="U272" s="7">
        <v>0</v>
      </c>
      <c r="V272" s="7">
        <v>7400</v>
      </c>
      <c r="W272" s="7">
        <v>0</v>
      </c>
      <c r="X272" s="7" t="s">
        <v>32</v>
      </c>
      <c r="Y272" s="7" t="s">
        <v>47</v>
      </c>
      <c r="Z272" s="7">
        <v>0</v>
      </c>
      <c r="AA272" s="7">
        <v>6</v>
      </c>
      <c r="AB272" s="7"/>
      <c r="AC272" s="7"/>
    </row>
    <row r="273" spans="1:29">
      <c r="A273" s="7" t="s">
        <v>1168</v>
      </c>
      <c r="B273" s="7" t="s">
        <v>1205</v>
      </c>
      <c r="C273" s="7" t="s">
        <v>33</v>
      </c>
      <c r="D273" s="7" t="s">
        <v>1611</v>
      </c>
      <c r="E273" s="7" t="s">
        <v>674</v>
      </c>
      <c r="F273" s="7">
        <v>35300</v>
      </c>
      <c r="G273" s="7" t="s">
        <v>98</v>
      </c>
      <c r="H273" s="7"/>
      <c r="I273" s="7"/>
      <c r="J273" s="7"/>
      <c r="K273" s="7" t="s">
        <v>98</v>
      </c>
      <c r="L273" s="7" t="s">
        <v>1173</v>
      </c>
      <c r="M273" s="7" t="s">
        <v>1612</v>
      </c>
      <c r="N273" s="7">
        <v>13566</v>
      </c>
      <c r="O273" s="7">
        <v>0</v>
      </c>
      <c r="P273" s="7">
        <v>5403</v>
      </c>
      <c r="Q273" s="7">
        <v>9249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 t="s">
        <v>42</v>
      </c>
      <c r="Y273" s="7" t="s">
        <v>37</v>
      </c>
      <c r="Z273" s="7">
        <v>0</v>
      </c>
      <c r="AA273" s="7">
        <v>6</v>
      </c>
      <c r="AB273" s="7"/>
      <c r="AC273" s="7"/>
    </row>
    <row r="274" spans="1:29">
      <c r="A274" s="7" t="s">
        <v>1168</v>
      </c>
      <c r="B274" s="7" t="s">
        <v>1248</v>
      </c>
      <c r="C274" s="7" t="s">
        <v>33</v>
      </c>
      <c r="D274" s="7" t="s">
        <v>1613</v>
      </c>
      <c r="E274" s="7" t="s">
        <v>674</v>
      </c>
      <c r="F274" s="7">
        <v>35300</v>
      </c>
      <c r="G274" s="7" t="s">
        <v>32</v>
      </c>
      <c r="H274" s="7"/>
      <c r="I274" s="7"/>
      <c r="J274" s="7"/>
      <c r="K274" s="7" t="s">
        <v>32</v>
      </c>
      <c r="L274" s="7" t="s">
        <v>1173</v>
      </c>
      <c r="M274" s="7" t="s">
        <v>1614</v>
      </c>
      <c r="N274" s="7">
        <v>13566</v>
      </c>
      <c r="O274" s="7">
        <v>0</v>
      </c>
      <c r="P274" s="7">
        <v>5403</v>
      </c>
      <c r="Q274" s="7">
        <v>0</v>
      </c>
      <c r="R274" s="7">
        <v>0</v>
      </c>
      <c r="S274" s="7">
        <v>9249</v>
      </c>
      <c r="T274" s="7">
        <v>0</v>
      </c>
      <c r="U274" s="7">
        <v>0</v>
      </c>
      <c r="V274" s="7">
        <v>0</v>
      </c>
      <c r="W274" s="7">
        <v>0</v>
      </c>
      <c r="X274" s="7" t="s">
        <v>32</v>
      </c>
      <c r="Y274" s="7" t="s">
        <v>37</v>
      </c>
      <c r="Z274" s="7">
        <v>0</v>
      </c>
      <c r="AA274" s="7">
        <v>6</v>
      </c>
      <c r="AB274" s="7"/>
      <c r="AC274" s="7"/>
    </row>
    <row r="275" spans="1:29">
      <c r="A275" s="7" t="s">
        <v>1168</v>
      </c>
      <c r="B275" s="7" t="s">
        <v>1169</v>
      </c>
      <c r="C275" s="7" t="s">
        <v>33</v>
      </c>
      <c r="D275" s="7" t="s">
        <v>1615</v>
      </c>
      <c r="E275" s="7" t="s">
        <v>682</v>
      </c>
      <c r="F275" s="7">
        <v>35300</v>
      </c>
      <c r="G275" s="7" t="s">
        <v>24</v>
      </c>
      <c r="H275" s="7" t="s">
        <v>37</v>
      </c>
      <c r="I275" s="7"/>
      <c r="J275" s="7"/>
      <c r="K275" s="7" t="s">
        <v>1191</v>
      </c>
      <c r="L275" s="7" t="s">
        <v>1173</v>
      </c>
      <c r="M275" s="7" t="s">
        <v>1616</v>
      </c>
      <c r="N275" s="7">
        <v>13566</v>
      </c>
      <c r="O275" s="7">
        <v>0</v>
      </c>
      <c r="P275" s="7">
        <v>5962</v>
      </c>
      <c r="Q275" s="7">
        <v>0</v>
      </c>
      <c r="R275" s="7">
        <v>0</v>
      </c>
      <c r="S275" s="7">
        <v>0</v>
      </c>
      <c r="T275" s="7">
        <v>8941</v>
      </c>
      <c r="U275" s="7">
        <v>0</v>
      </c>
      <c r="V275" s="7">
        <v>9558</v>
      </c>
      <c r="W275" s="7">
        <v>0</v>
      </c>
      <c r="X275" s="7" t="s">
        <v>98</v>
      </c>
      <c r="Y275" s="7" t="s">
        <v>110</v>
      </c>
      <c r="Z275" s="7">
        <v>0</v>
      </c>
      <c r="AA275" s="7">
        <v>6</v>
      </c>
      <c r="AB275" s="7"/>
      <c r="AC275" s="7"/>
    </row>
    <row r="276" spans="1:29">
      <c r="A276" s="7" t="s">
        <v>1181</v>
      </c>
      <c r="B276" s="7" t="s">
        <v>1182</v>
      </c>
      <c r="C276" s="7" t="s">
        <v>33</v>
      </c>
      <c r="D276" s="7" t="s">
        <v>1961</v>
      </c>
      <c r="E276" s="7" t="s">
        <v>787</v>
      </c>
      <c r="F276" s="7">
        <v>35300</v>
      </c>
      <c r="G276" s="7" t="s">
        <v>98</v>
      </c>
      <c r="H276" s="7" t="s">
        <v>37</v>
      </c>
      <c r="I276" s="7"/>
      <c r="J276" s="7"/>
      <c r="K276" s="7" t="s">
        <v>1184</v>
      </c>
      <c r="L276" s="7"/>
      <c r="M276" s="7" t="s">
        <v>1962</v>
      </c>
      <c r="N276" s="7">
        <v>13566</v>
      </c>
      <c r="O276" s="7">
        <v>1107</v>
      </c>
      <c r="P276" s="7">
        <v>2795</v>
      </c>
      <c r="Q276" s="7">
        <v>9249</v>
      </c>
      <c r="R276" s="7">
        <v>0</v>
      </c>
      <c r="S276" s="7">
        <v>0</v>
      </c>
      <c r="T276" s="7">
        <v>0</v>
      </c>
      <c r="U276" s="7">
        <v>0</v>
      </c>
      <c r="V276" s="7">
        <v>7400</v>
      </c>
      <c r="W276" s="7">
        <v>0</v>
      </c>
      <c r="X276" s="7" t="s">
        <v>98</v>
      </c>
      <c r="Y276" s="7" t="s">
        <v>47</v>
      </c>
      <c r="Z276" s="7">
        <v>0</v>
      </c>
      <c r="AA276" s="7">
        <v>6</v>
      </c>
      <c r="AB276" s="7"/>
      <c r="AC276" s="7"/>
    </row>
    <row r="277" spans="1:29">
      <c r="A277" s="7" t="s">
        <v>1181</v>
      </c>
      <c r="B277" s="7" t="s">
        <v>1182</v>
      </c>
      <c r="C277" s="7" t="s">
        <v>33</v>
      </c>
      <c r="D277" s="7" t="s">
        <v>1619</v>
      </c>
      <c r="E277" s="7" t="s">
        <v>93</v>
      </c>
      <c r="F277" s="7">
        <v>35300</v>
      </c>
      <c r="G277" s="7" t="s">
        <v>32</v>
      </c>
      <c r="H277" s="7" t="s">
        <v>37</v>
      </c>
      <c r="I277" s="7"/>
      <c r="J277" s="7"/>
      <c r="K277" s="7" t="s">
        <v>1172</v>
      </c>
      <c r="L277" s="7"/>
      <c r="M277" s="7" t="s">
        <v>1620</v>
      </c>
      <c r="N277" s="7">
        <v>13566</v>
      </c>
      <c r="O277" s="7">
        <v>1107</v>
      </c>
      <c r="P277" s="7">
        <v>2795</v>
      </c>
      <c r="Q277" s="7">
        <v>0</v>
      </c>
      <c r="R277" s="7">
        <v>0</v>
      </c>
      <c r="S277" s="7">
        <v>9249</v>
      </c>
      <c r="T277" s="7">
        <v>0</v>
      </c>
      <c r="U277" s="7">
        <v>0</v>
      </c>
      <c r="V277" s="7">
        <v>7400</v>
      </c>
      <c r="W277" s="7">
        <v>0</v>
      </c>
      <c r="X277" s="7" t="s">
        <v>37</v>
      </c>
      <c r="Y277" s="7" t="s">
        <v>98</v>
      </c>
      <c r="Z277" s="7">
        <v>0</v>
      </c>
      <c r="AA277" s="7">
        <v>6</v>
      </c>
      <c r="AB277" s="7"/>
      <c r="AC277" s="7"/>
    </row>
    <row r="278" spans="1:29">
      <c r="A278" s="7" t="s">
        <v>1181</v>
      </c>
      <c r="B278" s="7" t="s">
        <v>1182</v>
      </c>
      <c r="C278" s="7" t="s">
        <v>33</v>
      </c>
      <c r="D278" s="7" t="s">
        <v>1621</v>
      </c>
      <c r="E278" s="7" t="s">
        <v>93</v>
      </c>
      <c r="F278" s="7">
        <v>35300</v>
      </c>
      <c r="G278" s="7" t="s">
        <v>24</v>
      </c>
      <c r="H278" s="7" t="s">
        <v>37</v>
      </c>
      <c r="I278" s="7"/>
      <c r="J278" s="7"/>
      <c r="K278" s="7" t="s">
        <v>1191</v>
      </c>
      <c r="L278" s="7"/>
      <c r="M278" s="7" t="s">
        <v>1622</v>
      </c>
      <c r="N278" s="7">
        <v>13566</v>
      </c>
      <c r="O278" s="7">
        <v>1107</v>
      </c>
      <c r="P278" s="7">
        <v>2795</v>
      </c>
      <c r="Q278" s="7">
        <v>0</v>
      </c>
      <c r="R278" s="7">
        <v>0</v>
      </c>
      <c r="S278" s="7">
        <v>0</v>
      </c>
      <c r="T278" s="7">
        <v>9249</v>
      </c>
      <c r="U278" s="7">
        <v>0</v>
      </c>
      <c r="V278" s="7">
        <v>7400</v>
      </c>
      <c r="W278" s="7">
        <v>0</v>
      </c>
      <c r="X278" s="7" t="s">
        <v>47</v>
      </c>
      <c r="Y278" s="7" t="s">
        <v>91</v>
      </c>
      <c r="Z278" s="7">
        <v>0</v>
      </c>
      <c r="AA278" s="7">
        <v>6</v>
      </c>
      <c r="AB278" s="7"/>
      <c r="AC278" s="7"/>
    </row>
    <row r="279" spans="1:29">
      <c r="A279" s="7" t="s">
        <v>1181</v>
      </c>
      <c r="B279" s="7" t="s">
        <v>1182</v>
      </c>
      <c r="C279" s="7" t="s">
        <v>54</v>
      </c>
      <c r="D279" s="7" t="s">
        <v>1623</v>
      </c>
      <c r="E279" s="7" t="s">
        <v>93</v>
      </c>
      <c r="F279" s="7">
        <v>42100</v>
      </c>
      <c r="G279" s="7" t="s">
        <v>98</v>
      </c>
      <c r="H279" s="7" t="s">
        <v>37</v>
      </c>
      <c r="I279" s="7"/>
      <c r="J279" s="7"/>
      <c r="K279" s="7" t="s">
        <v>1184</v>
      </c>
      <c r="L279" s="7"/>
      <c r="M279" s="7" t="s">
        <v>1624</v>
      </c>
      <c r="N279" s="7">
        <v>11556</v>
      </c>
      <c r="O279" s="7">
        <v>943</v>
      </c>
      <c r="P279" s="7">
        <v>2381</v>
      </c>
      <c r="Q279" s="7">
        <v>7879</v>
      </c>
      <c r="R279" s="7">
        <v>0</v>
      </c>
      <c r="S279" s="7">
        <v>0</v>
      </c>
      <c r="T279" s="7">
        <v>0</v>
      </c>
      <c r="U279" s="7">
        <v>0</v>
      </c>
      <c r="V279" s="7">
        <v>6303</v>
      </c>
      <c r="W279" s="7">
        <v>0</v>
      </c>
      <c r="X279" s="7" t="s">
        <v>37</v>
      </c>
      <c r="Y279" s="7">
        <v>0</v>
      </c>
      <c r="Z279" s="7">
        <v>0</v>
      </c>
      <c r="AA279" s="7">
        <v>6</v>
      </c>
      <c r="AB279" s="7"/>
      <c r="AC279" s="7"/>
    </row>
    <row r="280" spans="1:29">
      <c r="A280" s="7" t="s">
        <v>1168</v>
      </c>
      <c r="B280" s="7" t="s">
        <v>1169</v>
      </c>
      <c r="C280" s="7" t="s">
        <v>54</v>
      </c>
      <c r="D280" s="7" t="s">
        <v>929</v>
      </c>
      <c r="E280" s="7" t="s">
        <v>710</v>
      </c>
      <c r="F280" s="7">
        <v>41400</v>
      </c>
      <c r="G280" s="7" t="s">
        <v>98</v>
      </c>
      <c r="H280" s="7" t="s">
        <v>37</v>
      </c>
      <c r="I280" s="7"/>
      <c r="J280" s="7"/>
      <c r="K280" s="7" t="s">
        <v>1184</v>
      </c>
      <c r="L280" s="7" t="s">
        <v>1173</v>
      </c>
      <c r="M280" s="7" t="s">
        <v>1625</v>
      </c>
      <c r="N280" s="7">
        <v>11364</v>
      </c>
      <c r="O280" s="7">
        <v>0</v>
      </c>
      <c r="P280" s="7">
        <v>1561</v>
      </c>
      <c r="Q280" s="7">
        <v>20145</v>
      </c>
      <c r="R280" s="7">
        <v>0</v>
      </c>
      <c r="S280" s="7">
        <v>0</v>
      </c>
      <c r="T280" s="7">
        <v>0</v>
      </c>
      <c r="U280" s="7">
        <v>0</v>
      </c>
      <c r="V280" s="7">
        <v>6199</v>
      </c>
      <c r="W280" s="7">
        <v>0</v>
      </c>
      <c r="X280" s="7" t="s">
        <v>47</v>
      </c>
      <c r="Y280" s="7">
        <v>0</v>
      </c>
      <c r="Z280" s="7">
        <v>0</v>
      </c>
      <c r="AA280" s="7">
        <v>6</v>
      </c>
      <c r="AB280" s="7"/>
      <c r="AC280" s="7"/>
    </row>
    <row r="281" spans="1:29">
      <c r="A281" s="7" t="s">
        <v>1168</v>
      </c>
      <c r="B281" s="7" t="s">
        <v>1169</v>
      </c>
      <c r="C281" s="7" t="s">
        <v>54</v>
      </c>
      <c r="D281" s="7" t="s">
        <v>929</v>
      </c>
      <c r="E281" s="7" t="s">
        <v>707</v>
      </c>
      <c r="F281" s="7">
        <v>41400</v>
      </c>
      <c r="G281" s="7" t="s">
        <v>32</v>
      </c>
      <c r="H281" s="7" t="s">
        <v>37</v>
      </c>
      <c r="I281" s="7"/>
      <c r="J281" s="7"/>
      <c r="K281" s="7" t="s">
        <v>1172</v>
      </c>
      <c r="L281" s="7" t="s">
        <v>1173</v>
      </c>
      <c r="M281" s="7" t="s">
        <v>1626</v>
      </c>
      <c r="N281" s="7">
        <v>11364</v>
      </c>
      <c r="O281" s="7">
        <v>0</v>
      </c>
      <c r="P281" s="7">
        <v>1561</v>
      </c>
      <c r="Q281" s="7">
        <v>0</v>
      </c>
      <c r="R281" s="7">
        <v>0</v>
      </c>
      <c r="S281" s="7">
        <v>20145</v>
      </c>
      <c r="T281" s="7">
        <v>0</v>
      </c>
      <c r="U281" s="7">
        <v>0</v>
      </c>
      <c r="V281" s="7">
        <v>6199</v>
      </c>
      <c r="W281" s="7">
        <v>0</v>
      </c>
      <c r="X281" s="7" t="s">
        <v>32</v>
      </c>
      <c r="Y281" s="7">
        <v>0</v>
      </c>
      <c r="Z281" s="7">
        <v>0</v>
      </c>
      <c r="AA281" s="7">
        <v>6</v>
      </c>
      <c r="AB281" s="7"/>
      <c r="AC281" s="7"/>
    </row>
    <row r="282" spans="1:29">
      <c r="A282" s="7" t="s">
        <v>1168</v>
      </c>
      <c r="B282" s="7" t="s">
        <v>1193</v>
      </c>
      <c r="C282" s="7" t="s">
        <v>54</v>
      </c>
      <c r="D282" s="7" t="s">
        <v>929</v>
      </c>
      <c r="E282" s="7" t="s">
        <v>707</v>
      </c>
      <c r="F282" s="7">
        <v>41400</v>
      </c>
      <c r="G282" s="7" t="s">
        <v>110</v>
      </c>
      <c r="H282" s="7" t="s">
        <v>37</v>
      </c>
      <c r="I282" s="7"/>
      <c r="J282" s="7"/>
      <c r="K282" s="7" t="s">
        <v>1187</v>
      </c>
      <c r="L282" s="7" t="s">
        <v>1173</v>
      </c>
      <c r="M282" s="7" t="s">
        <v>1627</v>
      </c>
      <c r="N282" s="7">
        <v>11364</v>
      </c>
      <c r="O282" s="7">
        <v>0</v>
      </c>
      <c r="P282" s="7">
        <v>1561</v>
      </c>
      <c r="Q282" s="7">
        <v>0</v>
      </c>
      <c r="R282" s="7">
        <v>0</v>
      </c>
      <c r="S282" s="7">
        <v>0</v>
      </c>
      <c r="T282" s="7">
        <v>0</v>
      </c>
      <c r="U282" s="7">
        <v>20662</v>
      </c>
      <c r="V282" s="7">
        <v>6199</v>
      </c>
      <c r="W282" s="7">
        <v>0</v>
      </c>
      <c r="X282" s="7" t="s">
        <v>110</v>
      </c>
      <c r="Y282" s="7">
        <v>0</v>
      </c>
      <c r="Z282" s="7">
        <v>0</v>
      </c>
      <c r="AA282" s="7">
        <v>6</v>
      </c>
      <c r="AB282" s="7"/>
      <c r="AC282" s="7"/>
    </row>
    <row r="283" spans="1:29">
      <c r="A283" s="7" t="s">
        <v>1181</v>
      </c>
      <c r="B283" s="7" t="s">
        <v>1182</v>
      </c>
      <c r="C283" s="7" t="s">
        <v>54</v>
      </c>
      <c r="D283" s="7" t="s">
        <v>1628</v>
      </c>
      <c r="E283" s="7" t="s">
        <v>645</v>
      </c>
      <c r="F283" s="7">
        <v>41400</v>
      </c>
      <c r="G283" s="7" t="s">
        <v>32</v>
      </c>
      <c r="H283" s="7" t="s">
        <v>37</v>
      </c>
      <c r="I283" s="7"/>
      <c r="J283" s="7"/>
      <c r="K283" s="7" t="s">
        <v>1172</v>
      </c>
      <c r="L283" s="7" t="s">
        <v>1173</v>
      </c>
      <c r="M283" s="7" t="s">
        <v>1629</v>
      </c>
      <c r="N283" s="7">
        <v>11364</v>
      </c>
      <c r="O283" s="7">
        <v>927</v>
      </c>
      <c r="P283" s="7">
        <v>2342</v>
      </c>
      <c r="Q283" s="7">
        <v>0</v>
      </c>
      <c r="R283" s="7">
        <v>0</v>
      </c>
      <c r="S283" s="7">
        <v>7748</v>
      </c>
      <c r="T283" s="7">
        <v>0</v>
      </c>
      <c r="U283" s="7">
        <v>0</v>
      </c>
      <c r="V283" s="7">
        <v>6199</v>
      </c>
      <c r="W283" s="7">
        <v>0</v>
      </c>
      <c r="X283" s="7" t="s">
        <v>32</v>
      </c>
      <c r="Y283" s="7">
        <v>0</v>
      </c>
      <c r="Z283" s="7">
        <v>0</v>
      </c>
      <c r="AA283" s="7">
        <v>6</v>
      </c>
      <c r="AB283" s="7"/>
      <c r="AC283" s="7"/>
    </row>
    <row r="284" spans="1:29">
      <c r="A284" s="7" t="s">
        <v>1181</v>
      </c>
      <c r="B284" s="7" t="s">
        <v>1182</v>
      </c>
      <c r="C284" s="7" t="s">
        <v>54</v>
      </c>
      <c r="D284" s="7" t="s">
        <v>1630</v>
      </c>
      <c r="E284" s="7" t="s">
        <v>93</v>
      </c>
      <c r="F284" s="7">
        <v>41400</v>
      </c>
      <c r="G284" s="7" t="s">
        <v>110</v>
      </c>
      <c r="H284" s="7" t="s">
        <v>37</v>
      </c>
      <c r="I284" s="7"/>
      <c r="J284" s="7"/>
      <c r="K284" s="7" t="s">
        <v>1187</v>
      </c>
      <c r="L284" s="7"/>
      <c r="M284" s="7" t="s">
        <v>1631</v>
      </c>
      <c r="N284" s="7">
        <v>11364</v>
      </c>
      <c r="O284" s="7">
        <v>927</v>
      </c>
      <c r="P284" s="7">
        <v>2342</v>
      </c>
      <c r="Q284" s="7">
        <v>0</v>
      </c>
      <c r="R284" s="7">
        <v>0</v>
      </c>
      <c r="S284" s="7">
        <v>0</v>
      </c>
      <c r="T284" s="7">
        <v>0</v>
      </c>
      <c r="U284" s="7">
        <v>7748</v>
      </c>
      <c r="V284" s="7">
        <v>6199</v>
      </c>
      <c r="W284" s="7">
        <v>0</v>
      </c>
      <c r="X284" s="7" t="s">
        <v>42</v>
      </c>
      <c r="Y284" s="7">
        <v>0</v>
      </c>
      <c r="Z284" s="7">
        <v>0</v>
      </c>
      <c r="AA284" s="7">
        <v>6</v>
      </c>
      <c r="AB284" s="7"/>
      <c r="AC284" s="7"/>
    </row>
    <row r="285" spans="1:29">
      <c r="A285" s="7" t="s">
        <v>1181</v>
      </c>
      <c r="B285" s="7" t="s">
        <v>1182</v>
      </c>
      <c r="C285" s="7" t="s">
        <v>54</v>
      </c>
      <c r="D285" s="7" t="s">
        <v>1632</v>
      </c>
      <c r="E285" s="7" t="s">
        <v>93</v>
      </c>
      <c r="F285" s="7">
        <v>41400</v>
      </c>
      <c r="G285" s="7" t="s">
        <v>24</v>
      </c>
      <c r="H285" s="7" t="s">
        <v>37</v>
      </c>
      <c r="I285" s="7"/>
      <c r="J285" s="7"/>
      <c r="K285" s="7" t="s">
        <v>1191</v>
      </c>
      <c r="L285" s="7"/>
      <c r="M285" s="7" t="s">
        <v>1633</v>
      </c>
      <c r="N285" s="7">
        <v>11364</v>
      </c>
      <c r="O285" s="7">
        <v>927</v>
      </c>
      <c r="P285" s="7">
        <v>2342</v>
      </c>
      <c r="Q285" s="7">
        <v>0</v>
      </c>
      <c r="R285" s="7">
        <v>0</v>
      </c>
      <c r="S285" s="7">
        <v>0</v>
      </c>
      <c r="T285" s="7">
        <v>7748</v>
      </c>
      <c r="U285" s="7">
        <v>0</v>
      </c>
      <c r="V285" s="7">
        <v>6199</v>
      </c>
      <c r="W285" s="7">
        <v>0</v>
      </c>
      <c r="X285" s="7" t="s">
        <v>91</v>
      </c>
      <c r="Y285" s="7">
        <v>0</v>
      </c>
      <c r="Z285" s="7">
        <v>0</v>
      </c>
      <c r="AA285" s="7">
        <v>6</v>
      </c>
      <c r="AB285" s="7"/>
      <c r="AC285" s="7"/>
    </row>
    <row r="286" spans="1:29">
      <c r="A286" s="7" t="s">
        <v>1181</v>
      </c>
      <c r="B286" s="7" t="s">
        <v>1634</v>
      </c>
      <c r="C286" s="7" t="s">
        <v>54</v>
      </c>
      <c r="D286" s="7" t="s">
        <v>1635</v>
      </c>
      <c r="E286" s="7" t="s">
        <v>93</v>
      </c>
      <c r="F286" s="7">
        <v>38500</v>
      </c>
      <c r="G286" s="7" t="s">
        <v>98</v>
      </c>
      <c r="H286" s="7" t="s">
        <v>37</v>
      </c>
      <c r="I286" s="7"/>
      <c r="J286" s="7"/>
      <c r="K286" s="7" t="s">
        <v>1184</v>
      </c>
      <c r="L286" s="7"/>
      <c r="M286" s="7" t="s">
        <v>1636</v>
      </c>
      <c r="N286" s="7">
        <v>11743</v>
      </c>
      <c r="O286" s="7">
        <v>958</v>
      </c>
      <c r="P286" s="7">
        <v>2419</v>
      </c>
      <c r="Q286" s="7">
        <v>8006</v>
      </c>
      <c r="R286" s="7">
        <v>0</v>
      </c>
      <c r="S286" s="7">
        <v>0</v>
      </c>
      <c r="T286" s="7">
        <v>0</v>
      </c>
      <c r="U286" s="7">
        <v>0</v>
      </c>
      <c r="V286" s="7">
        <v>6405</v>
      </c>
      <c r="W286" s="7">
        <v>0</v>
      </c>
      <c r="X286" s="7" t="s">
        <v>37</v>
      </c>
      <c r="Y286" s="7">
        <v>0</v>
      </c>
      <c r="Z286" s="7">
        <v>0</v>
      </c>
      <c r="AA286" s="7">
        <v>8</v>
      </c>
      <c r="AB286" s="7"/>
      <c r="AC286" s="7"/>
    </row>
    <row r="287" spans="1:29">
      <c r="A287" s="7" t="s">
        <v>1168</v>
      </c>
      <c r="B287" s="7" t="s">
        <v>1176</v>
      </c>
      <c r="C287" s="7" t="s">
        <v>54</v>
      </c>
      <c r="D287" s="7" t="s">
        <v>929</v>
      </c>
      <c r="E287" s="7" t="s">
        <v>711</v>
      </c>
      <c r="F287" s="7">
        <v>38100</v>
      </c>
      <c r="G287" s="7" t="s">
        <v>98</v>
      </c>
      <c r="H287" s="7" t="s">
        <v>42</v>
      </c>
      <c r="I287" s="7" t="s">
        <v>110</v>
      </c>
      <c r="J287" s="7"/>
      <c r="K287" s="7" t="s">
        <v>1179</v>
      </c>
      <c r="L287" s="7" t="s">
        <v>1173</v>
      </c>
      <c r="M287" s="7" t="s">
        <v>1637</v>
      </c>
      <c r="N287" s="7">
        <v>10458</v>
      </c>
      <c r="O287" s="7">
        <v>0</v>
      </c>
      <c r="P287" s="7">
        <v>4166</v>
      </c>
      <c r="Q287" s="7">
        <v>8557</v>
      </c>
      <c r="R287" s="7">
        <v>3566</v>
      </c>
      <c r="S287" s="7">
        <v>0</v>
      </c>
      <c r="T287" s="7">
        <v>0</v>
      </c>
      <c r="U287" s="7">
        <v>3566</v>
      </c>
      <c r="V287" s="7">
        <v>0</v>
      </c>
      <c r="W287" s="7">
        <v>0</v>
      </c>
      <c r="X287" s="7" t="s">
        <v>32</v>
      </c>
      <c r="Y287" s="7">
        <v>0</v>
      </c>
      <c r="Z287" s="7">
        <v>0</v>
      </c>
      <c r="AA287" s="7">
        <v>6</v>
      </c>
      <c r="AB287" s="7"/>
      <c r="AC287" s="7"/>
    </row>
    <row r="288" spans="1:29">
      <c r="A288" s="7" t="s">
        <v>1168</v>
      </c>
      <c r="B288" s="7" t="s">
        <v>1176</v>
      </c>
      <c r="C288" s="7" t="s">
        <v>54</v>
      </c>
      <c r="D288" s="7" t="s">
        <v>929</v>
      </c>
      <c r="E288" s="7" t="s">
        <v>711</v>
      </c>
      <c r="F288" s="7">
        <v>38100</v>
      </c>
      <c r="G288" s="7" t="s">
        <v>98</v>
      </c>
      <c r="H288" s="7" t="s">
        <v>42</v>
      </c>
      <c r="I288" s="7" t="s">
        <v>37</v>
      </c>
      <c r="J288" s="7"/>
      <c r="K288" s="7" t="s">
        <v>1177</v>
      </c>
      <c r="L288" s="7" t="s">
        <v>1173</v>
      </c>
      <c r="M288" s="7" t="s">
        <v>1638</v>
      </c>
      <c r="N288" s="7">
        <v>10458</v>
      </c>
      <c r="O288" s="7">
        <v>0</v>
      </c>
      <c r="P288" s="7">
        <v>4166</v>
      </c>
      <c r="Q288" s="7">
        <v>8557</v>
      </c>
      <c r="R288" s="7">
        <v>3566</v>
      </c>
      <c r="S288" s="7">
        <v>0</v>
      </c>
      <c r="T288" s="7">
        <v>0</v>
      </c>
      <c r="U288" s="7">
        <v>0</v>
      </c>
      <c r="V288" s="7">
        <v>3566</v>
      </c>
      <c r="W288" s="7">
        <v>0</v>
      </c>
      <c r="X288" s="7" t="s">
        <v>32</v>
      </c>
      <c r="Y288" s="7">
        <v>0</v>
      </c>
      <c r="Z288" s="7">
        <v>0</v>
      </c>
      <c r="AA288" s="7">
        <v>6</v>
      </c>
      <c r="AB288" s="7"/>
      <c r="AC288" s="7"/>
    </row>
    <row r="289" spans="1:29">
      <c r="A289" s="7" t="s">
        <v>1168</v>
      </c>
      <c r="B289" s="7" t="s">
        <v>1205</v>
      </c>
      <c r="C289" s="7" t="s">
        <v>54</v>
      </c>
      <c r="D289" s="7" t="s">
        <v>929</v>
      </c>
      <c r="E289" s="7" t="s">
        <v>708</v>
      </c>
      <c r="F289" s="7">
        <v>38100</v>
      </c>
      <c r="G289" s="7" t="s">
        <v>98</v>
      </c>
      <c r="H289" s="7" t="s">
        <v>110</v>
      </c>
      <c r="I289" s="7" t="s">
        <v>32</v>
      </c>
      <c r="J289" s="7" t="s">
        <v>37</v>
      </c>
      <c r="K289" s="7" t="s">
        <v>1331</v>
      </c>
      <c r="L289" s="7" t="s">
        <v>1173</v>
      </c>
      <c r="M289" s="7" t="s">
        <v>1639</v>
      </c>
      <c r="N289" s="7">
        <v>10458</v>
      </c>
      <c r="O289" s="7">
        <v>0</v>
      </c>
      <c r="P289" s="7">
        <v>3376</v>
      </c>
      <c r="Q289" s="7">
        <v>4753</v>
      </c>
      <c r="R289" s="7">
        <v>0</v>
      </c>
      <c r="S289" s="7">
        <v>4753</v>
      </c>
      <c r="T289" s="7">
        <v>0</v>
      </c>
      <c r="U289" s="7">
        <v>4753</v>
      </c>
      <c r="V289" s="7">
        <v>4753</v>
      </c>
      <c r="W289" s="7">
        <v>0</v>
      </c>
      <c r="X289" s="7" t="s">
        <v>98</v>
      </c>
      <c r="Y289" s="7">
        <v>0</v>
      </c>
      <c r="Z289" s="7">
        <v>0</v>
      </c>
      <c r="AA289" s="7">
        <v>6</v>
      </c>
      <c r="AB289" s="7"/>
      <c r="AC289" s="7"/>
    </row>
    <row r="290" spans="1:29">
      <c r="A290" s="7" t="s">
        <v>1181</v>
      </c>
      <c r="B290" s="7" t="s">
        <v>1634</v>
      </c>
      <c r="C290" s="7" t="s">
        <v>54</v>
      </c>
      <c r="D290" s="7" t="s">
        <v>1640</v>
      </c>
      <c r="E290" s="7" t="s">
        <v>93</v>
      </c>
      <c r="F290" s="7">
        <v>37900</v>
      </c>
      <c r="G290" s="7" t="s">
        <v>24</v>
      </c>
      <c r="H290" s="7" t="s">
        <v>37</v>
      </c>
      <c r="I290" s="7"/>
      <c r="J290" s="7"/>
      <c r="K290" s="7" t="s">
        <v>1191</v>
      </c>
      <c r="L290" s="7"/>
      <c r="M290" s="7" t="s">
        <v>1641</v>
      </c>
      <c r="N290" s="7">
        <v>11560</v>
      </c>
      <c r="O290" s="7">
        <v>943</v>
      </c>
      <c r="P290" s="7">
        <v>2381</v>
      </c>
      <c r="Q290" s="7">
        <v>0</v>
      </c>
      <c r="R290" s="7">
        <v>0</v>
      </c>
      <c r="S290" s="7">
        <v>0</v>
      </c>
      <c r="T290" s="7">
        <v>7882</v>
      </c>
      <c r="U290" s="7">
        <v>0</v>
      </c>
      <c r="V290" s="7">
        <v>6305</v>
      </c>
      <c r="W290" s="7">
        <v>0</v>
      </c>
      <c r="X290" s="7" t="s">
        <v>91</v>
      </c>
      <c r="Y290" s="7">
        <v>0</v>
      </c>
      <c r="Z290" s="7">
        <v>0</v>
      </c>
      <c r="AA290" s="7">
        <v>8</v>
      </c>
      <c r="AB290" s="7"/>
      <c r="AC290" s="7"/>
    </row>
    <row r="291" spans="1:29">
      <c r="A291" s="7" t="s">
        <v>1181</v>
      </c>
      <c r="B291" s="7" t="s">
        <v>1634</v>
      </c>
      <c r="C291" s="7" t="s">
        <v>54</v>
      </c>
      <c r="D291" s="7" t="s">
        <v>1642</v>
      </c>
      <c r="E291" s="7" t="s">
        <v>93</v>
      </c>
      <c r="F291" s="7">
        <v>37900</v>
      </c>
      <c r="G291" s="7" t="s">
        <v>110</v>
      </c>
      <c r="H291" s="7" t="s">
        <v>37</v>
      </c>
      <c r="I291" s="7"/>
      <c r="J291" s="7"/>
      <c r="K291" s="7" t="s">
        <v>1187</v>
      </c>
      <c r="L291" s="7"/>
      <c r="M291" s="7" t="s">
        <v>1643</v>
      </c>
      <c r="N291" s="7">
        <v>11560</v>
      </c>
      <c r="O291" s="7">
        <v>943</v>
      </c>
      <c r="P291" s="7">
        <v>2381</v>
      </c>
      <c r="Q291" s="7">
        <v>0</v>
      </c>
      <c r="R291" s="7">
        <v>0</v>
      </c>
      <c r="S291" s="7">
        <v>0</v>
      </c>
      <c r="T291" s="7">
        <v>0</v>
      </c>
      <c r="U291" s="7">
        <v>7882</v>
      </c>
      <c r="V291" s="7">
        <v>6305</v>
      </c>
      <c r="W291" s="7">
        <v>0</v>
      </c>
      <c r="X291" s="7" t="s">
        <v>42</v>
      </c>
      <c r="Y291" s="7">
        <v>0</v>
      </c>
      <c r="Z291" s="7">
        <v>0</v>
      </c>
      <c r="AA291" s="7">
        <v>8</v>
      </c>
      <c r="AB291" s="7"/>
      <c r="AC291" s="7"/>
    </row>
    <row r="292" spans="1:29">
      <c r="A292" s="7" t="s">
        <v>1181</v>
      </c>
      <c r="B292" s="7" t="s">
        <v>1634</v>
      </c>
      <c r="C292" s="7" t="s">
        <v>54</v>
      </c>
      <c r="D292" s="7" t="s">
        <v>1644</v>
      </c>
      <c r="E292" s="7" t="s">
        <v>645</v>
      </c>
      <c r="F292" s="7">
        <v>37900</v>
      </c>
      <c r="G292" s="7" t="s">
        <v>32</v>
      </c>
      <c r="H292" s="7" t="s">
        <v>37</v>
      </c>
      <c r="I292" s="7"/>
      <c r="J292" s="7"/>
      <c r="K292" s="7" t="s">
        <v>1172</v>
      </c>
      <c r="L292" s="7" t="s">
        <v>1173</v>
      </c>
      <c r="M292" s="7" t="s">
        <v>55</v>
      </c>
      <c r="N292" s="7">
        <v>11560</v>
      </c>
      <c r="O292" s="7">
        <v>943</v>
      </c>
      <c r="P292" s="7">
        <v>2381</v>
      </c>
      <c r="Q292" s="7">
        <v>0</v>
      </c>
      <c r="R292" s="7">
        <v>0</v>
      </c>
      <c r="S292" s="7">
        <v>7882</v>
      </c>
      <c r="T292" s="7">
        <v>0</v>
      </c>
      <c r="U292" s="7">
        <v>0</v>
      </c>
      <c r="V292" s="7">
        <v>6305</v>
      </c>
      <c r="W292" s="7">
        <v>0</v>
      </c>
      <c r="X292" s="7" t="s">
        <v>32</v>
      </c>
      <c r="Y292" s="7">
        <v>0</v>
      </c>
      <c r="Z292" s="7">
        <v>0</v>
      </c>
      <c r="AA292" s="7">
        <v>8</v>
      </c>
      <c r="AB292" s="7"/>
      <c r="AC292" s="7"/>
    </row>
    <row r="293" spans="1:29">
      <c r="A293" s="7" t="s">
        <v>1168</v>
      </c>
      <c r="B293" s="7" t="s">
        <v>1645</v>
      </c>
      <c r="C293" s="7" t="s">
        <v>54</v>
      </c>
      <c r="D293" s="7" t="s">
        <v>1646</v>
      </c>
      <c r="E293" s="7" t="s">
        <v>710</v>
      </c>
      <c r="F293" s="7">
        <v>37900</v>
      </c>
      <c r="G293" s="7" t="s">
        <v>98</v>
      </c>
      <c r="H293" s="7" t="s">
        <v>37</v>
      </c>
      <c r="I293" s="7"/>
      <c r="J293" s="7"/>
      <c r="K293" s="7" t="s">
        <v>1184</v>
      </c>
      <c r="L293" s="7" t="s">
        <v>1173</v>
      </c>
      <c r="M293" s="7" t="s">
        <v>1647</v>
      </c>
      <c r="N293" s="7">
        <v>11559</v>
      </c>
      <c r="O293" s="7">
        <v>0</v>
      </c>
      <c r="P293" s="7">
        <v>1588</v>
      </c>
      <c r="Q293" s="7">
        <v>20492</v>
      </c>
      <c r="R293" s="7">
        <v>0</v>
      </c>
      <c r="S293" s="7">
        <v>0</v>
      </c>
      <c r="T293" s="7">
        <v>0</v>
      </c>
      <c r="U293" s="7">
        <v>0</v>
      </c>
      <c r="V293" s="7">
        <v>6305</v>
      </c>
      <c r="W293" s="7">
        <v>0</v>
      </c>
      <c r="X293" s="7" t="s">
        <v>47</v>
      </c>
      <c r="Y293" s="7">
        <v>0</v>
      </c>
      <c r="Z293" s="7">
        <v>0</v>
      </c>
      <c r="AA293" s="7">
        <v>8</v>
      </c>
      <c r="AB293" s="7"/>
      <c r="AC293" s="7"/>
    </row>
    <row r="294" spans="1:29">
      <c r="A294" s="7" t="s">
        <v>1168</v>
      </c>
      <c r="B294" s="7" t="s">
        <v>1648</v>
      </c>
      <c r="C294" s="7" t="s">
        <v>54</v>
      </c>
      <c r="D294" s="7" t="s">
        <v>1646</v>
      </c>
      <c r="E294" s="7" t="s">
        <v>707</v>
      </c>
      <c r="F294" s="7">
        <v>37900</v>
      </c>
      <c r="G294" s="7" t="s">
        <v>32</v>
      </c>
      <c r="H294" s="7" t="s">
        <v>37</v>
      </c>
      <c r="I294" s="7"/>
      <c r="J294" s="7"/>
      <c r="K294" s="7" t="s">
        <v>1172</v>
      </c>
      <c r="L294" s="7" t="s">
        <v>1173</v>
      </c>
      <c r="M294" s="7" t="s">
        <v>1649</v>
      </c>
      <c r="N294" s="7">
        <v>11559</v>
      </c>
      <c r="O294" s="7">
        <v>0</v>
      </c>
      <c r="P294" s="7">
        <v>1588</v>
      </c>
      <c r="Q294" s="7">
        <v>0</v>
      </c>
      <c r="R294" s="7">
        <v>0</v>
      </c>
      <c r="S294" s="7">
        <v>20492</v>
      </c>
      <c r="T294" s="7">
        <v>0</v>
      </c>
      <c r="U294" s="7">
        <v>0</v>
      </c>
      <c r="V294" s="7">
        <v>6305</v>
      </c>
      <c r="W294" s="7">
        <v>0</v>
      </c>
      <c r="X294" s="7" t="s">
        <v>32</v>
      </c>
      <c r="Y294" s="7">
        <v>0</v>
      </c>
      <c r="Z294" s="7">
        <v>0</v>
      </c>
      <c r="AA294" s="7">
        <v>8</v>
      </c>
      <c r="AB294" s="7"/>
      <c r="AC294" s="7"/>
    </row>
    <row r="295" spans="1:29">
      <c r="A295" s="7" t="s">
        <v>1168</v>
      </c>
      <c r="B295" s="7" t="s">
        <v>1648</v>
      </c>
      <c r="C295" s="7" t="s">
        <v>54</v>
      </c>
      <c r="D295" s="7" t="s">
        <v>1646</v>
      </c>
      <c r="E295" s="7" t="s">
        <v>707</v>
      </c>
      <c r="F295" s="7">
        <v>37900</v>
      </c>
      <c r="G295" s="7" t="s">
        <v>110</v>
      </c>
      <c r="H295" s="7" t="s">
        <v>37</v>
      </c>
      <c r="I295" s="7"/>
      <c r="J295" s="7"/>
      <c r="K295" s="7" t="s">
        <v>1187</v>
      </c>
      <c r="L295" s="7" t="s">
        <v>1173</v>
      </c>
      <c r="M295" s="7" t="s">
        <v>1650</v>
      </c>
      <c r="N295" s="7">
        <v>11559</v>
      </c>
      <c r="O295" s="7">
        <v>0</v>
      </c>
      <c r="P295" s="7">
        <v>1588</v>
      </c>
      <c r="Q295" s="7">
        <v>0</v>
      </c>
      <c r="R295" s="7">
        <v>0</v>
      </c>
      <c r="S295" s="7">
        <v>0</v>
      </c>
      <c r="T295" s="7">
        <v>0</v>
      </c>
      <c r="U295" s="7">
        <v>21017</v>
      </c>
      <c r="V295" s="7">
        <v>6305</v>
      </c>
      <c r="W295" s="7">
        <v>0</v>
      </c>
      <c r="X295" s="7" t="s">
        <v>110</v>
      </c>
      <c r="Y295" s="7">
        <v>0</v>
      </c>
      <c r="Z295" s="7">
        <v>0</v>
      </c>
      <c r="AA295" s="7">
        <v>8</v>
      </c>
      <c r="AB295" s="7"/>
      <c r="AC295" s="7"/>
    </row>
    <row r="296" spans="1:29">
      <c r="A296" s="7" t="s">
        <v>1181</v>
      </c>
      <c r="B296" s="7" t="s">
        <v>1182</v>
      </c>
      <c r="C296" s="7" t="s">
        <v>54</v>
      </c>
      <c r="D296" s="7" t="s">
        <v>1623</v>
      </c>
      <c r="E296" s="7" t="s">
        <v>93</v>
      </c>
      <c r="F296" s="7">
        <v>35900</v>
      </c>
      <c r="G296" s="7" t="s">
        <v>98</v>
      </c>
      <c r="H296" s="7" t="s">
        <v>37</v>
      </c>
      <c r="I296" s="7"/>
      <c r="J296" s="7"/>
      <c r="K296" s="7" t="s">
        <v>1184</v>
      </c>
      <c r="L296" s="7"/>
      <c r="M296" s="7" t="s">
        <v>1651</v>
      </c>
      <c r="N296" s="7">
        <v>9854</v>
      </c>
      <c r="O296" s="7">
        <v>804</v>
      </c>
      <c r="P296" s="7">
        <v>2031</v>
      </c>
      <c r="Q296" s="7">
        <v>6719</v>
      </c>
      <c r="R296" s="7">
        <v>0</v>
      </c>
      <c r="S296" s="7">
        <v>0</v>
      </c>
      <c r="T296" s="7">
        <v>0</v>
      </c>
      <c r="U296" s="7">
        <v>0</v>
      </c>
      <c r="V296" s="7">
        <v>5375</v>
      </c>
      <c r="W296" s="7">
        <v>0</v>
      </c>
      <c r="X296" s="7" t="s">
        <v>37</v>
      </c>
      <c r="Y296" s="7">
        <v>0</v>
      </c>
      <c r="Z296" s="7">
        <v>0</v>
      </c>
      <c r="AA296" s="7">
        <v>6</v>
      </c>
      <c r="AB296" s="7"/>
      <c r="AC296" s="7"/>
    </row>
    <row r="297" spans="1:29">
      <c r="A297" s="7" t="s">
        <v>1181</v>
      </c>
      <c r="B297" s="7" t="s">
        <v>1182</v>
      </c>
      <c r="C297" s="7" t="s">
        <v>54</v>
      </c>
      <c r="D297" s="7" t="s">
        <v>1652</v>
      </c>
      <c r="E297" s="7" t="s">
        <v>93</v>
      </c>
      <c r="F297" s="7">
        <v>35300</v>
      </c>
      <c r="G297" s="7" t="s">
        <v>110</v>
      </c>
      <c r="H297" s="7" t="s">
        <v>37</v>
      </c>
      <c r="I297" s="7"/>
      <c r="J297" s="7"/>
      <c r="K297" s="7" t="s">
        <v>1187</v>
      </c>
      <c r="L297" s="7"/>
      <c r="M297" s="7" t="s">
        <v>1653</v>
      </c>
      <c r="N297" s="7">
        <v>9690</v>
      </c>
      <c r="O297" s="7">
        <v>790</v>
      </c>
      <c r="P297" s="7">
        <v>1997</v>
      </c>
      <c r="Q297" s="7">
        <v>0</v>
      </c>
      <c r="R297" s="7">
        <v>0</v>
      </c>
      <c r="S297" s="7">
        <v>0</v>
      </c>
      <c r="T297" s="7">
        <v>0</v>
      </c>
      <c r="U297" s="7">
        <v>6607</v>
      </c>
      <c r="V297" s="7">
        <v>5285</v>
      </c>
      <c r="W297" s="7">
        <v>0</v>
      </c>
      <c r="X297" s="7" t="s">
        <v>42</v>
      </c>
      <c r="Y297" s="7">
        <v>0</v>
      </c>
      <c r="Z297" s="7">
        <v>0</v>
      </c>
      <c r="AA297" s="7">
        <v>6</v>
      </c>
      <c r="AB297" s="7"/>
      <c r="AC297" s="7"/>
    </row>
    <row r="298" spans="1:29">
      <c r="A298" s="7" t="s">
        <v>1181</v>
      </c>
      <c r="B298" s="7" t="s">
        <v>1182</v>
      </c>
      <c r="C298" s="7" t="s">
        <v>54</v>
      </c>
      <c r="D298" s="7" t="s">
        <v>1654</v>
      </c>
      <c r="E298" s="7" t="s">
        <v>93</v>
      </c>
      <c r="F298" s="7">
        <v>35300</v>
      </c>
      <c r="G298" s="7" t="s">
        <v>24</v>
      </c>
      <c r="H298" s="7" t="s">
        <v>37</v>
      </c>
      <c r="I298" s="7"/>
      <c r="J298" s="7"/>
      <c r="K298" s="7" t="s">
        <v>1191</v>
      </c>
      <c r="L298" s="7"/>
      <c r="M298" s="7" t="s">
        <v>1655</v>
      </c>
      <c r="N298" s="7">
        <v>9690</v>
      </c>
      <c r="O298" s="7">
        <v>790</v>
      </c>
      <c r="P298" s="7">
        <v>1997</v>
      </c>
      <c r="Q298" s="7">
        <v>0</v>
      </c>
      <c r="R298" s="7">
        <v>0</v>
      </c>
      <c r="S298" s="7">
        <v>0</v>
      </c>
      <c r="T298" s="7">
        <v>6607</v>
      </c>
      <c r="U298" s="7">
        <v>0</v>
      </c>
      <c r="V298" s="7">
        <v>5285</v>
      </c>
      <c r="W298" s="7">
        <v>0</v>
      </c>
      <c r="X298" s="7" t="s">
        <v>91</v>
      </c>
      <c r="Y298" s="7">
        <v>0</v>
      </c>
      <c r="Z298" s="7">
        <v>0</v>
      </c>
      <c r="AA298" s="7">
        <v>6</v>
      </c>
      <c r="AB298" s="7"/>
      <c r="AC298" s="7"/>
    </row>
    <row r="299" spans="1:29">
      <c r="A299" s="7" t="s">
        <v>1181</v>
      </c>
      <c r="B299" s="7" t="s">
        <v>1182</v>
      </c>
      <c r="C299" s="7" t="s">
        <v>54</v>
      </c>
      <c r="D299" s="7" t="s">
        <v>1656</v>
      </c>
      <c r="E299" s="7" t="s">
        <v>644</v>
      </c>
      <c r="F299" s="7">
        <v>35300</v>
      </c>
      <c r="G299" s="7" t="s">
        <v>32</v>
      </c>
      <c r="H299" s="7" t="s">
        <v>37</v>
      </c>
      <c r="I299" s="7"/>
      <c r="J299" s="7"/>
      <c r="K299" s="7" t="s">
        <v>1172</v>
      </c>
      <c r="L299" s="7" t="s">
        <v>1173</v>
      </c>
      <c r="M299" s="7" t="s">
        <v>1657</v>
      </c>
      <c r="N299" s="7">
        <v>9690</v>
      </c>
      <c r="O299" s="7">
        <v>790</v>
      </c>
      <c r="P299" s="7">
        <v>1997</v>
      </c>
      <c r="Q299" s="7">
        <v>0</v>
      </c>
      <c r="R299" s="7">
        <v>0</v>
      </c>
      <c r="S299" s="7">
        <v>6607</v>
      </c>
      <c r="T299" s="7">
        <v>0</v>
      </c>
      <c r="U299" s="7">
        <v>0</v>
      </c>
      <c r="V299" s="7">
        <v>5285</v>
      </c>
      <c r="W299" s="7">
        <v>0</v>
      </c>
      <c r="X299" s="7" t="s">
        <v>32</v>
      </c>
      <c r="Y299" s="7">
        <v>0</v>
      </c>
      <c r="Z299" s="7">
        <v>0</v>
      </c>
      <c r="AA299" s="7">
        <v>6</v>
      </c>
      <c r="AB299" s="7"/>
      <c r="AC299" s="7"/>
    </row>
    <row r="300" spans="1:29">
      <c r="A300" s="7" t="s">
        <v>1168</v>
      </c>
      <c r="B300" s="7" t="s">
        <v>1205</v>
      </c>
      <c r="C300" s="7" t="s">
        <v>54</v>
      </c>
      <c r="D300" s="7" t="s">
        <v>929</v>
      </c>
      <c r="E300" s="7" t="s">
        <v>706</v>
      </c>
      <c r="F300" s="7">
        <v>35300</v>
      </c>
      <c r="G300" s="7" t="s">
        <v>98</v>
      </c>
      <c r="H300" s="7" t="s">
        <v>32</v>
      </c>
      <c r="I300" s="7" t="s">
        <v>37</v>
      </c>
      <c r="J300" s="7"/>
      <c r="K300" s="7" t="s">
        <v>1206</v>
      </c>
      <c r="L300" s="7" t="s">
        <v>1173</v>
      </c>
      <c r="M300" s="7" t="s">
        <v>1658</v>
      </c>
      <c r="N300" s="7">
        <v>9690</v>
      </c>
      <c r="O300" s="7">
        <v>0</v>
      </c>
      <c r="P300" s="7">
        <v>3860</v>
      </c>
      <c r="Q300" s="7">
        <v>4404</v>
      </c>
      <c r="R300" s="7">
        <v>0</v>
      </c>
      <c r="S300" s="7">
        <v>4404</v>
      </c>
      <c r="T300" s="7">
        <v>0</v>
      </c>
      <c r="U300" s="7">
        <v>0</v>
      </c>
      <c r="V300" s="7">
        <v>4404</v>
      </c>
      <c r="W300" s="7">
        <v>0</v>
      </c>
      <c r="X300" s="7" t="s">
        <v>42</v>
      </c>
      <c r="Y300" s="7">
        <v>0</v>
      </c>
      <c r="Z300" s="7">
        <v>0</v>
      </c>
      <c r="AA300" s="7">
        <v>6</v>
      </c>
      <c r="AB300" s="7"/>
      <c r="AC300" s="7"/>
    </row>
    <row r="301" spans="1:29">
      <c r="A301" s="7" t="s">
        <v>1168</v>
      </c>
      <c r="B301" s="7" t="s">
        <v>1176</v>
      </c>
      <c r="C301" s="7" t="s">
        <v>54</v>
      </c>
      <c r="D301" s="7" t="s">
        <v>929</v>
      </c>
      <c r="E301" s="7" t="s">
        <v>709</v>
      </c>
      <c r="F301" s="7">
        <v>35300</v>
      </c>
      <c r="G301" s="7" t="s">
        <v>98</v>
      </c>
      <c r="H301" s="7" t="s">
        <v>37</v>
      </c>
      <c r="I301" s="7"/>
      <c r="J301" s="7"/>
      <c r="K301" s="7" t="s">
        <v>1184</v>
      </c>
      <c r="L301" s="7" t="s">
        <v>1173</v>
      </c>
      <c r="M301" s="7" t="s">
        <v>1659</v>
      </c>
      <c r="N301" s="7">
        <v>9690</v>
      </c>
      <c r="O301" s="7">
        <v>0</v>
      </c>
      <c r="P301" s="7">
        <v>3194</v>
      </c>
      <c r="Q301" s="7">
        <v>10130</v>
      </c>
      <c r="R301" s="7">
        <v>0</v>
      </c>
      <c r="S301" s="7">
        <v>0</v>
      </c>
      <c r="T301" s="7">
        <v>0</v>
      </c>
      <c r="U301" s="7">
        <v>0</v>
      </c>
      <c r="V301" s="7">
        <v>5285</v>
      </c>
      <c r="W301" s="7">
        <v>0</v>
      </c>
      <c r="X301" s="7" t="s">
        <v>42</v>
      </c>
      <c r="Y301" s="7">
        <v>0</v>
      </c>
      <c r="Z301" s="7">
        <v>0</v>
      </c>
      <c r="AA301" s="7">
        <v>6</v>
      </c>
      <c r="AB301" s="7"/>
      <c r="AC301" s="7"/>
    </row>
    <row r="302" spans="1:29">
      <c r="A302" s="7" t="s">
        <v>1168</v>
      </c>
      <c r="B302" s="7" t="s">
        <v>1205</v>
      </c>
      <c r="C302" s="7" t="s">
        <v>54</v>
      </c>
      <c r="D302" s="7" t="s">
        <v>929</v>
      </c>
      <c r="E302" s="7" t="s">
        <v>709</v>
      </c>
      <c r="F302" s="7">
        <v>35300</v>
      </c>
      <c r="G302" s="7" t="s">
        <v>98</v>
      </c>
      <c r="H302" s="7" t="s">
        <v>42</v>
      </c>
      <c r="I302" s="7" t="s">
        <v>37</v>
      </c>
      <c r="J302" s="7"/>
      <c r="K302" s="7" t="s">
        <v>1177</v>
      </c>
      <c r="L302" s="7" t="s">
        <v>1173</v>
      </c>
      <c r="M302" s="7" t="s">
        <v>280</v>
      </c>
      <c r="N302" s="7">
        <v>9690</v>
      </c>
      <c r="O302" s="7">
        <v>0</v>
      </c>
      <c r="P302" s="7">
        <v>3860</v>
      </c>
      <c r="Q302" s="7">
        <v>6607</v>
      </c>
      <c r="R302" s="7">
        <v>3303</v>
      </c>
      <c r="S302" s="7">
        <v>0</v>
      </c>
      <c r="T302" s="7">
        <v>0</v>
      </c>
      <c r="U302" s="7">
        <v>0</v>
      </c>
      <c r="V302" s="7">
        <v>3303</v>
      </c>
      <c r="W302" s="7">
        <v>0</v>
      </c>
      <c r="X302" s="7" t="s">
        <v>32</v>
      </c>
      <c r="Y302" s="7">
        <v>0</v>
      </c>
      <c r="Z302" s="7">
        <v>0</v>
      </c>
      <c r="AA302" s="7">
        <v>6</v>
      </c>
      <c r="AB302" s="7"/>
      <c r="AC302" s="7"/>
    </row>
    <row r="303" spans="1:29">
      <c r="A303" s="7" t="s">
        <v>1181</v>
      </c>
      <c r="B303" s="7" t="s">
        <v>1634</v>
      </c>
      <c r="C303" s="7" t="s">
        <v>54</v>
      </c>
      <c r="D303" s="7" t="s">
        <v>1660</v>
      </c>
      <c r="E303" s="7" t="s">
        <v>93</v>
      </c>
      <c r="F303" s="7">
        <v>32800</v>
      </c>
      <c r="G303" s="7" t="s">
        <v>98</v>
      </c>
      <c r="H303" s="7" t="s">
        <v>37</v>
      </c>
      <c r="I303" s="7"/>
      <c r="J303" s="7"/>
      <c r="K303" s="7" t="s">
        <v>1184</v>
      </c>
      <c r="L303" s="7"/>
      <c r="M303" s="7" t="s">
        <v>1661</v>
      </c>
      <c r="N303" s="7">
        <v>10004</v>
      </c>
      <c r="O303" s="7">
        <v>816</v>
      </c>
      <c r="P303" s="7">
        <v>2061</v>
      </c>
      <c r="Q303" s="7">
        <v>6821</v>
      </c>
      <c r="R303" s="7">
        <v>0</v>
      </c>
      <c r="S303" s="7">
        <v>0</v>
      </c>
      <c r="T303" s="7">
        <v>0</v>
      </c>
      <c r="U303" s="7">
        <v>0</v>
      </c>
      <c r="V303" s="7">
        <v>5457</v>
      </c>
      <c r="W303" s="7">
        <v>0</v>
      </c>
      <c r="X303" s="7" t="s">
        <v>37</v>
      </c>
      <c r="Y303" s="7">
        <v>0</v>
      </c>
      <c r="Z303" s="7">
        <v>0</v>
      </c>
      <c r="AA303" s="7">
        <v>8</v>
      </c>
      <c r="AB303" s="7"/>
      <c r="AC303" s="7"/>
    </row>
    <row r="304" spans="1:29">
      <c r="A304" s="7" t="s">
        <v>1181</v>
      </c>
      <c r="B304" s="7" t="s">
        <v>1634</v>
      </c>
      <c r="C304" s="7" t="s">
        <v>54</v>
      </c>
      <c r="D304" s="7" t="s">
        <v>1662</v>
      </c>
      <c r="E304" s="7" t="s">
        <v>93</v>
      </c>
      <c r="F304" s="7">
        <v>32300</v>
      </c>
      <c r="G304" s="7" t="s">
        <v>24</v>
      </c>
      <c r="H304" s="7" t="s">
        <v>37</v>
      </c>
      <c r="I304" s="7"/>
      <c r="J304" s="7"/>
      <c r="K304" s="7" t="s">
        <v>1191</v>
      </c>
      <c r="L304" s="7"/>
      <c r="M304" s="7" t="s">
        <v>1663</v>
      </c>
      <c r="N304" s="7">
        <v>9852</v>
      </c>
      <c r="O304" s="7">
        <v>804</v>
      </c>
      <c r="P304" s="7">
        <v>2030</v>
      </c>
      <c r="Q304" s="7">
        <v>0</v>
      </c>
      <c r="R304" s="7">
        <v>0</v>
      </c>
      <c r="S304" s="7">
        <v>0</v>
      </c>
      <c r="T304" s="7">
        <v>6717</v>
      </c>
      <c r="U304" s="7">
        <v>0</v>
      </c>
      <c r="V304" s="7">
        <v>5374</v>
      </c>
      <c r="W304" s="7">
        <v>0</v>
      </c>
      <c r="X304" s="7" t="s">
        <v>91</v>
      </c>
      <c r="Y304" s="7">
        <v>0</v>
      </c>
      <c r="Z304" s="7">
        <v>0</v>
      </c>
      <c r="AA304" s="7">
        <v>8</v>
      </c>
      <c r="AB304" s="7"/>
      <c r="AC304" s="7"/>
    </row>
    <row r="305" spans="1:29">
      <c r="A305" s="7" t="s">
        <v>1181</v>
      </c>
      <c r="B305" s="7" t="s">
        <v>1634</v>
      </c>
      <c r="C305" s="7" t="s">
        <v>54</v>
      </c>
      <c r="D305" s="7" t="s">
        <v>1664</v>
      </c>
      <c r="E305" s="7" t="s">
        <v>93</v>
      </c>
      <c r="F305" s="7">
        <v>32300</v>
      </c>
      <c r="G305" s="7" t="s">
        <v>110</v>
      </c>
      <c r="H305" s="7" t="s">
        <v>37</v>
      </c>
      <c r="I305" s="7"/>
      <c r="J305" s="7"/>
      <c r="K305" s="7" t="s">
        <v>1187</v>
      </c>
      <c r="L305" s="7"/>
      <c r="M305" s="7" t="s">
        <v>1665</v>
      </c>
      <c r="N305" s="7">
        <v>9852</v>
      </c>
      <c r="O305" s="7">
        <v>804</v>
      </c>
      <c r="P305" s="7">
        <v>2030</v>
      </c>
      <c r="Q305" s="7">
        <v>0</v>
      </c>
      <c r="R305" s="7">
        <v>0</v>
      </c>
      <c r="S305" s="7">
        <v>0</v>
      </c>
      <c r="T305" s="7">
        <v>0</v>
      </c>
      <c r="U305" s="7">
        <v>6717</v>
      </c>
      <c r="V305" s="7">
        <v>5374</v>
      </c>
      <c r="W305" s="7">
        <v>0</v>
      </c>
      <c r="X305" s="7" t="s">
        <v>42</v>
      </c>
      <c r="Y305" s="7">
        <v>0</v>
      </c>
      <c r="Z305" s="7">
        <v>0</v>
      </c>
      <c r="AA305" s="7">
        <v>8</v>
      </c>
      <c r="AB305" s="7"/>
      <c r="AC305" s="7"/>
    </row>
    <row r="306" spans="1:29">
      <c r="A306" s="7" t="s">
        <v>1181</v>
      </c>
      <c r="B306" s="7" t="s">
        <v>1634</v>
      </c>
      <c r="C306" s="7" t="s">
        <v>54</v>
      </c>
      <c r="D306" s="7" t="s">
        <v>1666</v>
      </c>
      <c r="E306" s="7" t="s">
        <v>644</v>
      </c>
      <c r="F306" s="7">
        <v>32300</v>
      </c>
      <c r="G306" s="7" t="s">
        <v>32</v>
      </c>
      <c r="H306" s="7" t="s">
        <v>37</v>
      </c>
      <c r="I306" s="7"/>
      <c r="J306" s="7"/>
      <c r="K306" s="7" t="s">
        <v>1172</v>
      </c>
      <c r="L306" s="7" t="s">
        <v>1173</v>
      </c>
      <c r="M306" s="7" t="s">
        <v>257</v>
      </c>
      <c r="N306" s="7">
        <v>9852</v>
      </c>
      <c r="O306" s="7">
        <v>804</v>
      </c>
      <c r="P306" s="7">
        <v>2030</v>
      </c>
      <c r="Q306" s="7">
        <v>0</v>
      </c>
      <c r="R306" s="7">
        <v>0</v>
      </c>
      <c r="S306" s="7">
        <v>6717</v>
      </c>
      <c r="T306" s="7">
        <v>0</v>
      </c>
      <c r="U306" s="7">
        <v>0</v>
      </c>
      <c r="V306" s="7">
        <v>5374</v>
      </c>
      <c r="W306" s="7">
        <v>0</v>
      </c>
      <c r="X306" s="7" t="s">
        <v>32</v>
      </c>
      <c r="Y306" s="7">
        <v>0</v>
      </c>
      <c r="Z306" s="7">
        <v>0</v>
      </c>
      <c r="AA306" s="7">
        <v>8</v>
      </c>
      <c r="AB306" s="7"/>
      <c r="AC306" s="7"/>
    </row>
    <row r="307" spans="1:29">
      <c r="A307" s="7" t="s">
        <v>1168</v>
      </c>
      <c r="B307" s="7" t="s">
        <v>1648</v>
      </c>
      <c r="C307" s="7" t="s">
        <v>54</v>
      </c>
      <c r="D307" s="7" t="s">
        <v>1646</v>
      </c>
      <c r="E307" s="7" t="s">
        <v>709</v>
      </c>
      <c r="F307" s="7">
        <v>32300</v>
      </c>
      <c r="G307" s="7" t="s">
        <v>98</v>
      </c>
      <c r="H307" s="7" t="s">
        <v>42</v>
      </c>
      <c r="I307" s="7" t="s">
        <v>37</v>
      </c>
      <c r="J307" s="7"/>
      <c r="K307" s="7" t="s">
        <v>1177</v>
      </c>
      <c r="L307" s="7" t="s">
        <v>1173</v>
      </c>
      <c r="M307" s="7" t="s">
        <v>281</v>
      </c>
      <c r="N307" s="7">
        <v>9851</v>
      </c>
      <c r="O307" s="7">
        <v>0</v>
      </c>
      <c r="P307" s="7">
        <v>3924</v>
      </c>
      <c r="Q307" s="7">
        <v>6717</v>
      </c>
      <c r="R307" s="7">
        <v>3358</v>
      </c>
      <c r="S307" s="7">
        <v>0</v>
      </c>
      <c r="T307" s="7">
        <v>0</v>
      </c>
      <c r="U307" s="7">
        <v>0</v>
      </c>
      <c r="V307" s="7">
        <v>3358</v>
      </c>
      <c r="W307" s="7">
        <v>0</v>
      </c>
      <c r="X307" s="7" t="s">
        <v>32</v>
      </c>
      <c r="Y307" s="7">
        <v>0</v>
      </c>
      <c r="Z307" s="7">
        <v>0</v>
      </c>
      <c r="AA307" s="7">
        <v>8</v>
      </c>
      <c r="AB307" s="7"/>
      <c r="AC307" s="7"/>
    </row>
    <row r="308" spans="1:29">
      <c r="A308" s="7" t="s">
        <v>1168</v>
      </c>
      <c r="B308" s="7" t="s">
        <v>1648</v>
      </c>
      <c r="C308" s="7" t="s">
        <v>54</v>
      </c>
      <c r="D308" s="7" t="s">
        <v>1646</v>
      </c>
      <c r="E308" s="7" t="s">
        <v>706</v>
      </c>
      <c r="F308" s="7">
        <v>32300</v>
      </c>
      <c r="G308" s="7" t="s">
        <v>98</v>
      </c>
      <c r="H308" s="7" t="s">
        <v>32</v>
      </c>
      <c r="I308" s="7" t="s">
        <v>37</v>
      </c>
      <c r="J308" s="7"/>
      <c r="K308" s="7" t="s">
        <v>1206</v>
      </c>
      <c r="L308" s="7" t="s">
        <v>1173</v>
      </c>
      <c r="M308" s="7" t="s">
        <v>1667</v>
      </c>
      <c r="N308" s="7">
        <v>9851</v>
      </c>
      <c r="O308" s="7">
        <v>0</v>
      </c>
      <c r="P308" s="7">
        <v>3924</v>
      </c>
      <c r="Q308" s="7">
        <v>4478</v>
      </c>
      <c r="R308" s="7">
        <v>0</v>
      </c>
      <c r="S308" s="7">
        <v>4478</v>
      </c>
      <c r="T308" s="7">
        <v>0</v>
      </c>
      <c r="U308" s="7">
        <v>0</v>
      </c>
      <c r="V308" s="7">
        <v>4478</v>
      </c>
      <c r="W308" s="7">
        <v>0</v>
      </c>
      <c r="X308" s="7" t="s">
        <v>42</v>
      </c>
      <c r="Y308" s="7">
        <v>0</v>
      </c>
      <c r="Z308" s="7">
        <v>0</v>
      </c>
      <c r="AA308" s="7">
        <v>8</v>
      </c>
      <c r="AB308" s="7"/>
      <c r="AC308" s="7"/>
    </row>
    <row r="309" spans="1:29">
      <c r="A309" s="7" t="s">
        <v>1168</v>
      </c>
      <c r="B309" s="7" t="s">
        <v>1648</v>
      </c>
      <c r="C309" s="7" t="s">
        <v>54</v>
      </c>
      <c r="D309" s="7" t="s">
        <v>1646</v>
      </c>
      <c r="E309" s="7" t="s">
        <v>709</v>
      </c>
      <c r="F309" s="7">
        <v>32300</v>
      </c>
      <c r="G309" s="7" t="s">
        <v>98</v>
      </c>
      <c r="H309" s="7" t="s">
        <v>37</v>
      </c>
      <c r="I309" s="7"/>
      <c r="J309" s="7"/>
      <c r="K309" s="7" t="s">
        <v>1184</v>
      </c>
      <c r="L309" s="7" t="s">
        <v>1173</v>
      </c>
      <c r="M309" s="7" t="s">
        <v>1668</v>
      </c>
      <c r="N309" s="7">
        <v>9851</v>
      </c>
      <c r="O309" s="7">
        <v>0</v>
      </c>
      <c r="P309" s="7">
        <v>3247</v>
      </c>
      <c r="Q309" s="7">
        <v>10299</v>
      </c>
      <c r="R309" s="7">
        <v>0</v>
      </c>
      <c r="S309" s="7">
        <v>0</v>
      </c>
      <c r="T309" s="7">
        <v>0</v>
      </c>
      <c r="U309" s="7">
        <v>0</v>
      </c>
      <c r="V309" s="7">
        <v>5374</v>
      </c>
      <c r="W309" s="7">
        <v>0</v>
      </c>
      <c r="X309" s="7" t="s">
        <v>42</v>
      </c>
      <c r="Y309" s="7">
        <v>0</v>
      </c>
      <c r="Z309" s="7">
        <v>0</v>
      </c>
      <c r="AA309" s="7">
        <v>8</v>
      </c>
      <c r="AB309" s="7"/>
      <c r="AC309" s="7"/>
    </row>
    <row r="310" spans="1:29">
      <c r="A310" s="7" t="s">
        <v>1181</v>
      </c>
      <c r="B310" s="7" t="s">
        <v>1182</v>
      </c>
      <c r="C310" s="7" t="s">
        <v>27</v>
      </c>
      <c r="D310" s="7" t="s">
        <v>1669</v>
      </c>
      <c r="E310" s="7" t="s">
        <v>598</v>
      </c>
      <c r="F310" s="7">
        <v>42100</v>
      </c>
      <c r="G310" s="7" t="s">
        <v>32</v>
      </c>
      <c r="H310" s="7" t="s">
        <v>37</v>
      </c>
      <c r="I310" s="7"/>
      <c r="J310" s="7"/>
      <c r="K310" s="7" t="s">
        <v>1172</v>
      </c>
      <c r="L310" s="7"/>
      <c r="M310" s="7" t="s">
        <v>1670</v>
      </c>
      <c r="N310" s="7">
        <v>23113</v>
      </c>
      <c r="O310" s="7">
        <v>1886</v>
      </c>
      <c r="P310" s="7">
        <v>4763</v>
      </c>
      <c r="Q310" s="7">
        <v>0</v>
      </c>
      <c r="R310" s="7">
        <v>0</v>
      </c>
      <c r="S310" s="7">
        <v>15759</v>
      </c>
      <c r="T310" s="7">
        <v>0</v>
      </c>
      <c r="U310" s="7">
        <v>0</v>
      </c>
      <c r="V310" s="7">
        <v>12607</v>
      </c>
      <c r="W310" s="7">
        <v>0</v>
      </c>
      <c r="X310" s="7" t="s">
        <v>91</v>
      </c>
      <c r="Y310" s="7" t="s">
        <v>98</v>
      </c>
      <c r="Z310" s="7">
        <v>0</v>
      </c>
      <c r="AA310" s="7">
        <v>6</v>
      </c>
      <c r="AB310" s="7"/>
      <c r="AC310" s="7"/>
    </row>
    <row r="311" spans="1:29">
      <c r="A311" s="7" t="s">
        <v>1181</v>
      </c>
      <c r="B311" s="7" t="s">
        <v>1182</v>
      </c>
      <c r="C311" s="7" t="s">
        <v>27</v>
      </c>
      <c r="D311" s="7" t="s">
        <v>1671</v>
      </c>
      <c r="E311" s="7" t="s">
        <v>93</v>
      </c>
      <c r="F311" s="7">
        <v>41400</v>
      </c>
      <c r="G311" s="7" t="s">
        <v>24</v>
      </c>
      <c r="H311" s="7" t="s">
        <v>37</v>
      </c>
      <c r="I311" s="7"/>
      <c r="J311" s="7"/>
      <c r="K311" s="7" t="s">
        <v>1191</v>
      </c>
      <c r="L311" s="7"/>
      <c r="M311" s="7" t="s">
        <v>1672</v>
      </c>
      <c r="N311" s="7">
        <v>22728</v>
      </c>
      <c r="O311" s="7">
        <v>1854</v>
      </c>
      <c r="P311" s="7">
        <v>4683</v>
      </c>
      <c r="Q311" s="7">
        <v>0</v>
      </c>
      <c r="R311" s="7">
        <v>0</v>
      </c>
      <c r="S311" s="7">
        <v>0</v>
      </c>
      <c r="T311" s="7">
        <v>15497</v>
      </c>
      <c r="U311" s="7">
        <v>0</v>
      </c>
      <c r="V311" s="7">
        <v>12398</v>
      </c>
      <c r="W311" s="7">
        <v>0</v>
      </c>
      <c r="X311" s="7" t="s">
        <v>98</v>
      </c>
      <c r="Y311" s="7" t="s">
        <v>110</v>
      </c>
      <c r="Z311" s="7">
        <v>0</v>
      </c>
      <c r="AA311" s="7">
        <v>6</v>
      </c>
      <c r="AB311" s="7"/>
      <c r="AC311" s="7"/>
    </row>
    <row r="312" spans="1:29">
      <c r="A312" s="7" t="s">
        <v>1181</v>
      </c>
      <c r="B312" s="7" t="s">
        <v>1182</v>
      </c>
      <c r="C312" s="7" t="s">
        <v>27</v>
      </c>
      <c r="D312" s="7" t="s">
        <v>1673</v>
      </c>
      <c r="E312" s="7" t="s">
        <v>93</v>
      </c>
      <c r="F312" s="7">
        <v>41400</v>
      </c>
      <c r="G312" s="7" t="s">
        <v>98</v>
      </c>
      <c r="H312" s="7" t="s">
        <v>37</v>
      </c>
      <c r="I312" s="7"/>
      <c r="J312" s="7"/>
      <c r="K312" s="7" t="s">
        <v>1184</v>
      </c>
      <c r="L312" s="7"/>
      <c r="M312" s="7" t="s">
        <v>1674</v>
      </c>
      <c r="N312" s="7">
        <v>22728</v>
      </c>
      <c r="O312" s="7">
        <v>1854</v>
      </c>
      <c r="P312" s="7">
        <v>4683</v>
      </c>
      <c r="Q312" s="7">
        <v>15497</v>
      </c>
      <c r="R312" s="7">
        <v>0</v>
      </c>
      <c r="S312" s="7">
        <v>0</v>
      </c>
      <c r="T312" s="7">
        <v>0</v>
      </c>
      <c r="U312" s="7">
        <v>0</v>
      </c>
      <c r="V312" s="7">
        <v>12398</v>
      </c>
      <c r="W312" s="7">
        <v>0</v>
      </c>
      <c r="X312" s="7" t="s">
        <v>98</v>
      </c>
      <c r="Y312" s="7" t="s">
        <v>42</v>
      </c>
      <c r="Z312" s="7">
        <v>0</v>
      </c>
      <c r="AA312" s="7">
        <v>6</v>
      </c>
      <c r="AB312" s="7"/>
      <c r="AC312" s="7"/>
    </row>
    <row r="313" spans="1:29">
      <c r="A313" s="7" t="s">
        <v>1181</v>
      </c>
      <c r="B313" s="7" t="s">
        <v>1182</v>
      </c>
      <c r="C313" s="7" t="s">
        <v>27</v>
      </c>
      <c r="D313" s="7" t="s">
        <v>1675</v>
      </c>
      <c r="E313" s="7" t="s">
        <v>93</v>
      </c>
      <c r="F313" s="7">
        <v>41400</v>
      </c>
      <c r="G313" s="7" t="s">
        <v>110</v>
      </c>
      <c r="H313" s="7" t="s">
        <v>37</v>
      </c>
      <c r="I313" s="7"/>
      <c r="J313" s="7"/>
      <c r="K313" s="7" t="s">
        <v>1187</v>
      </c>
      <c r="L313" s="7"/>
      <c r="M313" s="7" t="s">
        <v>1676</v>
      </c>
      <c r="N313" s="7">
        <v>22728</v>
      </c>
      <c r="O313" s="7">
        <v>1854</v>
      </c>
      <c r="P313" s="7">
        <v>4683</v>
      </c>
      <c r="Q313" s="7">
        <v>0</v>
      </c>
      <c r="R313" s="7">
        <v>0</v>
      </c>
      <c r="S313" s="7">
        <v>0</v>
      </c>
      <c r="T313" s="7">
        <v>0</v>
      </c>
      <c r="U313" s="7">
        <v>15497</v>
      </c>
      <c r="V313" s="7">
        <v>12398</v>
      </c>
      <c r="W313" s="7">
        <v>0</v>
      </c>
      <c r="X313" s="7" t="s">
        <v>110</v>
      </c>
      <c r="Y313" s="7" t="s">
        <v>98</v>
      </c>
      <c r="Z313" s="7">
        <v>0</v>
      </c>
      <c r="AA313" s="7">
        <v>6</v>
      </c>
      <c r="AB313" s="7"/>
      <c r="AC313" s="7"/>
    </row>
    <row r="314" spans="1:29">
      <c r="A314" s="7" t="s">
        <v>1181</v>
      </c>
      <c r="B314" s="7" t="s">
        <v>1182</v>
      </c>
      <c r="C314" s="7" t="s">
        <v>27</v>
      </c>
      <c r="D314" s="7" t="s">
        <v>1963</v>
      </c>
      <c r="E314" s="7" t="s">
        <v>787</v>
      </c>
      <c r="F314" s="7">
        <v>41400</v>
      </c>
      <c r="G314" s="7" t="s">
        <v>24</v>
      </c>
      <c r="H314" s="7" t="s">
        <v>37</v>
      </c>
      <c r="I314" s="7"/>
      <c r="J314" s="7"/>
      <c r="K314" s="7" t="s">
        <v>1191</v>
      </c>
      <c r="L314" s="7"/>
      <c r="M314" s="7" t="s">
        <v>28</v>
      </c>
      <c r="N314" s="7">
        <v>22728</v>
      </c>
      <c r="O314" s="7">
        <v>1854</v>
      </c>
      <c r="P314" s="7">
        <v>4683</v>
      </c>
      <c r="Q314" s="7">
        <v>0</v>
      </c>
      <c r="R314" s="7">
        <v>0</v>
      </c>
      <c r="S314" s="7">
        <v>0</v>
      </c>
      <c r="T314" s="7">
        <v>15497</v>
      </c>
      <c r="U314" s="7">
        <v>0</v>
      </c>
      <c r="V314" s="7">
        <v>12398</v>
      </c>
      <c r="W314" s="7">
        <v>0</v>
      </c>
      <c r="X314" s="7" t="s">
        <v>98</v>
      </c>
      <c r="Y314" s="7" t="s">
        <v>110</v>
      </c>
      <c r="Z314" s="7">
        <v>0</v>
      </c>
      <c r="AA314" s="7">
        <v>6</v>
      </c>
      <c r="AB314" s="7"/>
      <c r="AC314" s="7"/>
    </row>
    <row r="315" spans="1:29">
      <c r="A315" s="7" t="s">
        <v>1181</v>
      </c>
      <c r="B315" s="7" t="s">
        <v>1182</v>
      </c>
      <c r="C315" s="7" t="s">
        <v>27</v>
      </c>
      <c r="D315" s="7" t="s">
        <v>1678</v>
      </c>
      <c r="E315" s="7" t="s">
        <v>601</v>
      </c>
      <c r="F315" s="7">
        <v>35900</v>
      </c>
      <c r="G315" s="7" t="s">
        <v>32</v>
      </c>
      <c r="H315" s="7" t="s">
        <v>37</v>
      </c>
      <c r="I315" s="7"/>
      <c r="J315" s="7"/>
      <c r="K315" s="7" t="s">
        <v>1172</v>
      </c>
      <c r="L315" s="7"/>
      <c r="M315" s="7" t="s">
        <v>1679</v>
      </c>
      <c r="N315" s="7">
        <v>19709</v>
      </c>
      <c r="O315" s="7">
        <v>1608</v>
      </c>
      <c r="P315" s="7">
        <v>4061</v>
      </c>
      <c r="Q315" s="7">
        <v>0</v>
      </c>
      <c r="R315" s="7">
        <v>0</v>
      </c>
      <c r="S315" s="7">
        <v>13438</v>
      </c>
      <c r="T315" s="7">
        <v>0</v>
      </c>
      <c r="U315" s="7">
        <v>0</v>
      </c>
      <c r="V315" s="7">
        <v>10751</v>
      </c>
      <c r="W315" s="7">
        <v>0</v>
      </c>
      <c r="X315" s="7" t="s">
        <v>91</v>
      </c>
      <c r="Y315" s="7" t="s">
        <v>98</v>
      </c>
      <c r="Z315" s="7">
        <v>0</v>
      </c>
      <c r="AA315" s="7">
        <v>6</v>
      </c>
      <c r="AB315" s="7"/>
      <c r="AC315" s="7"/>
    </row>
    <row r="316" spans="1:29">
      <c r="A316" s="7" t="s">
        <v>1181</v>
      </c>
      <c r="B316" s="7" t="s">
        <v>1182</v>
      </c>
      <c r="C316" s="7" t="s">
        <v>27</v>
      </c>
      <c r="D316" s="7" t="s">
        <v>1680</v>
      </c>
      <c r="E316" s="7" t="s">
        <v>93</v>
      </c>
      <c r="F316" s="7">
        <v>35300</v>
      </c>
      <c r="G316" s="7" t="s">
        <v>110</v>
      </c>
      <c r="H316" s="7" t="s">
        <v>37</v>
      </c>
      <c r="I316" s="7"/>
      <c r="J316" s="7"/>
      <c r="K316" s="7" t="s">
        <v>1187</v>
      </c>
      <c r="L316" s="7"/>
      <c r="M316" s="7" t="s">
        <v>1681</v>
      </c>
      <c r="N316" s="7">
        <v>19380</v>
      </c>
      <c r="O316" s="7">
        <v>1581</v>
      </c>
      <c r="P316" s="7">
        <v>3993</v>
      </c>
      <c r="Q316" s="7">
        <v>0</v>
      </c>
      <c r="R316" s="7">
        <v>0</v>
      </c>
      <c r="S316" s="7">
        <v>0</v>
      </c>
      <c r="T316" s="7">
        <v>0</v>
      </c>
      <c r="U316" s="7">
        <v>13214</v>
      </c>
      <c r="V316" s="7">
        <v>10571</v>
      </c>
      <c r="W316" s="7">
        <v>0</v>
      </c>
      <c r="X316" s="7" t="s">
        <v>110</v>
      </c>
      <c r="Y316" s="7" t="s">
        <v>98</v>
      </c>
      <c r="Z316" s="7">
        <v>0</v>
      </c>
      <c r="AA316" s="7">
        <v>6</v>
      </c>
      <c r="AB316" s="7"/>
      <c r="AC316" s="7"/>
    </row>
    <row r="317" spans="1:29">
      <c r="A317" s="7" t="s">
        <v>1181</v>
      </c>
      <c r="B317" s="7" t="s">
        <v>1182</v>
      </c>
      <c r="C317" s="7" t="s">
        <v>27</v>
      </c>
      <c r="D317" s="7" t="s">
        <v>1682</v>
      </c>
      <c r="E317" s="7" t="s">
        <v>93</v>
      </c>
      <c r="F317" s="7">
        <v>35300</v>
      </c>
      <c r="G317" s="7" t="s">
        <v>24</v>
      </c>
      <c r="H317" s="7" t="s">
        <v>37</v>
      </c>
      <c r="I317" s="7"/>
      <c r="J317" s="7"/>
      <c r="K317" s="7" t="s">
        <v>1191</v>
      </c>
      <c r="L317" s="7"/>
      <c r="M317" s="7" t="s">
        <v>1683</v>
      </c>
      <c r="N317" s="7">
        <v>19380</v>
      </c>
      <c r="O317" s="7">
        <v>1581</v>
      </c>
      <c r="P317" s="7">
        <v>3993</v>
      </c>
      <c r="Q317" s="7">
        <v>0</v>
      </c>
      <c r="R317" s="7">
        <v>0</v>
      </c>
      <c r="S317" s="7">
        <v>0</v>
      </c>
      <c r="T317" s="7">
        <v>13213</v>
      </c>
      <c r="U317" s="7">
        <v>0</v>
      </c>
      <c r="V317" s="7">
        <v>10571</v>
      </c>
      <c r="W317" s="7">
        <v>0</v>
      </c>
      <c r="X317" s="7" t="s">
        <v>98</v>
      </c>
      <c r="Y317" s="7" t="s">
        <v>110</v>
      </c>
      <c r="Z317" s="7">
        <v>0</v>
      </c>
      <c r="AA317" s="7">
        <v>6</v>
      </c>
      <c r="AB317" s="7"/>
      <c r="AC317" s="7"/>
    </row>
    <row r="318" spans="1:29">
      <c r="A318" s="7" t="s">
        <v>1181</v>
      </c>
      <c r="B318" s="7" t="s">
        <v>1182</v>
      </c>
      <c r="C318" s="7" t="s">
        <v>27</v>
      </c>
      <c r="D318" s="7" t="s">
        <v>1684</v>
      </c>
      <c r="E318" s="7" t="s">
        <v>93</v>
      </c>
      <c r="F318" s="7">
        <v>35300</v>
      </c>
      <c r="G318" s="7" t="s">
        <v>110</v>
      </c>
      <c r="H318" s="7" t="s">
        <v>37</v>
      </c>
      <c r="I318" s="7"/>
      <c r="J318" s="7"/>
      <c r="K318" s="7" t="s">
        <v>1187</v>
      </c>
      <c r="L318" s="7"/>
      <c r="M318" s="7" t="s">
        <v>1685</v>
      </c>
      <c r="N318" s="7">
        <v>19380</v>
      </c>
      <c r="O318" s="7">
        <v>1581</v>
      </c>
      <c r="P318" s="7">
        <v>3993</v>
      </c>
      <c r="Q318" s="7">
        <v>0</v>
      </c>
      <c r="R318" s="7">
        <v>0</v>
      </c>
      <c r="S318" s="7">
        <v>0</v>
      </c>
      <c r="T318" s="7">
        <v>0</v>
      </c>
      <c r="U318" s="7">
        <v>13214</v>
      </c>
      <c r="V318" s="7">
        <v>10571</v>
      </c>
      <c r="W318" s="7">
        <v>0</v>
      </c>
      <c r="X318" s="7" t="s">
        <v>110</v>
      </c>
      <c r="Y318" s="7" t="s">
        <v>98</v>
      </c>
      <c r="Z318" s="7">
        <v>0</v>
      </c>
      <c r="AA318" s="7">
        <v>6</v>
      </c>
      <c r="AB318" s="7"/>
      <c r="AC318" s="7"/>
    </row>
    <row r="319" spans="1:29">
      <c r="A319" s="7" t="s">
        <v>1181</v>
      </c>
      <c r="B319" s="7" t="s">
        <v>1182</v>
      </c>
      <c r="C319" s="7" t="s">
        <v>27</v>
      </c>
      <c r="D319" s="7" t="s">
        <v>1673</v>
      </c>
      <c r="E319" s="7" t="s">
        <v>93</v>
      </c>
      <c r="F319" s="7">
        <v>35300</v>
      </c>
      <c r="G319" s="7" t="s">
        <v>98</v>
      </c>
      <c r="H319" s="7" t="s">
        <v>37</v>
      </c>
      <c r="I319" s="7"/>
      <c r="J319" s="7"/>
      <c r="K319" s="7" t="s">
        <v>1184</v>
      </c>
      <c r="L319" s="7"/>
      <c r="M319" s="7" t="s">
        <v>1686</v>
      </c>
      <c r="N319" s="7">
        <v>19380</v>
      </c>
      <c r="O319" s="7">
        <v>1581</v>
      </c>
      <c r="P319" s="7">
        <v>3993</v>
      </c>
      <c r="Q319" s="7">
        <v>13214</v>
      </c>
      <c r="R319" s="7">
        <v>0</v>
      </c>
      <c r="S319" s="7">
        <v>0</v>
      </c>
      <c r="T319" s="7">
        <v>0</v>
      </c>
      <c r="U319" s="7">
        <v>0</v>
      </c>
      <c r="V319" s="7">
        <v>10571</v>
      </c>
      <c r="W319" s="7">
        <v>0</v>
      </c>
      <c r="X319" s="7" t="s">
        <v>98</v>
      </c>
      <c r="Y319" s="7" t="s">
        <v>42</v>
      </c>
      <c r="Z319" s="7">
        <v>0</v>
      </c>
      <c r="AA319" s="7">
        <v>6</v>
      </c>
      <c r="AB319" s="7"/>
      <c r="AC319" s="7"/>
    </row>
    <row r="320" spans="1:29">
      <c r="A320" s="7" t="s">
        <v>1181</v>
      </c>
      <c r="B320" s="7" t="s">
        <v>1182</v>
      </c>
      <c r="C320" s="7" t="s">
        <v>27</v>
      </c>
      <c r="D320" s="7" t="s">
        <v>1964</v>
      </c>
      <c r="E320" s="7" t="s">
        <v>787</v>
      </c>
      <c r="F320" s="7">
        <v>35300</v>
      </c>
      <c r="G320" s="7" t="s">
        <v>24</v>
      </c>
      <c r="H320" s="7" t="s">
        <v>37</v>
      </c>
      <c r="I320" s="7"/>
      <c r="J320" s="7"/>
      <c r="K320" s="7" t="s">
        <v>1191</v>
      </c>
      <c r="L320" s="7"/>
      <c r="M320" s="7" t="s">
        <v>249</v>
      </c>
      <c r="N320" s="7">
        <v>19380</v>
      </c>
      <c r="O320" s="7">
        <v>1581</v>
      </c>
      <c r="P320" s="7">
        <v>3993</v>
      </c>
      <c r="Q320" s="7">
        <v>0</v>
      </c>
      <c r="R320" s="7">
        <v>0</v>
      </c>
      <c r="S320" s="7">
        <v>0</v>
      </c>
      <c r="T320" s="7">
        <v>13213</v>
      </c>
      <c r="U320" s="7">
        <v>0</v>
      </c>
      <c r="V320" s="7">
        <v>10571</v>
      </c>
      <c r="W320" s="7">
        <v>0</v>
      </c>
      <c r="X320" s="7" t="s">
        <v>98</v>
      </c>
      <c r="Y320" s="7" t="s">
        <v>110</v>
      </c>
      <c r="Z320" s="7">
        <v>0</v>
      </c>
      <c r="AA320" s="7">
        <v>6</v>
      </c>
      <c r="AB320" s="7"/>
      <c r="AC320" s="7"/>
    </row>
    <row r="321" spans="1:29">
      <c r="A321" s="7" t="s">
        <v>1181</v>
      </c>
      <c r="B321" s="7" t="s">
        <v>1182</v>
      </c>
      <c r="C321" s="7" t="s">
        <v>27</v>
      </c>
      <c r="D321" s="7" t="s">
        <v>1688</v>
      </c>
      <c r="E321" s="7" t="s">
        <v>93</v>
      </c>
      <c r="F321" s="7">
        <v>35300</v>
      </c>
      <c r="G321" s="7" t="s">
        <v>24</v>
      </c>
      <c r="H321" s="7" t="s">
        <v>37</v>
      </c>
      <c r="I321" s="7"/>
      <c r="J321" s="7"/>
      <c r="K321" s="7" t="s">
        <v>1191</v>
      </c>
      <c r="L321" s="7"/>
      <c r="M321" s="7" t="s">
        <v>1689</v>
      </c>
      <c r="N321" s="7">
        <v>19380</v>
      </c>
      <c r="O321" s="7">
        <v>1581</v>
      </c>
      <c r="P321" s="7">
        <v>3993</v>
      </c>
      <c r="Q321" s="7">
        <v>0</v>
      </c>
      <c r="R321" s="7">
        <v>0</v>
      </c>
      <c r="S321" s="7">
        <v>0</v>
      </c>
      <c r="T321" s="7">
        <v>13213</v>
      </c>
      <c r="U321" s="7">
        <v>0</v>
      </c>
      <c r="V321" s="7">
        <v>10571</v>
      </c>
      <c r="W321" s="7">
        <v>0</v>
      </c>
      <c r="X321" s="7" t="s">
        <v>98</v>
      </c>
      <c r="Y321" s="7" t="s">
        <v>110</v>
      </c>
      <c r="Z321" s="7">
        <v>0</v>
      </c>
      <c r="AA321" s="7">
        <v>6</v>
      </c>
      <c r="AB321" s="7"/>
      <c r="AC321" s="7"/>
    </row>
    <row r="322" spans="1:29">
      <c r="A322" s="7" t="s">
        <v>1181</v>
      </c>
      <c r="B322" s="7" t="s">
        <v>1182</v>
      </c>
      <c r="C322" s="7" t="s">
        <v>27</v>
      </c>
      <c r="D322" s="7" t="s">
        <v>1688</v>
      </c>
      <c r="E322" s="7" t="s">
        <v>93</v>
      </c>
      <c r="F322" s="7">
        <v>35300</v>
      </c>
      <c r="G322" s="7" t="s">
        <v>24</v>
      </c>
      <c r="H322" s="7" t="s">
        <v>37</v>
      </c>
      <c r="I322" s="7"/>
      <c r="J322" s="7"/>
      <c r="K322" s="7" t="s">
        <v>1191</v>
      </c>
      <c r="L322" s="7"/>
      <c r="M322" s="7" t="s">
        <v>1689</v>
      </c>
      <c r="N322" s="7">
        <v>19380</v>
      </c>
      <c r="O322" s="7">
        <v>1581</v>
      </c>
      <c r="P322" s="7">
        <v>3993</v>
      </c>
      <c r="Q322" s="7">
        <v>0</v>
      </c>
      <c r="R322" s="7">
        <v>0</v>
      </c>
      <c r="S322" s="7">
        <v>0</v>
      </c>
      <c r="T322" s="7">
        <v>13213</v>
      </c>
      <c r="U322" s="7">
        <v>0</v>
      </c>
      <c r="V322" s="7">
        <v>10571</v>
      </c>
      <c r="W322" s="7">
        <v>0</v>
      </c>
      <c r="X322" s="7" t="s">
        <v>98</v>
      </c>
      <c r="Y322" s="7" t="s">
        <v>110</v>
      </c>
      <c r="Z322" s="7">
        <v>0</v>
      </c>
      <c r="AA322" s="7">
        <v>6</v>
      </c>
      <c r="AB322" s="7"/>
      <c r="AC322" s="7"/>
    </row>
    <row r="323" spans="1:29">
      <c r="A323" s="7" t="s">
        <v>1181</v>
      </c>
      <c r="B323" s="7" t="s">
        <v>1182</v>
      </c>
      <c r="C323" s="7" t="s">
        <v>27</v>
      </c>
      <c r="D323" s="7" t="s">
        <v>1690</v>
      </c>
      <c r="E323" s="7" t="s">
        <v>650</v>
      </c>
      <c r="F323" s="7">
        <v>29800</v>
      </c>
      <c r="G323" s="7" t="s">
        <v>32</v>
      </c>
      <c r="H323" s="7" t="s">
        <v>37</v>
      </c>
      <c r="I323" s="7"/>
      <c r="J323" s="7"/>
      <c r="K323" s="7" t="s">
        <v>1172</v>
      </c>
      <c r="L323" s="7"/>
      <c r="M323" s="7" t="s">
        <v>1691</v>
      </c>
      <c r="N323" s="7">
        <v>16360</v>
      </c>
      <c r="O323" s="7">
        <v>1335</v>
      </c>
      <c r="P323" s="7">
        <v>3371</v>
      </c>
      <c r="Q323" s="7">
        <v>0</v>
      </c>
      <c r="R323" s="7">
        <v>0</v>
      </c>
      <c r="S323" s="7">
        <v>11155</v>
      </c>
      <c r="T323" s="7">
        <v>0</v>
      </c>
      <c r="U323" s="7">
        <v>0</v>
      </c>
      <c r="V323" s="7">
        <v>8924</v>
      </c>
      <c r="W323" s="7">
        <v>0</v>
      </c>
      <c r="X323" s="7" t="s">
        <v>91</v>
      </c>
      <c r="Y323" s="7" t="s">
        <v>98</v>
      </c>
      <c r="Z323" s="7">
        <v>0</v>
      </c>
      <c r="AA323" s="7">
        <v>6</v>
      </c>
      <c r="AB323" s="7"/>
      <c r="AC323" s="7"/>
    </row>
  </sheetData>
  <pageMargins left="0.75" right="0.75" top="1" bottom="1" header="0.5" footer="0.5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7"/>
  <dimension ref="A1:J25"/>
  <sheetViews>
    <sheetView workbookViewId="0">
      <selection activeCell="B1" sqref="B1"/>
    </sheetView>
  </sheetViews>
  <sheetFormatPr defaultColWidth="9" defaultRowHeight="14.25"/>
  <cols>
    <col min="1" max="1" width="7.375" style="1" customWidth="1"/>
    <col min="2" max="2" width="32.125" style="1" customWidth="1"/>
    <col min="3" max="10" width="4" style="1" customWidth="1"/>
    <col min="11" max="1757" width="9" style="1" customWidth="1"/>
    <col min="1758" max="16384" width="9" style="1"/>
  </cols>
  <sheetData>
    <row r="1" spans="1:10">
      <c r="A1" s="2" t="s">
        <v>1701</v>
      </c>
      <c r="B1" s="2">
        <v>1.1</v>
      </c>
      <c r="C1" s="2">
        <v>1.4</v>
      </c>
      <c r="D1" s="2">
        <v>1.8</v>
      </c>
      <c r="E1" s="2">
        <v>1.6</v>
      </c>
      <c r="F1" s="2">
        <v>1.8</v>
      </c>
      <c r="G1" s="5">
        <v>2.2</v>
      </c>
      <c r="H1" s="2">
        <v>2.3</v>
      </c>
      <c r="I1" s="2">
        <v>1.7</v>
      </c>
      <c r="J1" s="2">
        <v>0.7</v>
      </c>
    </row>
    <row r="2" spans="1:10">
      <c r="A2" s="2" t="s">
        <v>1703</v>
      </c>
      <c r="B2" s="2">
        <v>0</v>
      </c>
      <c r="C2" s="2">
        <v>1</v>
      </c>
      <c r="D2" s="2">
        <v>1</v>
      </c>
      <c r="E2" s="2">
        <v>1</v>
      </c>
      <c r="F2" s="2">
        <v>1</v>
      </c>
      <c r="G2" s="2">
        <v>1</v>
      </c>
      <c r="H2" s="2">
        <v>1</v>
      </c>
      <c r="I2" s="2">
        <v>1</v>
      </c>
      <c r="J2" s="2">
        <v>0</v>
      </c>
    </row>
    <row r="3" spans="1:10">
      <c r="A3" s="2" t="s">
        <v>124</v>
      </c>
      <c r="B3" s="2">
        <v>1</v>
      </c>
      <c r="C3" s="2">
        <v>1</v>
      </c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J3" s="2">
        <v>1</v>
      </c>
    </row>
    <row r="4" spans="1:10">
      <c r="A4" s="2" t="s">
        <v>936</v>
      </c>
      <c r="B4" s="2">
        <v>1</v>
      </c>
      <c r="C4" s="2">
        <v>1</v>
      </c>
      <c r="D4" s="2">
        <v>1</v>
      </c>
      <c r="E4" s="2">
        <v>1</v>
      </c>
      <c r="F4" s="2">
        <v>1</v>
      </c>
      <c r="G4" s="2">
        <v>1</v>
      </c>
      <c r="H4" s="2">
        <v>1</v>
      </c>
      <c r="I4" s="2">
        <v>1</v>
      </c>
      <c r="J4" s="2">
        <v>1</v>
      </c>
    </row>
    <row r="5" spans="1:10">
      <c r="A5" s="2" t="s">
        <v>1150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</row>
    <row r="6" spans="1:10">
      <c r="A6" s="2" t="s">
        <v>127</v>
      </c>
      <c r="B6" s="2">
        <v>1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2">
        <v>1</v>
      </c>
      <c r="J6" s="2">
        <v>1</v>
      </c>
    </row>
    <row r="7" spans="1:10">
      <c r="A7" s="2" t="s">
        <v>1153</v>
      </c>
      <c r="B7" s="2" t="s">
        <v>1704</v>
      </c>
      <c r="C7" s="2"/>
    </row>
    <row r="8" spans="1:10">
      <c r="A8" s="2" t="s">
        <v>1154</v>
      </c>
      <c r="B8" s="2" t="s">
        <v>1705</v>
      </c>
      <c r="C8" s="2"/>
    </row>
    <row r="9" spans="1:10">
      <c r="A9" s="2"/>
      <c r="B9" s="6"/>
      <c r="C9" s="2"/>
    </row>
    <row r="10" spans="1:10">
      <c r="A10" s="2" t="s">
        <v>1706</v>
      </c>
      <c r="B10" s="2" t="s">
        <v>1707</v>
      </c>
      <c r="C10" s="2"/>
    </row>
    <row r="11" spans="1:10">
      <c r="A11" s="2" t="s">
        <v>1708</v>
      </c>
      <c r="B11" s="2" t="s">
        <v>1965</v>
      </c>
      <c r="C11" s="2"/>
    </row>
    <row r="12" spans="1:10">
      <c r="A12" s="2" t="s">
        <v>1710</v>
      </c>
      <c r="B12" s="2"/>
      <c r="C12" s="2"/>
    </row>
    <row r="13" spans="1:10">
      <c r="A13" s="2" t="s">
        <v>1711</v>
      </c>
      <c r="B13" s="2" t="s">
        <v>1712</v>
      </c>
      <c r="C13" s="2"/>
    </row>
    <row r="14" spans="1:10">
      <c r="A14" s="2" t="s">
        <v>1713</v>
      </c>
      <c r="B14" s="2" t="s">
        <v>1966</v>
      </c>
      <c r="C14" s="2"/>
    </row>
    <row r="15" spans="1:10">
      <c r="A15" s="2" t="s">
        <v>1715</v>
      </c>
      <c r="B15" s="2"/>
      <c r="C15" s="2"/>
    </row>
    <row r="16" spans="1:10">
      <c r="A16" s="2" t="s">
        <v>1716</v>
      </c>
      <c r="B16" s="2"/>
      <c r="C16" s="2"/>
    </row>
    <row r="17" spans="1:3">
      <c r="A17" s="2" t="s">
        <v>1717</v>
      </c>
      <c r="B17" s="2"/>
      <c r="C17" s="2"/>
    </row>
    <row r="18" spans="1:3">
      <c r="A18" s="2" t="s">
        <v>1718</v>
      </c>
      <c r="B18" s="2"/>
      <c r="C18" s="2"/>
    </row>
    <row r="19" spans="1:3">
      <c r="A19" s="2" t="s">
        <v>1719</v>
      </c>
      <c r="B19" s="2"/>
      <c r="C19" s="2"/>
    </row>
    <row r="20" spans="1:3">
      <c r="A20" s="2" t="s">
        <v>1720</v>
      </c>
      <c r="B20" s="2"/>
      <c r="C20" s="2"/>
    </row>
    <row r="21" spans="1:3">
      <c r="A21" s="2" t="s">
        <v>1721</v>
      </c>
      <c r="B21" s="2"/>
      <c r="C21" s="2"/>
    </row>
    <row r="22" spans="1:3">
      <c r="A22" s="2" t="s">
        <v>1722</v>
      </c>
      <c r="B22" s="2"/>
      <c r="C22" s="2"/>
    </row>
    <row r="23" spans="1:3">
      <c r="A23" s="2" t="s">
        <v>1723</v>
      </c>
      <c r="B23" s="2"/>
    </row>
    <row r="24" spans="1:3">
      <c r="A24" s="2" t="s">
        <v>1724</v>
      </c>
      <c r="B24" s="2"/>
    </row>
    <row r="25" spans="1:3">
      <c r="A25" s="2" t="s">
        <v>1725</v>
      </c>
      <c r="B25" s="2"/>
    </row>
  </sheetData>
  <pageMargins left="0.75" right="0.75" top="1" bottom="1" header="0.5" footer="0.5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U22"/>
  <sheetViews>
    <sheetView topLeftCell="D1" workbookViewId="0">
      <selection activeCell="T21" sqref="T21"/>
    </sheetView>
  </sheetViews>
  <sheetFormatPr defaultColWidth="9" defaultRowHeight="13.5"/>
  <cols>
    <col min="2" max="2" width="12.625"/>
    <col min="4" max="4" width="38.75" customWidth="1"/>
    <col min="5" max="5" width="10.5" customWidth="1"/>
    <col min="8" max="8" width="6.25" customWidth="1"/>
    <col min="10" max="11" width="12.5"/>
  </cols>
  <sheetData>
    <row r="1" ht="14.25" spans="1:21">
      <c r="A1" t="str">
        <f>角色属性!U15</f>
        <v>装分</v>
      </c>
      <c r="B1">
        <f ca="1">角色属性!V15</f>
        <v>820991</v>
      </c>
      <c r="D1" t="str">
        <f>计算主页!H10</f>
        <v>玄阙帽·校服(破防 无双 41400)</v>
      </c>
      <c r="E1" t="str">
        <f>计算主页!N10</f>
        <v>加速</v>
      </c>
      <c r="F1" t="str">
        <f>计算主页!O10</f>
        <v>伤帽</v>
      </c>
      <c r="G1" t="str">
        <f>计算主页!R11</f>
        <v>破防</v>
      </c>
      <c r="H1">
        <f>计算主页!R16</f>
        <v>8</v>
      </c>
      <c r="J1" t="s">
        <v>1967</v>
      </c>
      <c r="K1" s="3" t="s">
        <v>1968</v>
      </c>
      <c r="L1" s="1" t="s">
        <v>1969</v>
      </c>
      <c r="M1" s="1" t="s">
        <v>1970</v>
      </c>
      <c r="N1" s="1" t="s">
        <v>56</v>
      </c>
      <c r="O1" s="1" t="s">
        <v>61</v>
      </c>
      <c r="P1" s="1" t="s">
        <v>64</v>
      </c>
      <c r="Q1" s="1" t="s">
        <v>1971</v>
      </c>
      <c r="R1" s="1" t="s">
        <v>50</v>
      </c>
      <c r="S1" s="4" t="s">
        <v>54</v>
      </c>
      <c r="U1" s="4"/>
    </row>
    <row r="2" ht="14.25" spans="1:21">
      <c r="A2" t="str">
        <f>角色属性!U18</f>
        <v>根骨</v>
      </c>
      <c r="B2">
        <f ca="1">角色属性!V18</f>
        <v>12876</v>
      </c>
      <c r="D2" t="str">
        <f>计算主页!H11</f>
        <v>玄阙衣·校服(加速 无双 41400)</v>
      </c>
      <c r="E2" t="str">
        <f>计算主页!N11</f>
        <v>节日无双</v>
      </c>
      <c r="F2" t="str">
        <f>计算主页!O11</f>
        <v>伤衣</v>
      </c>
      <c r="G2" t="str">
        <f>计算主页!R12</f>
        <v>无双</v>
      </c>
      <c r="J2" t="s">
        <v>104</v>
      </c>
      <c r="K2" s="3" t="s">
        <v>1972</v>
      </c>
      <c r="L2" s="1">
        <f t="shared" ref="L2:S2" si="0">COUNTA(L3:L12)</f>
        <v>4</v>
      </c>
      <c r="M2" s="1">
        <f t="shared" si="0"/>
        <v>5</v>
      </c>
      <c r="N2" s="1">
        <f t="shared" si="0"/>
        <v>9</v>
      </c>
      <c r="O2" s="1">
        <f t="shared" si="0"/>
        <v>10</v>
      </c>
      <c r="P2" s="1">
        <f t="shared" si="0"/>
        <v>3</v>
      </c>
      <c r="Q2" s="1">
        <f t="shared" si="0"/>
        <v>3</v>
      </c>
      <c r="R2" s="1">
        <f t="shared" si="0"/>
        <v>4</v>
      </c>
      <c r="S2" s="1">
        <f t="shared" si="0"/>
        <v>4</v>
      </c>
      <c r="U2" s="1"/>
    </row>
    <row r="3" ht="14.25" spans="1:21">
      <c r="A3" t="str">
        <f>角色属性!U19</f>
        <v>基础攻击</v>
      </c>
      <c r="B3">
        <f ca="1">角色属性!V19</f>
        <v>78402</v>
      </c>
      <c r="D3" t="str">
        <f>计算主页!H12</f>
        <v>玄阙腰·校服(会心 无双 41400)</v>
      </c>
      <c r="E3" t="str">
        <f>计算主页!N12</f>
        <v>节日无双</v>
      </c>
      <c r="F3" t="str">
        <f>计算主页!O12</f>
        <v>伤腰</v>
      </c>
      <c r="G3" t="str">
        <f>计算主页!R13</f>
        <v>会效</v>
      </c>
      <c r="J3" t="s">
        <v>1973</v>
      </c>
      <c r="K3" s="3" t="s">
        <v>1974</v>
      </c>
      <c r="L3" s="1" t="s">
        <v>93</v>
      </c>
      <c r="M3" s="1" t="s">
        <v>93</v>
      </c>
      <c r="N3" s="1" t="s">
        <v>93</v>
      </c>
      <c r="O3" s="1" t="s">
        <v>93</v>
      </c>
      <c r="P3" s="1" t="s">
        <v>93</v>
      </c>
      <c r="Q3" s="1" t="s">
        <v>93</v>
      </c>
      <c r="R3" s="1" t="s">
        <v>93</v>
      </c>
      <c r="S3" s="1" t="s">
        <v>93</v>
      </c>
      <c r="U3" s="1"/>
    </row>
    <row r="4" ht="14.25" spans="1:21">
      <c r="A4" t="str">
        <f>角色属性!U20</f>
        <v>会心</v>
      </c>
      <c r="B4">
        <f ca="1">角色属性!V20</f>
        <v>0.560717035148683</v>
      </c>
      <c r="D4" t="str">
        <f>计算主页!H13</f>
        <v>寒鸦啼血•特效(会心 会效 无双 41400)</v>
      </c>
      <c r="E4" t="str">
        <f>计算主页!N13</f>
        <v>无双</v>
      </c>
      <c r="F4" t="str">
        <f>计算主页!O13</f>
        <v>伤腕</v>
      </c>
      <c r="J4" t="s">
        <v>1975</v>
      </c>
      <c r="L4" s="1" t="s">
        <v>47</v>
      </c>
      <c r="M4" s="1" t="s">
        <v>98</v>
      </c>
      <c r="N4" s="1" t="s">
        <v>91</v>
      </c>
      <c r="O4" s="1" t="s">
        <v>91</v>
      </c>
      <c r="P4" s="1" t="s">
        <v>47</v>
      </c>
      <c r="Q4" s="1" t="s">
        <v>29</v>
      </c>
      <c r="R4" s="1" t="s">
        <v>145</v>
      </c>
      <c r="S4" s="1" t="s">
        <v>145</v>
      </c>
      <c r="U4" s="1"/>
    </row>
    <row r="5" ht="14.25" spans="1:21">
      <c r="A5" t="str">
        <f>角色属性!U21</f>
        <v>会心效果</v>
      </c>
      <c r="B5">
        <f ca="1">角色属性!V21</f>
        <v>2.064740226401</v>
      </c>
      <c r="D5" t="str">
        <f>计算主页!H14</f>
        <v>秋映月•特效(会心 破招 破防 无双 41400)</v>
      </c>
      <c r="E5" t="str">
        <f>计算主页!N14</f>
        <v>无双</v>
      </c>
      <c r="L5" s="1" t="s">
        <v>24</v>
      </c>
      <c r="M5" s="1" t="s">
        <v>32</v>
      </c>
      <c r="N5" s="1" t="s">
        <v>47</v>
      </c>
      <c r="O5" s="1" t="s">
        <v>32</v>
      </c>
      <c r="P5" s="1" t="s">
        <v>265</v>
      </c>
      <c r="Q5" s="1" t="s">
        <v>145</v>
      </c>
      <c r="R5" s="1" t="s">
        <v>278</v>
      </c>
      <c r="S5" s="1" t="s">
        <v>282</v>
      </c>
      <c r="U5" s="1"/>
    </row>
    <row r="6" ht="14.25" spans="1:21">
      <c r="A6" t="str">
        <f>角色属性!U22</f>
        <v>加速</v>
      </c>
      <c r="B6">
        <f ca="1">角色属性!V22</f>
        <v>32213</v>
      </c>
      <c r="D6" t="str">
        <f>计算主页!H15</f>
        <v>玄阙鞋·校服(破防 无双 41400)</v>
      </c>
      <c r="E6" t="str">
        <f>计算主页!N15</f>
        <v>攻击</v>
      </c>
      <c r="F6" t="str">
        <f>计算主页!O15</f>
        <v>伤鞋</v>
      </c>
      <c r="L6" s="1" t="s">
        <v>110</v>
      </c>
      <c r="M6" s="1" t="s">
        <v>37</v>
      </c>
      <c r="N6" s="1" t="s">
        <v>110</v>
      </c>
      <c r="O6" s="1" t="s">
        <v>24</v>
      </c>
      <c r="P6" s="1"/>
      <c r="Q6" s="1"/>
      <c r="R6" s="1" t="s">
        <v>52</v>
      </c>
      <c r="S6" s="1" t="s">
        <v>52</v>
      </c>
      <c r="U6" s="1"/>
    </row>
    <row r="7" ht="14.25" spans="1:21">
      <c r="A7" t="str">
        <f>角色属性!U23</f>
        <v>破防</v>
      </c>
      <c r="B7">
        <f ca="1">角色属性!V23</f>
        <v>0.369370182724547</v>
      </c>
      <c r="D7" t="str">
        <f>计算主页!H16</f>
        <v>神藏链(破防 无双 41400)</v>
      </c>
      <c r="E7" t="str">
        <f>计算主页!N16</f>
        <v>阆风体质</v>
      </c>
      <c r="L7" s="1"/>
      <c r="M7" s="1" t="s">
        <v>91</v>
      </c>
      <c r="N7" s="1" t="s">
        <v>259</v>
      </c>
      <c r="O7" s="1" t="s">
        <v>683</v>
      </c>
      <c r="P7" s="1"/>
      <c r="Q7" s="1"/>
      <c r="R7" s="1"/>
      <c r="S7" s="1"/>
      <c r="U7" s="1"/>
    </row>
    <row r="8" ht="14.25" spans="1:21">
      <c r="A8" t="str">
        <f>角色属性!U24</f>
        <v>无双</v>
      </c>
      <c r="B8">
        <f ca="1">角色属性!V24</f>
        <v>0.788025788025788</v>
      </c>
      <c r="D8" t="str">
        <f>计算主页!H17</f>
        <v>雨夜禅·橙•特效(破防 无双 37900)</v>
      </c>
      <c r="E8" t="str">
        <f>计算主页!N17</f>
        <v>阆风体质</v>
      </c>
      <c r="L8" s="1"/>
      <c r="M8" s="1"/>
      <c r="N8" s="1" t="s">
        <v>278</v>
      </c>
      <c r="O8" s="1" t="s">
        <v>286</v>
      </c>
      <c r="P8" s="1"/>
      <c r="Q8" s="1"/>
      <c r="R8" s="1"/>
      <c r="S8" s="1"/>
      <c r="U8" s="1"/>
    </row>
    <row r="9" ht="14.25" spans="1:21">
      <c r="A9" t="str">
        <f>角色属性!U25</f>
        <v>破招</v>
      </c>
      <c r="B9">
        <f ca="1">角色属性!V25</f>
        <v>13740</v>
      </c>
      <c r="D9" t="str">
        <f>计算主页!H18</f>
        <v>梦冷星•特效(会心 会效 无双 41400)</v>
      </c>
      <c r="E9" t="str">
        <f>计算主页!N18</f>
        <v>阆风攻击</v>
      </c>
      <c r="L9" s="1"/>
      <c r="M9" s="1"/>
      <c r="N9" s="1" t="s">
        <v>687</v>
      </c>
      <c r="O9" s="1" t="s">
        <v>278</v>
      </c>
      <c r="P9" s="1"/>
      <c r="Q9" s="1"/>
      <c r="R9" s="1"/>
      <c r="S9" s="1"/>
      <c r="U9" s="1"/>
    </row>
    <row r="10" ht="14.25" spans="1:21">
      <c r="D10" t="str">
        <f>计算主页!H19</f>
        <v>梦冷星•特效(会心 会效 无双 41400)</v>
      </c>
      <c r="E10" t="str">
        <f>计算主页!N19</f>
        <v>阆风攻击</v>
      </c>
      <c r="L10" s="1"/>
      <c r="M10" s="1"/>
      <c r="N10" s="1" t="s">
        <v>58</v>
      </c>
      <c r="O10" s="1" t="s">
        <v>689</v>
      </c>
      <c r="P10" s="1"/>
      <c r="Q10" s="1"/>
      <c r="R10" s="1"/>
      <c r="S10" s="1"/>
      <c r="U10" s="1"/>
    </row>
    <row r="11" ht="14.25" spans="1:21">
      <c r="D11" t="str">
        <f>计算主页!H20</f>
        <v>玄脉囊(会心 无双 41400)</v>
      </c>
      <c r="E11" t="str">
        <f>计算主页!N20</f>
        <v>阆风加速</v>
      </c>
      <c r="L11" s="1"/>
      <c r="M11" s="1"/>
      <c r="N11" s="1" t="s">
        <v>262</v>
      </c>
      <c r="O11" s="1" t="s">
        <v>687</v>
      </c>
      <c r="P11" s="1"/>
      <c r="Q11" s="1"/>
      <c r="R11" s="1"/>
      <c r="S11" s="1"/>
      <c r="U11" s="1"/>
    </row>
    <row r="12" ht="14.25" spans="1:21">
      <c r="D12" t="str">
        <f>计算主页!H21</f>
        <v>照梦枝(会心 破防 加速 39750)</v>
      </c>
      <c r="E12" t="str">
        <f>计算主页!N21</f>
        <v>攻击</v>
      </c>
      <c r="L12" s="1"/>
      <c r="M12" s="1"/>
      <c r="N12" s="1"/>
      <c r="O12" s="1" t="s">
        <v>63</v>
      </c>
      <c r="P12" s="1"/>
      <c r="Q12" s="1"/>
      <c r="R12" s="1"/>
      <c r="S12" s="1"/>
      <c r="U12" s="1"/>
    </row>
    <row r="13" ht="14.25" spans="1:21">
      <c r="U13" s="1"/>
    </row>
    <row r="14" ht="14.25" spans="1:21">
      <c r="U14" s="1"/>
    </row>
    <row r="15" ht="14.25" spans="1:21">
      <c r="U15" s="1"/>
    </row>
    <row r="16" ht="14.25" spans="1:21">
      <c r="U16" s="1"/>
    </row>
    <row r="17" ht="14.25" spans="21:21">
      <c r="U17" s="1"/>
    </row>
    <row r="18" ht="14.25" spans="21:21">
      <c r="U18" s="1"/>
    </row>
    <row r="19" ht="14.25" spans="21:21">
      <c r="U19" s="1"/>
    </row>
    <row r="20" ht="14.25" spans="21:21">
      <c r="U20" s="1"/>
    </row>
    <row r="21" ht="14.25" spans="21:21">
      <c r="U21" s="1"/>
    </row>
    <row r="22" ht="14.25" spans="21:21">
      <c r="U22" s="1"/>
    </row>
  </sheetData>
  <dataValidations count="2">
    <dataValidation type="list" allowBlank="1" showInputMessage="1" showErrorMessage="1" sqref="L4:P4 R4 L5:N5 L6:M6 O6">
      <formula1>_xlfn.TRIMRANGE(#REF!)</formula1>
    </dataValidation>
    <dataValidation allowBlank="1" showInputMessage="1" showErrorMessage="1" sqref="O5 Q4:Q5"/>
  </dataValidations>
  <hyperlinks>
    <hyperlink ref="K1" r:id="rId2" display="https://incredible-travesseiro-9c372e.netlify.app/%E7%A7%80%E8%90%9D%E5%A4%B4%E5%83%8F.png"/>
    <hyperlink ref="K2" r:id="rId3" display="https://incredible-travesseiro-9c372e.netlify.app/%E7%A7%80%E5%A7%90%E5%A4%B4%E5%83%8F.png"/>
    <hyperlink ref="K3" r:id="rId4" display="https://incredible-travesseiro-9c372e.netlify.app/%E7%A7%80%E5%A4%AA%E5%A4%B4%E5%83%8F.png"/>
  </hyperlinks>
  <pageMargins left="0.75" right="0.75" top="1" bottom="1" header="0.5" footer="0.5"/>
  <headerFooter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9"/>
  <dimension ref="A1:D60"/>
  <sheetViews>
    <sheetView workbookViewId="0">
      <selection activeCell="C24" sqref="C24"/>
    </sheetView>
  </sheetViews>
  <sheetFormatPr defaultColWidth="9" defaultRowHeight="13.5" outlineLevelCol="3"/>
  <cols>
    <col min="1" max="1" width="21.25" customWidth="1"/>
    <col min="2" max="4" width="12.625" customWidth="1"/>
    <col min="5" max="268" width="9" customWidth="1"/>
  </cols>
  <sheetData>
    <row r="1" spans="1:4">
      <c r="A1" t="s">
        <v>936</v>
      </c>
      <c r="B1" t="s">
        <v>1043</v>
      </c>
      <c r="C1" t="s">
        <v>1044</v>
      </c>
      <c r="D1" t="s">
        <v>1045</v>
      </c>
    </row>
    <row r="2" spans="1:4">
      <c r="A2" t="s">
        <v>883</v>
      </c>
      <c r="B2">
        <v>129</v>
      </c>
      <c r="C2">
        <v>4.526041667</v>
      </c>
      <c r="D2">
        <v>0</v>
      </c>
    </row>
    <row r="3" spans="1:4">
      <c r="A3" t="s">
        <v>130</v>
      </c>
      <c r="B3">
        <v>262</v>
      </c>
      <c r="C3">
        <v>0.864583333</v>
      </c>
      <c r="D3">
        <v>0</v>
      </c>
    </row>
    <row r="4" spans="1:4">
      <c r="A4" t="s">
        <v>949</v>
      </c>
      <c r="B4">
        <v>100</v>
      </c>
      <c r="C4">
        <v>0.17838541667</v>
      </c>
      <c r="D4">
        <v>0</v>
      </c>
    </row>
    <row r="5" spans="1:4">
      <c r="A5" t="s">
        <v>1110</v>
      </c>
      <c r="B5">
        <v>129</v>
      </c>
      <c r="C5">
        <v>4.526041667</v>
      </c>
      <c r="D5">
        <v>0</v>
      </c>
    </row>
    <row r="6" spans="1:4">
      <c r="A6" t="s">
        <v>137</v>
      </c>
      <c r="B6">
        <v>178</v>
      </c>
      <c r="C6">
        <v>3.78645833</v>
      </c>
      <c r="D6">
        <v>0</v>
      </c>
    </row>
    <row r="7" spans="1:4">
      <c r="A7" t="s">
        <v>611</v>
      </c>
      <c r="B7">
        <v>32.5</v>
      </c>
      <c r="C7">
        <v>0.34895833333</v>
      </c>
      <c r="D7">
        <v>0</v>
      </c>
    </row>
    <row r="8" spans="1:4">
      <c r="A8" t="s">
        <v>977</v>
      </c>
      <c r="B8">
        <v>0</v>
      </c>
      <c r="C8">
        <v>0</v>
      </c>
      <c r="D8">
        <v>0.0396</v>
      </c>
    </row>
    <row r="9" spans="1:4">
      <c r="A9" t="s">
        <v>82</v>
      </c>
      <c r="B9">
        <v>21</v>
      </c>
      <c r="C9">
        <v>0.630208333</v>
      </c>
      <c r="D9">
        <v>0</v>
      </c>
    </row>
    <row r="10" spans="1:4">
      <c r="A10" t="s">
        <v>438</v>
      </c>
      <c r="B10">
        <v>28.5</v>
      </c>
      <c r="C10">
        <v>0.088541667</v>
      </c>
      <c r="D10">
        <v>0</v>
      </c>
    </row>
    <row r="11" spans="1:4">
      <c r="A11" t="s">
        <v>77</v>
      </c>
      <c r="B11">
        <v>393</v>
      </c>
      <c r="C11">
        <v>1.71875</v>
      </c>
      <c r="D11">
        <v>0</v>
      </c>
    </row>
    <row r="12" spans="1:4">
      <c r="A12" t="s">
        <v>965</v>
      </c>
      <c r="B12">
        <v>0</v>
      </c>
      <c r="C12">
        <v>0</v>
      </c>
      <c r="D12">
        <v>0.3728</v>
      </c>
    </row>
    <row r="13" spans="1:4">
      <c r="A13" t="s">
        <v>1734</v>
      </c>
      <c r="B13">
        <v>320</v>
      </c>
      <c r="C13">
        <v>1.704048</v>
      </c>
      <c r="D13">
        <v>0</v>
      </c>
    </row>
    <row r="14" spans="1:4">
      <c r="A14" t="s">
        <v>1071</v>
      </c>
      <c r="B14">
        <v>43065.5510204081</v>
      </c>
      <c r="C14">
        <v>0</v>
      </c>
      <c r="D14">
        <v>0</v>
      </c>
    </row>
    <row r="15" spans="1:4">
      <c r="A15" t="s">
        <v>365</v>
      </c>
    </row>
    <row r="16" spans="1:4">
      <c r="A16" t="s">
        <v>1072</v>
      </c>
    </row>
    <row r="17" spans="1:4">
      <c r="A17" t="s">
        <v>1073</v>
      </c>
    </row>
    <row r="18" spans="1:4">
      <c r="A18" t="s">
        <v>1737</v>
      </c>
    </row>
    <row r="19" spans="1:4">
      <c r="A19" t="s">
        <v>147</v>
      </c>
      <c r="B19">
        <v>85</v>
      </c>
      <c r="C19">
        <v>1.90625</v>
      </c>
      <c r="D19">
        <v>0</v>
      </c>
    </row>
    <row r="20" spans="1:4">
      <c r="A20" t="s">
        <v>1739</v>
      </c>
      <c r="B20">
        <v>320</v>
      </c>
      <c r="C20">
        <v>1.704048</v>
      </c>
      <c r="D20">
        <v>0</v>
      </c>
    </row>
    <row r="21" spans="1:4">
      <c r="A21" t="s">
        <v>1062</v>
      </c>
      <c r="B21">
        <v>0</v>
      </c>
      <c r="C21">
        <v>0</v>
      </c>
      <c r="D21">
        <v>0.0939</v>
      </c>
    </row>
    <row r="22" spans="1:4">
      <c r="A22" t="s">
        <v>83</v>
      </c>
      <c r="B22">
        <v>138</v>
      </c>
      <c r="C22">
        <v>2.08687500000036</v>
      </c>
      <c r="D22">
        <v>0</v>
      </c>
    </row>
    <row r="23" spans="1:4">
      <c r="A23" t="s">
        <v>1074</v>
      </c>
      <c r="B23">
        <v>0</v>
      </c>
      <c r="C23">
        <v>0</v>
      </c>
      <c r="D23">
        <v>0.463842288</v>
      </c>
    </row>
    <row r="24" spans="1:4">
      <c r="A24" t="s">
        <v>925</v>
      </c>
      <c r="B24">
        <v>25</v>
      </c>
      <c r="C24">
        <v>2.44651038333333</v>
      </c>
      <c r="D24">
        <v>0</v>
      </c>
    </row>
    <row r="25" spans="1:4">
      <c r="A25" t="s">
        <v>1075</v>
      </c>
      <c r="B25">
        <v>21</v>
      </c>
      <c r="C25">
        <v>0.338541667</v>
      </c>
      <c r="D25">
        <v>0</v>
      </c>
    </row>
    <row r="26" spans="1:4">
      <c r="A26" t="s">
        <v>893</v>
      </c>
      <c r="B26">
        <v>0.00523976168686552</v>
      </c>
      <c r="C26">
        <v>0</v>
      </c>
      <c r="D26">
        <v>0</v>
      </c>
    </row>
    <row r="27" spans="1:4">
      <c r="A27" t="s">
        <v>1743</v>
      </c>
      <c r="B27">
        <v>72.5</v>
      </c>
      <c r="C27">
        <v>1.40625</v>
      </c>
      <c r="D27">
        <v>0</v>
      </c>
    </row>
    <row r="28" spans="1:4">
      <c r="A28" t="s">
        <v>1745</v>
      </c>
      <c r="B28">
        <v>78.5</v>
      </c>
      <c r="C28">
        <v>0.27083333</v>
      </c>
      <c r="D28">
        <v>0</v>
      </c>
    </row>
    <row r="29" spans="1:4">
      <c r="A29" t="s">
        <v>969</v>
      </c>
      <c r="B29">
        <v>72.5</v>
      </c>
      <c r="C29">
        <v>0.359375</v>
      </c>
      <c r="D29">
        <v>0</v>
      </c>
    </row>
    <row r="30" spans="1:4">
      <c r="A30" t="s">
        <v>971</v>
      </c>
      <c r="B30">
        <v>72.5</v>
      </c>
      <c r="C30">
        <v>2.09375</v>
      </c>
      <c r="D30">
        <v>0</v>
      </c>
    </row>
    <row r="31" spans="1:4">
      <c r="A31" t="s">
        <v>973</v>
      </c>
      <c r="B31">
        <v>72.5</v>
      </c>
      <c r="C31">
        <v>3.114583333</v>
      </c>
      <c r="D31">
        <v>0</v>
      </c>
    </row>
    <row r="32" spans="1:4">
      <c r="A32" t="s">
        <v>975</v>
      </c>
      <c r="B32">
        <v>72.5</v>
      </c>
      <c r="C32">
        <v>0.838541666667</v>
      </c>
      <c r="D32">
        <v>0</v>
      </c>
    </row>
    <row r="33" spans="1:4">
      <c r="A33" t="s">
        <v>75</v>
      </c>
    </row>
    <row r="34" spans="1:4">
      <c r="A34" t="s">
        <v>871</v>
      </c>
      <c r="B34">
        <v>262</v>
      </c>
      <c r="C34">
        <v>0.864583333</v>
      </c>
      <c r="D34">
        <v>0</v>
      </c>
    </row>
    <row r="35" spans="1:4">
      <c r="A35" t="s">
        <v>1081</v>
      </c>
    </row>
    <row r="36" spans="1:4">
      <c r="A36" t="s">
        <v>1082</v>
      </c>
    </row>
    <row r="37" spans="1:4">
      <c r="A37" t="s">
        <v>623</v>
      </c>
      <c r="B37">
        <v>1</v>
      </c>
      <c r="C37">
        <v>1.97395833333333</v>
      </c>
      <c r="D37">
        <v>1.26</v>
      </c>
    </row>
    <row r="38" spans="1:4">
      <c r="A38" t="s">
        <v>943</v>
      </c>
      <c r="B38">
        <v>15</v>
      </c>
      <c r="C38">
        <v>0.33</v>
      </c>
      <c r="D38">
        <v>0</v>
      </c>
    </row>
    <row r="39" spans="1:4">
      <c r="A39" t="s">
        <v>947</v>
      </c>
      <c r="B39">
        <v>1</v>
      </c>
      <c r="C39">
        <v>0.901041666666666</v>
      </c>
      <c r="D39">
        <v>0.62</v>
      </c>
    </row>
    <row r="40" spans="1:4">
      <c r="A40" t="s">
        <v>627</v>
      </c>
      <c r="B40">
        <v>1</v>
      </c>
      <c r="C40">
        <v>4.19270833333333</v>
      </c>
      <c r="D40">
        <v>2.89</v>
      </c>
    </row>
    <row r="41" spans="1:4">
      <c r="A41" t="s">
        <v>630</v>
      </c>
      <c r="B41">
        <v>1</v>
      </c>
      <c r="C41">
        <v>3.4427083333333</v>
      </c>
      <c r="D41">
        <v>0</v>
      </c>
    </row>
    <row r="42" spans="1:4">
      <c r="A42" t="s">
        <v>636</v>
      </c>
      <c r="B42">
        <v>1</v>
      </c>
      <c r="C42">
        <v>1.2</v>
      </c>
      <c r="D42">
        <v>0</v>
      </c>
    </row>
    <row r="43" spans="1:4">
      <c r="A43" t="s">
        <v>960</v>
      </c>
      <c r="B43">
        <v>0</v>
      </c>
      <c r="C43">
        <v>1.5</v>
      </c>
      <c r="D43">
        <v>0</v>
      </c>
    </row>
    <row r="44" spans="1:4">
      <c r="A44" t="s">
        <v>962</v>
      </c>
      <c r="B44">
        <v>0</v>
      </c>
      <c r="C44">
        <v>3.03125</v>
      </c>
      <c r="D44">
        <v>0</v>
      </c>
    </row>
    <row r="45" spans="1:4">
      <c r="A45" t="s">
        <v>901</v>
      </c>
      <c r="B45">
        <v>1</v>
      </c>
      <c r="C45">
        <v>2.79166666667</v>
      </c>
      <c r="D45">
        <v>0</v>
      </c>
    </row>
    <row r="46" spans="1:4">
      <c r="A46" t="s">
        <v>642</v>
      </c>
      <c r="B46">
        <v>1</v>
      </c>
      <c r="C46">
        <v>0.640625</v>
      </c>
      <c r="D46">
        <v>0</v>
      </c>
    </row>
    <row r="47" spans="1:4">
      <c r="A47" t="s">
        <v>946</v>
      </c>
      <c r="B47">
        <v>1500</v>
      </c>
      <c r="C47">
        <v>5.171875</v>
      </c>
      <c r="D47">
        <v>0</v>
      </c>
    </row>
    <row r="48" spans="1:4">
      <c r="A48" t="s">
        <v>903</v>
      </c>
      <c r="B48">
        <v>1</v>
      </c>
      <c r="C48">
        <v>2.5104166667</v>
      </c>
      <c r="D48">
        <v>0</v>
      </c>
    </row>
    <row r="49" spans="1:4">
      <c r="A49" t="s">
        <v>1749</v>
      </c>
      <c r="B49">
        <v>1</v>
      </c>
      <c r="C49">
        <v>4.7708333333</v>
      </c>
      <c r="D49">
        <v>0</v>
      </c>
    </row>
    <row r="50" spans="1:4">
      <c r="A50" t="s">
        <v>905</v>
      </c>
      <c r="B50">
        <v>1</v>
      </c>
      <c r="C50">
        <v>4.625</v>
      </c>
      <c r="D50">
        <v>0</v>
      </c>
    </row>
    <row r="51" spans="1:4">
      <c r="A51" t="s">
        <v>632</v>
      </c>
      <c r="B51">
        <v>1</v>
      </c>
      <c r="C51">
        <v>4.45</v>
      </c>
      <c r="D51">
        <v>0</v>
      </c>
    </row>
    <row r="52" spans="1:4">
      <c r="A52" t="s">
        <v>909</v>
      </c>
      <c r="B52">
        <v>1</v>
      </c>
      <c r="C52">
        <v>0.484375</v>
      </c>
      <c r="D52">
        <v>0</v>
      </c>
    </row>
    <row r="53" spans="1:4">
      <c r="A53" t="s">
        <v>896</v>
      </c>
    </row>
    <row r="54" spans="1:4">
      <c r="A54" t="s">
        <v>957</v>
      </c>
      <c r="B54">
        <v>1</v>
      </c>
      <c r="C54">
        <v>0.604166666666666</v>
      </c>
      <c r="D54">
        <v>0</v>
      </c>
    </row>
    <row r="55" spans="1:4">
      <c r="A55" t="s">
        <v>1750</v>
      </c>
      <c r="B55">
        <v>0</v>
      </c>
      <c r="C55">
        <v>0</v>
      </c>
      <c r="D55">
        <v>0.09384</v>
      </c>
    </row>
    <row r="56" spans="1:4">
      <c r="A56" t="s">
        <v>1751</v>
      </c>
      <c r="B56">
        <v>0</v>
      </c>
      <c r="C56">
        <v>0</v>
      </c>
      <c r="D56">
        <v>0.2337</v>
      </c>
    </row>
    <row r="57" spans="1:4">
      <c r="A57" t="s">
        <v>1752</v>
      </c>
      <c r="B57">
        <v>0</v>
      </c>
      <c r="C57">
        <v>0</v>
      </c>
      <c r="D57">
        <v>0.30016</v>
      </c>
    </row>
    <row r="58" spans="1:4">
      <c r="A58" t="s">
        <v>1753</v>
      </c>
      <c r="B58">
        <v>0</v>
      </c>
      <c r="C58">
        <v>0</v>
      </c>
      <c r="D58">
        <v>0.3708</v>
      </c>
    </row>
    <row r="59" spans="1:4">
      <c r="A59" t="s">
        <v>1754</v>
      </c>
      <c r="B59">
        <v>0</v>
      </c>
      <c r="C59">
        <v>0</v>
      </c>
      <c r="D59">
        <v>0.624</v>
      </c>
    </row>
    <row r="60" spans="1:4">
      <c r="A60" t="s">
        <v>81</v>
      </c>
      <c r="B60">
        <v>75</v>
      </c>
      <c r="C60">
        <v>1.072916667</v>
      </c>
      <c r="D60">
        <v>0</v>
      </c>
    </row>
  </sheetData>
  <pageMargins left="0.75" right="0.75" top="1" bottom="1" header="0.5" footer="0.5"/>
  <headerFooter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0"/>
  <dimension ref="A1:T167"/>
  <sheetViews>
    <sheetView topLeftCell="A7" workbookViewId="0">
      <selection activeCell="B47" sqref="B47"/>
    </sheetView>
  </sheetViews>
  <sheetFormatPr defaultColWidth="9" defaultRowHeight="14.25"/>
  <cols>
    <col min="1" max="1" width="10.375" style="1" customWidth="1"/>
    <col min="2" max="3" width="9.25" style="1" customWidth="1"/>
    <col min="4" max="4" width="7.375" style="1" customWidth="1"/>
    <col min="5" max="5" width="5.75" style="1" customWidth="1"/>
    <col min="6" max="7" width="4.875" style="1" customWidth="1"/>
    <col min="8" max="8" width="11.125" style="1" customWidth="1"/>
    <col min="9" max="9" width="7.5" style="1" customWidth="1"/>
    <col min="10" max="10" width="4.875" style="1" customWidth="1"/>
    <col min="11" max="14" width="7.375" style="1" customWidth="1"/>
    <col min="15" max="17" width="8.875" style="1" customWidth="1"/>
    <col min="18" max="20" width="4.375" style="1" customWidth="1"/>
    <col min="21" max="24" width="9" style="1" customWidth="1"/>
    <col min="25" max="25" width="10.75" style="1" customWidth="1"/>
    <col min="26" max="264" width="9" style="1" customWidth="1"/>
    <col min="265" max="265" width="10.75" style="1" customWidth="1"/>
    <col min="266" max="504" width="9" style="1" customWidth="1"/>
    <col min="505" max="505" width="10.75" style="1" customWidth="1"/>
    <col min="506" max="748" width="9" style="1" customWidth="1"/>
    <col min="749" max="749" width="10.75" style="1" customWidth="1"/>
    <col min="750" max="992" width="9" style="1" customWidth="1"/>
    <col min="993" max="993" width="10.75" style="1" customWidth="1"/>
    <col min="994" max="1236" width="9" style="1" customWidth="1"/>
    <col min="1237" max="1237" width="10.75" style="1" customWidth="1"/>
    <col min="1238" max="1480" width="9" style="1" customWidth="1"/>
    <col min="1481" max="1481" width="10.75" style="1" customWidth="1"/>
    <col min="1482" max="1724" width="9" style="1" customWidth="1"/>
    <col min="1725" max="1725" width="10.75" style="1" customWidth="1"/>
    <col min="1726" max="1968" width="9" style="1" customWidth="1"/>
    <col min="1969" max="1969" width="10.75" style="1" customWidth="1"/>
    <col min="1970" max="2212" width="9" style="1" customWidth="1"/>
    <col min="2213" max="2213" width="10.75" style="1" customWidth="1"/>
    <col min="2214" max="2455" width="9" style="1" customWidth="1"/>
    <col min="2456" max="2456" width="9" style="1"/>
    <col min="2457" max="2457" width="10.75" style="1" customWidth="1"/>
    <col min="2458" max="2917" width="9" style="1" customWidth="1"/>
    <col min="2918" max="16384" width="9" style="1"/>
  </cols>
  <sheetData>
    <row r="1" spans="1:20">
      <c r="A1" s="2"/>
      <c r="B1" s="2" t="s">
        <v>712</v>
      </c>
      <c r="C1" s="2" t="s">
        <v>713</v>
      </c>
      <c r="D1" s="2" t="s">
        <v>1976</v>
      </c>
      <c r="E1" s="2" t="s">
        <v>1976</v>
      </c>
      <c r="F1" s="2" t="s">
        <v>1976</v>
      </c>
      <c r="G1" s="2" t="s">
        <v>1976</v>
      </c>
      <c r="H1" s="2" t="s">
        <v>1976</v>
      </c>
      <c r="I1" s="2" t="s">
        <v>1976</v>
      </c>
      <c r="J1" s="2" t="s">
        <v>1976</v>
      </c>
      <c r="K1" s="2" t="s">
        <v>1976</v>
      </c>
      <c r="L1" s="2" t="s">
        <v>1976</v>
      </c>
      <c r="M1" s="2" t="s">
        <v>1976</v>
      </c>
      <c r="N1" s="2" t="s">
        <v>1976</v>
      </c>
      <c r="O1" s="2" t="s">
        <v>1976</v>
      </c>
      <c r="P1" s="2" t="s">
        <v>1976</v>
      </c>
      <c r="Q1" s="2" t="s">
        <v>1976</v>
      </c>
      <c r="R1" s="2" t="s">
        <v>1976</v>
      </c>
      <c r="S1" s="2" t="s">
        <v>1976</v>
      </c>
      <c r="T1" s="2" t="s">
        <v>1976</v>
      </c>
    </row>
    <row r="2" spans="1:20">
      <c r="A2" s="2" t="s">
        <v>7</v>
      </c>
      <c r="B2" s="2">
        <v>946</v>
      </c>
      <c r="C2" s="2">
        <v>736</v>
      </c>
      <c r="D2" s="2"/>
    </row>
    <row r="3" spans="1:20">
      <c r="A3" s="2" t="s">
        <v>720</v>
      </c>
      <c r="B3" s="2">
        <v>473</v>
      </c>
      <c r="C3" s="2">
        <v>368</v>
      </c>
      <c r="D3" s="2"/>
    </row>
    <row r="4" spans="1:20">
      <c r="A4" s="2" t="s">
        <v>723</v>
      </c>
      <c r="B4" s="2">
        <v>2236</v>
      </c>
      <c r="C4" s="2">
        <v>1739</v>
      </c>
      <c r="D4" s="2"/>
    </row>
    <row r="5" spans="1:20">
      <c r="A5" s="2" t="s">
        <v>726</v>
      </c>
      <c r="B5" s="2">
        <v>1118</v>
      </c>
      <c r="C5" s="2">
        <v>869</v>
      </c>
      <c r="D5" s="2"/>
    </row>
    <row r="6" spans="1:20">
      <c r="A6" s="2" t="s">
        <v>729</v>
      </c>
      <c r="B6" s="2">
        <v>7379</v>
      </c>
      <c r="C6" s="2">
        <v>5739</v>
      </c>
      <c r="D6" s="2"/>
    </row>
    <row r="7" spans="1:20">
      <c r="A7" s="2" t="s">
        <v>731</v>
      </c>
      <c r="B7" s="2">
        <v>3689</v>
      </c>
      <c r="C7" s="2">
        <v>2869</v>
      </c>
      <c r="D7" s="2"/>
    </row>
    <row r="8" spans="1:20">
      <c r="A8" s="2"/>
    </row>
    <row r="9" spans="1:20">
      <c r="A9" s="2" t="s">
        <v>736</v>
      </c>
      <c r="B9" s="2">
        <v>882</v>
      </c>
      <c r="C9" s="2"/>
    </row>
    <row r="10" spans="1:20">
      <c r="A10" s="2" t="s">
        <v>739</v>
      </c>
      <c r="B10" s="2">
        <v>2922</v>
      </c>
      <c r="C10" s="2"/>
    </row>
    <row r="11" spans="1:20">
      <c r="A11" s="2"/>
    </row>
    <row r="12" spans="1:20">
      <c r="A12" s="2" t="s">
        <v>743</v>
      </c>
      <c r="B12" s="2">
        <v>544</v>
      </c>
      <c r="C12" s="2"/>
    </row>
    <row r="13" spans="1:20">
      <c r="A13" s="2" t="s">
        <v>746</v>
      </c>
      <c r="B13" s="2">
        <v>4255</v>
      </c>
      <c r="C13" s="2"/>
    </row>
    <row r="14" spans="1:20">
      <c r="A14" s="2"/>
    </row>
    <row r="15" spans="1:20">
      <c r="A15" s="2" t="s">
        <v>750</v>
      </c>
      <c r="B15" s="2">
        <v>2170</v>
      </c>
      <c r="C15" s="2"/>
    </row>
    <row r="16" spans="1:20">
      <c r="A16" s="2" t="s">
        <v>754</v>
      </c>
      <c r="B16" s="2">
        <v>7184</v>
      </c>
      <c r="C16" s="2"/>
    </row>
    <row r="17" spans="1:5">
      <c r="A17" s="2" t="s">
        <v>759</v>
      </c>
      <c r="B17" s="2">
        <v>-2726</v>
      </c>
      <c r="C17" s="2"/>
    </row>
    <row r="18" spans="1:5">
      <c r="A18" s="2" t="s">
        <v>762</v>
      </c>
      <c r="B18" s="2">
        <v>738</v>
      </c>
      <c r="C18" s="2"/>
    </row>
    <row r="19" spans="1:5">
      <c r="A19" s="2"/>
    </row>
    <row r="20" spans="1:5">
      <c r="A20" s="2" t="s">
        <v>767</v>
      </c>
      <c r="B20" s="2">
        <v>172</v>
      </c>
      <c r="C20" s="2"/>
    </row>
    <row r="21" spans="1:5">
      <c r="A21" s="2" t="s">
        <v>769</v>
      </c>
      <c r="B21" s="2">
        <v>413</v>
      </c>
      <c r="C21" s="2"/>
    </row>
    <row r="22" spans="1:5">
      <c r="A22" s="2" t="s">
        <v>771</v>
      </c>
      <c r="B22" s="2">
        <v>222</v>
      </c>
      <c r="C22" s="2"/>
    </row>
    <row r="23" spans="1:5">
      <c r="A23" s="2" t="s">
        <v>774</v>
      </c>
      <c r="B23" s="2">
        <v>531</v>
      </c>
      <c r="C23" s="2"/>
    </row>
    <row r="24" spans="1:5">
      <c r="A24" s="2"/>
    </row>
    <row r="25" spans="1:5">
      <c r="A25" s="2" t="s">
        <v>778</v>
      </c>
      <c r="B25" s="2">
        <v>1491</v>
      </c>
      <c r="C25" s="2"/>
    </row>
    <row r="26" spans="1:5">
      <c r="A26" s="2" t="s">
        <v>781</v>
      </c>
      <c r="B26" s="2">
        <v>746</v>
      </c>
      <c r="C26" s="2"/>
    </row>
    <row r="27" spans="1:5">
      <c r="A27" s="2"/>
    </row>
    <row r="28" spans="1:5">
      <c r="A28" s="2" t="s">
        <v>6</v>
      </c>
      <c r="B28" s="2">
        <v>868</v>
      </c>
      <c r="C28" s="2"/>
    </row>
    <row r="29" spans="1:5">
      <c r="A29" s="2" t="s">
        <v>5</v>
      </c>
      <c r="B29" s="2">
        <v>1334</v>
      </c>
      <c r="C29" s="2"/>
    </row>
    <row r="30" spans="1:5">
      <c r="A30" s="2" t="s">
        <v>15</v>
      </c>
      <c r="B30" s="2">
        <v>600</v>
      </c>
      <c r="C30" s="2"/>
    </row>
    <row r="31" spans="1:5">
      <c r="A31" s="2"/>
    </row>
    <row r="32" spans="1:5">
      <c r="A32" s="2" t="s">
        <v>714</v>
      </c>
      <c r="B32" s="2" t="s">
        <v>20</v>
      </c>
      <c r="C32" s="2"/>
      <c r="D32" s="2" t="s">
        <v>686</v>
      </c>
      <c r="E32" s="2"/>
    </row>
    <row r="33" spans="1:5">
      <c r="A33" s="2" t="s">
        <v>47</v>
      </c>
      <c r="B33" s="2">
        <v>994</v>
      </c>
      <c r="C33" s="2"/>
      <c r="D33" s="2">
        <v>1242</v>
      </c>
      <c r="E33" s="2"/>
    </row>
    <row r="34" spans="1:5">
      <c r="A34" s="2" t="s">
        <v>91</v>
      </c>
      <c r="B34" s="2">
        <v>420</v>
      </c>
      <c r="C34" s="2"/>
      <c r="D34" s="2">
        <v>526</v>
      </c>
      <c r="E34" s="2"/>
    </row>
    <row r="35" spans="1:5">
      <c r="A35" s="2" t="s">
        <v>98</v>
      </c>
      <c r="B35" s="2">
        <v>3279</v>
      </c>
      <c r="C35" s="2"/>
      <c r="D35" s="2">
        <v>4099</v>
      </c>
      <c r="E35" s="2"/>
    </row>
    <row r="36" spans="1:5">
      <c r="A36" s="2" t="s">
        <v>42</v>
      </c>
      <c r="B36" s="2">
        <v>3279</v>
      </c>
      <c r="C36" s="2"/>
    </row>
    <row r="37" spans="1:5">
      <c r="A37" s="2" t="s">
        <v>32</v>
      </c>
      <c r="B37" s="2">
        <v>3279</v>
      </c>
      <c r="C37" s="2"/>
    </row>
    <row r="38" spans="1:5">
      <c r="A38" s="2" t="s">
        <v>37</v>
      </c>
      <c r="B38" s="2">
        <v>3279</v>
      </c>
      <c r="C38" s="2"/>
    </row>
    <row r="39" spans="1:5">
      <c r="A39" s="2" t="s">
        <v>110</v>
      </c>
      <c r="B39" s="2">
        <v>3279</v>
      </c>
      <c r="C39" s="2"/>
    </row>
    <row r="40" spans="1:5">
      <c r="A40" s="2" t="s">
        <v>145</v>
      </c>
      <c r="B40" s="2">
        <v>889</v>
      </c>
      <c r="C40" s="2"/>
    </row>
    <row r="41" spans="1:5">
      <c r="A41" s="2" t="s">
        <v>29</v>
      </c>
      <c r="B41" s="2">
        <v>978</v>
      </c>
      <c r="C41" s="2"/>
    </row>
    <row r="42" spans="1:5">
      <c r="A42" s="2"/>
    </row>
    <row r="43" spans="1:5">
      <c r="A43" s="2" t="s">
        <v>590</v>
      </c>
      <c r="B43" s="2" t="s">
        <v>20</v>
      </c>
      <c r="C43" s="2"/>
    </row>
    <row r="44" spans="1:5">
      <c r="A44" s="2" t="s">
        <v>597</v>
      </c>
      <c r="B44" s="2">
        <v>3501</v>
      </c>
      <c r="C44" s="2"/>
    </row>
    <row r="45" spans="1:5">
      <c r="A45" s="2" t="s">
        <v>600</v>
      </c>
      <c r="B45" s="2">
        <v>4099</v>
      </c>
      <c r="C45" s="2"/>
      <c r="D45" s="2"/>
    </row>
    <row r="46" spans="1:5">
      <c r="A46" s="2" t="s">
        <v>250</v>
      </c>
      <c r="B46" s="2">
        <v>1061</v>
      </c>
      <c r="C46" s="2"/>
      <c r="D46" s="2"/>
    </row>
    <row r="47" spans="1:5">
      <c r="A47" s="2" t="s">
        <v>606</v>
      </c>
      <c r="B47" s="2">
        <v>1243</v>
      </c>
      <c r="C47" s="2"/>
    </row>
    <row r="48" spans="1:5">
      <c r="A48" s="2"/>
    </row>
    <row r="49" spans="1:5">
      <c r="A49" s="2" t="s">
        <v>732</v>
      </c>
      <c r="B49" s="2">
        <v>37400</v>
      </c>
      <c r="C49" s="2"/>
    </row>
    <row r="50" spans="1:5">
      <c r="A50" s="2"/>
      <c r="B50" s="2"/>
      <c r="C50" s="2"/>
    </row>
    <row r="51" spans="1:5">
      <c r="A51" s="2"/>
      <c r="B51" s="2"/>
      <c r="C51" s="2"/>
    </row>
    <row r="52" spans="1:5">
      <c r="A52" s="2"/>
    </row>
    <row r="53" spans="1:5">
      <c r="A53" s="2" t="s">
        <v>741</v>
      </c>
      <c r="B53" s="2"/>
      <c r="C53" s="2"/>
    </row>
    <row r="54" spans="1:5">
      <c r="A54" s="2" t="s">
        <v>110</v>
      </c>
      <c r="B54" s="2">
        <v>0.5</v>
      </c>
      <c r="C54" s="2"/>
    </row>
    <row r="55" spans="1:5">
      <c r="A55" s="2" t="s">
        <v>37</v>
      </c>
      <c r="B55" s="2">
        <v>1.5</v>
      </c>
      <c r="C55" s="2"/>
    </row>
    <row r="56" spans="1:5">
      <c r="A56" s="2"/>
    </row>
    <row r="57" spans="1:5">
      <c r="A57" s="2" t="s">
        <v>752</v>
      </c>
      <c r="B57" s="2">
        <v>381</v>
      </c>
      <c r="C57" s="2">
        <v>414</v>
      </c>
      <c r="D57" s="2">
        <v>353</v>
      </c>
      <c r="E57" s="2"/>
    </row>
    <row r="58" spans="1:5">
      <c r="A58" s="2" t="s">
        <v>756</v>
      </c>
      <c r="B58" s="2">
        <v>3194</v>
      </c>
      <c r="C58" s="2">
        <v>3471</v>
      </c>
      <c r="D58" s="2">
        <v>2971</v>
      </c>
      <c r="E58" s="2"/>
    </row>
    <row r="59" spans="1:5">
      <c r="A59" s="2" t="s">
        <v>760</v>
      </c>
      <c r="B59" s="2">
        <v>354</v>
      </c>
      <c r="C59" s="2">
        <v>385</v>
      </c>
      <c r="D59" s="2">
        <v>330</v>
      </c>
      <c r="E59" s="2"/>
    </row>
    <row r="60" spans="1:5">
      <c r="A60" s="2" t="s">
        <v>763</v>
      </c>
      <c r="B60" s="2">
        <v>5521</v>
      </c>
      <c r="C60" s="2">
        <v>6000</v>
      </c>
      <c r="D60" s="2">
        <v>5136</v>
      </c>
      <c r="E60" s="2"/>
    </row>
    <row r="61" spans="1:5">
      <c r="A61" s="2" t="s">
        <v>765</v>
      </c>
      <c r="B61" s="2">
        <v>176</v>
      </c>
      <c r="C61" s="2">
        <v>192</v>
      </c>
      <c r="D61" s="2">
        <v>165</v>
      </c>
      <c r="E61" s="2"/>
    </row>
    <row r="62" spans="1:5">
      <c r="A62" s="2" t="s">
        <v>768</v>
      </c>
      <c r="B62" s="2">
        <v>6913</v>
      </c>
      <c r="C62" s="2">
        <v>7512</v>
      </c>
      <c r="D62" s="2">
        <v>6526</v>
      </c>
      <c r="E62" s="2"/>
    </row>
    <row r="63" spans="1:5">
      <c r="A63" s="2" t="s">
        <v>770</v>
      </c>
      <c r="B63" s="2">
        <v>53</v>
      </c>
      <c r="C63" s="2">
        <v>58</v>
      </c>
      <c r="D63" s="2">
        <v>50</v>
      </c>
      <c r="E63" s="2"/>
    </row>
    <row r="64" spans="1:5">
      <c r="A64" s="2" t="s">
        <v>772</v>
      </c>
      <c r="B64" s="2">
        <v>7901</v>
      </c>
      <c r="C64" s="2">
        <v>8586</v>
      </c>
      <c r="D64" s="2">
        <v>7456</v>
      </c>
      <c r="E64" s="2"/>
    </row>
    <row r="65" spans="1:9">
      <c r="A65" s="2"/>
    </row>
    <row r="66" spans="1:9">
      <c r="A66" s="2" t="s">
        <v>776</v>
      </c>
      <c r="B66" s="2">
        <v>864</v>
      </c>
      <c r="C66" s="2">
        <v>1166</v>
      </c>
      <c r="D66" s="2">
        <v>1335</v>
      </c>
      <c r="E66" s="2"/>
    </row>
    <row r="67" spans="1:9">
      <c r="A67" s="2" t="s">
        <v>779</v>
      </c>
      <c r="B67" s="2">
        <v>3060</v>
      </c>
      <c r="C67" s="2">
        <v>2560</v>
      </c>
      <c r="D67" s="2"/>
    </row>
    <row r="68" spans="1:9">
      <c r="A68" s="2" t="s">
        <v>782</v>
      </c>
      <c r="B68" s="2">
        <v>43038</v>
      </c>
      <c r="C68" s="2">
        <v>35982</v>
      </c>
      <c r="D68" s="2"/>
    </row>
    <row r="69" spans="1:9">
      <c r="A69" s="2"/>
    </row>
    <row r="70" spans="1:9">
      <c r="A70" s="2" t="s">
        <v>40</v>
      </c>
      <c r="B70" s="2">
        <v>1276500</v>
      </c>
      <c r="C70" s="2">
        <v>2415000</v>
      </c>
      <c r="D70" s="2"/>
    </row>
    <row r="71" spans="1:9">
      <c r="A71" s="2" t="s">
        <v>48</v>
      </c>
      <c r="B71" s="2">
        <v>851000</v>
      </c>
      <c r="C71" s="2">
        <v>1610000</v>
      </c>
      <c r="D71" s="2"/>
      <c r="E71" s="2"/>
      <c r="F71" s="2"/>
      <c r="H71" s="2"/>
      <c r="I71" s="2"/>
    </row>
    <row r="72" spans="1:9">
      <c r="A72" s="2" t="s">
        <v>61</v>
      </c>
      <c r="B72" s="2">
        <v>898343.75</v>
      </c>
      <c r="C72" s="2">
        <v>976153.75</v>
      </c>
      <c r="D72" s="2">
        <v>515970</v>
      </c>
      <c r="E72" s="2"/>
    </row>
    <row r="73" spans="1:9">
      <c r="A73" s="2"/>
      <c r="G73" s="2"/>
      <c r="H73" s="2"/>
    </row>
    <row r="74" spans="1:9">
      <c r="A74" s="2" t="s">
        <v>790</v>
      </c>
      <c r="B74" s="2">
        <v>317</v>
      </c>
      <c r="C74" s="2"/>
    </row>
    <row r="75" spans="1:9">
      <c r="A75" s="2" t="s">
        <v>791</v>
      </c>
      <c r="B75" s="2">
        <v>58</v>
      </c>
      <c r="C75" s="2"/>
    </row>
    <row r="76" spans="1:9">
      <c r="A76" s="2"/>
    </row>
    <row r="77" spans="1:9">
      <c r="A77" s="2"/>
    </row>
    <row r="78" spans="1:9">
      <c r="A78" s="2" t="s">
        <v>592</v>
      </c>
      <c r="B78" s="2" t="s">
        <v>20</v>
      </c>
      <c r="C78" s="2"/>
    </row>
    <row r="79" spans="1:9">
      <c r="A79" s="2" t="s">
        <v>1840</v>
      </c>
      <c r="B79" s="2">
        <v>4098</v>
      </c>
      <c r="C79" s="2"/>
    </row>
    <row r="80" spans="1:9">
      <c r="A80" s="2" t="s">
        <v>718</v>
      </c>
      <c r="B80" s="2">
        <v>3494</v>
      </c>
      <c r="C80" s="2"/>
    </row>
    <row r="81" spans="1:12">
      <c r="A81" s="2" t="s">
        <v>1843</v>
      </c>
      <c r="B81" s="2">
        <v>4098</v>
      </c>
      <c r="C81" s="2"/>
    </row>
    <row r="82" spans="1:12">
      <c r="A82" s="2" t="s">
        <v>724</v>
      </c>
      <c r="B82" s="2">
        <v>3494</v>
      </c>
      <c r="C82" s="2"/>
    </row>
    <row r="83" spans="1:12">
      <c r="A83" s="2" t="s">
        <v>1844</v>
      </c>
      <c r="B83" s="2">
        <v>2550</v>
      </c>
      <c r="C83" s="2"/>
    </row>
    <row r="84" spans="1:12">
      <c r="A84" s="2" t="s">
        <v>1846</v>
      </c>
      <c r="B84" s="2">
        <v>930</v>
      </c>
      <c r="C84" s="2"/>
    </row>
    <row r="85" spans="1:12">
      <c r="A85" s="2"/>
    </row>
    <row r="86" spans="1:12">
      <c r="A86" s="2" t="s">
        <v>734</v>
      </c>
      <c r="B86" s="2"/>
      <c r="C86" s="2"/>
      <c r="D86" s="2"/>
      <c r="E86" s="2"/>
      <c r="F86" s="2" t="s">
        <v>1848</v>
      </c>
      <c r="G86" s="2"/>
      <c r="H86" s="2"/>
    </row>
    <row r="87" spans="1:12">
      <c r="A87" s="2" t="s">
        <v>737</v>
      </c>
      <c r="B87" s="2">
        <v>3368</v>
      </c>
      <c r="C87" s="2">
        <v>4316</v>
      </c>
      <c r="D87" s="2">
        <v>5052</v>
      </c>
      <c r="E87" s="2"/>
      <c r="F87" s="2">
        <v>3907</v>
      </c>
      <c r="G87" s="2"/>
      <c r="H87" s="2"/>
    </row>
    <row r="88" spans="1:12">
      <c r="A88" s="2" t="s">
        <v>29</v>
      </c>
      <c r="B88" s="2">
        <v>1341</v>
      </c>
      <c r="C88" s="2"/>
      <c r="D88" s="2"/>
    </row>
    <row r="89" spans="1:12">
      <c r="A89" s="2" t="s">
        <v>25</v>
      </c>
      <c r="B89" s="2">
        <v>6396</v>
      </c>
      <c r="C89" s="2">
        <v>7488</v>
      </c>
      <c r="D89" s="2"/>
    </row>
    <row r="90" spans="1:12">
      <c r="A90" s="2" t="s">
        <v>30</v>
      </c>
      <c r="B90" s="2">
        <v>7112</v>
      </c>
      <c r="C90" s="2">
        <v>8326</v>
      </c>
      <c r="D90" s="2"/>
    </row>
    <row r="91" spans="1:12">
      <c r="A91" s="2" t="s">
        <v>789</v>
      </c>
      <c r="B91" s="2">
        <v>4974</v>
      </c>
      <c r="C91" s="2">
        <v>5823</v>
      </c>
      <c r="D91" s="2"/>
    </row>
    <row r="92" spans="1:12">
      <c r="A92" s="2"/>
    </row>
    <row r="93" spans="1:12">
      <c r="A93" s="2" t="s">
        <v>126</v>
      </c>
      <c r="B93" s="2" t="s">
        <v>91</v>
      </c>
      <c r="C93" s="2" t="s">
        <v>47</v>
      </c>
      <c r="D93" s="2" t="s">
        <v>98</v>
      </c>
      <c r="E93" s="2" t="s">
        <v>42</v>
      </c>
      <c r="F93" s="2" t="s">
        <v>32</v>
      </c>
      <c r="G93" s="2" t="s">
        <v>24</v>
      </c>
      <c r="H93" s="2" t="s">
        <v>110</v>
      </c>
      <c r="I93" s="2" t="s">
        <v>37</v>
      </c>
      <c r="J93" s="2" t="s">
        <v>582</v>
      </c>
      <c r="K93" s="2" t="s">
        <v>716</v>
      </c>
      <c r="L93" s="2"/>
    </row>
    <row r="94" spans="1:12">
      <c r="A94" s="2">
        <v>6</v>
      </c>
      <c r="B94" s="2">
        <v>75</v>
      </c>
      <c r="C94" s="2">
        <v>179</v>
      </c>
      <c r="D94" s="2">
        <v>593</v>
      </c>
      <c r="E94" s="2">
        <v>593</v>
      </c>
      <c r="F94" s="2">
        <v>593</v>
      </c>
      <c r="G94" s="2">
        <v>0</v>
      </c>
      <c r="H94" s="2">
        <v>593</v>
      </c>
      <c r="I94" s="2">
        <v>593</v>
      </c>
      <c r="J94" s="2">
        <v>253</v>
      </c>
      <c r="K94" s="2"/>
    </row>
    <row r="95" spans="1:12">
      <c r="A95" s="2">
        <v>7</v>
      </c>
      <c r="B95" s="2">
        <v>113</v>
      </c>
      <c r="C95" s="2">
        <v>268</v>
      </c>
      <c r="D95" s="2">
        <v>889</v>
      </c>
      <c r="E95" s="2">
        <v>889</v>
      </c>
      <c r="F95" s="2">
        <v>889</v>
      </c>
      <c r="G95" s="2">
        <v>0</v>
      </c>
      <c r="H95" s="2">
        <v>889</v>
      </c>
      <c r="I95" s="2">
        <v>889</v>
      </c>
      <c r="J95" s="2">
        <v>380</v>
      </c>
      <c r="K95" s="2"/>
    </row>
    <row r="96" spans="1:12">
      <c r="A96" s="2">
        <v>8</v>
      </c>
      <c r="B96" s="2">
        <v>168</v>
      </c>
      <c r="C96" s="2">
        <v>398</v>
      </c>
      <c r="D96" s="2">
        <v>1317</v>
      </c>
      <c r="E96" s="2">
        <v>1317</v>
      </c>
      <c r="F96" s="2">
        <v>1317</v>
      </c>
      <c r="G96" s="2">
        <v>0</v>
      </c>
      <c r="H96" s="2">
        <v>1317</v>
      </c>
      <c r="I96" s="2">
        <v>1317</v>
      </c>
      <c r="J96" s="2">
        <v>563</v>
      </c>
      <c r="K96" s="2"/>
    </row>
    <row r="97" spans="1:18">
      <c r="A97" s="2"/>
    </row>
    <row r="98" spans="1:18">
      <c r="A98" s="2" t="s">
        <v>652</v>
      </c>
      <c r="B98" s="2" t="s">
        <v>145</v>
      </c>
      <c r="C98" s="2" t="s">
        <v>91</v>
      </c>
      <c r="D98" s="2" t="s">
        <v>47</v>
      </c>
      <c r="E98" s="2" t="s">
        <v>98</v>
      </c>
      <c r="F98" s="2" t="s">
        <v>42</v>
      </c>
      <c r="G98" s="2" t="s">
        <v>32</v>
      </c>
      <c r="H98" s="2" t="s">
        <v>24</v>
      </c>
      <c r="I98" s="2" t="s">
        <v>110</v>
      </c>
      <c r="J98" s="2" t="s">
        <v>37</v>
      </c>
      <c r="K98" s="2" t="s">
        <v>29</v>
      </c>
      <c r="L98" s="2" t="s">
        <v>282</v>
      </c>
      <c r="M98" s="2" t="s">
        <v>278</v>
      </c>
      <c r="N98" s="2" t="s">
        <v>259</v>
      </c>
      <c r="O98" s="2" t="s">
        <v>1977</v>
      </c>
      <c r="P98" s="2" t="s">
        <v>1978</v>
      </c>
      <c r="Q98" s="2" t="s">
        <v>1979</v>
      </c>
      <c r="R98" s="2"/>
    </row>
    <row r="99" spans="1:18">
      <c r="A99" s="2" t="s">
        <v>20</v>
      </c>
      <c r="B99" s="2">
        <v>889</v>
      </c>
      <c r="C99" s="2">
        <v>420</v>
      </c>
      <c r="D99" s="2">
        <v>994</v>
      </c>
      <c r="E99" s="2">
        <v>3279</v>
      </c>
      <c r="F99" s="2">
        <v>3279</v>
      </c>
      <c r="G99" s="2">
        <v>3279</v>
      </c>
      <c r="H99" s="2">
        <v>3279</v>
      </c>
      <c r="I99" s="2">
        <v>3279</v>
      </c>
      <c r="J99" s="2">
        <v>3279</v>
      </c>
      <c r="K99" s="2">
        <v>978</v>
      </c>
      <c r="L99" s="2">
        <v>4902</v>
      </c>
      <c r="M99" s="2">
        <v>628</v>
      </c>
      <c r="N99" s="2">
        <v>1485</v>
      </c>
      <c r="O99" s="2">
        <v>5739</v>
      </c>
      <c r="P99" s="2">
        <v>736</v>
      </c>
      <c r="Q99" s="2">
        <v>1739</v>
      </c>
      <c r="R99" s="2"/>
    </row>
    <row r="100" spans="1:18">
      <c r="A100" s="2"/>
    </row>
    <row r="101" spans="1:18">
      <c r="A101" s="2" t="s">
        <v>26</v>
      </c>
      <c r="B101" s="2" t="s">
        <v>91</v>
      </c>
      <c r="C101" s="2" t="s">
        <v>47</v>
      </c>
      <c r="D101" s="2" t="s">
        <v>98</v>
      </c>
      <c r="E101" s="2" t="s">
        <v>42</v>
      </c>
      <c r="F101" s="2" t="s">
        <v>32</v>
      </c>
      <c r="G101" s="2" t="s">
        <v>24</v>
      </c>
      <c r="H101" s="2" t="s">
        <v>110</v>
      </c>
      <c r="I101" s="2" t="s">
        <v>37</v>
      </c>
      <c r="J101" s="2"/>
    </row>
    <row r="102" spans="1:18">
      <c r="A102" s="2" t="s">
        <v>31</v>
      </c>
      <c r="B102" s="2">
        <v>188</v>
      </c>
      <c r="C102" s="2">
        <v>442</v>
      </c>
      <c r="D102" s="2">
        <v>1463</v>
      </c>
      <c r="E102" s="2">
        <v>1463</v>
      </c>
      <c r="F102" s="2">
        <v>1463</v>
      </c>
      <c r="G102" s="2">
        <v>1463</v>
      </c>
      <c r="H102" s="2">
        <v>1463</v>
      </c>
      <c r="I102" s="2">
        <v>1463</v>
      </c>
      <c r="J102" s="2"/>
    </row>
    <row r="103" spans="1:18">
      <c r="A103" s="2" t="s">
        <v>36</v>
      </c>
      <c r="B103" s="2">
        <v>0</v>
      </c>
      <c r="C103" s="2">
        <v>884</v>
      </c>
      <c r="D103" s="2">
        <v>2925</v>
      </c>
      <c r="E103" s="2">
        <v>2925</v>
      </c>
      <c r="F103" s="2">
        <v>2925</v>
      </c>
      <c r="G103" s="2">
        <v>2925</v>
      </c>
      <c r="H103" s="2">
        <v>2925</v>
      </c>
      <c r="I103" s="2">
        <v>2925</v>
      </c>
      <c r="J103" s="2"/>
    </row>
    <row r="104" spans="1:18">
      <c r="A104" s="2" t="s">
        <v>41</v>
      </c>
      <c r="B104" s="2">
        <v>0</v>
      </c>
      <c r="C104" s="2">
        <v>1768</v>
      </c>
      <c r="D104" s="2">
        <v>5850</v>
      </c>
      <c r="E104" s="2">
        <v>5850</v>
      </c>
      <c r="F104" s="2">
        <v>5850</v>
      </c>
      <c r="G104" s="2">
        <v>5850</v>
      </c>
      <c r="H104" s="2">
        <v>5850</v>
      </c>
      <c r="I104" s="2">
        <v>5850</v>
      </c>
      <c r="J104" s="2"/>
    </row>
    <row r="105" spans="1:18">
      <c r="A105" s="2"/>
    </row>
    <row r="106" spans="1:18">
      <c r="A106" s="2"/>
    </row>
    <row r="107" spans="1:18">
      <c r="A107" s="2" t="s">
        <v>717</v>
      </c>
      <c r="B107" s="2"/>
      <c r="C107" s="2"/>
    </row>
    <row r="108" spans="1:18">
      <c r="A108" s="2" t="s">
        <v>719</v>
      </c>
      <c r="B108" s="2">
        <v>130</v>
      </c>
      <c r="C108" s="2"/>
    </row>
    <row r="109" spans="1:18">
      <c r="A109" s="2" t="s">
        <v>722</v>
      </c>
      <c r="B109" s="2">
        <v>2</v>
      </c>
      <c r="C109" s="2"/>
    </row>
    <row r="110" spans="1:18">
      <c r="A110" s="2" t="s">
        <v>725</v>
      </c>
      <c r="B110" s="2">
        <v>0.29</v>
      </c>
      <c r="C110" s="2"/>
    </row>
    <row r="111" spans="1:18">
      <c r="A111" s="2" t="s">
        <v>728</v>
      </c>
      <c r="B111" s="2">
        <v>0.9</v>
      </c>
      <c r="C111" s="2"/>
    </row>
    <row r="112" spans="1:18">
      <c r="A112" s="2" t="s">
        <v>730</v>
      </c>
      <c r="B112" s="2">
        <v>1.19</v>
      </c>
      <c r="C112" s="2"/>
    </row>
    <row r="113" spans="1:3">
      <c r="A113" s="2" t="s">
        <v>733</v>
      </c>
      <c r="B113" s="2">
        <v>10</v>
      </c>
      <c r="C113" s="2"/>
    </row>
    <row r="114" spans="1:3">
      <c r="A114" s="2" t="s">
        <v>735</v>
      </c>
      <c r="B114" s="2">
        <v>0.24</v>
      </c>
      <c r="C114" s="2"/>
    </row>
    <row r="115" spans="1:3">
      <c r="A115" s="2" t="s">
        <v>738</v>
      </c>
      <c r="B115" s="2">
        <v>8.53415</v>
      </c>
      <c r="C115" s="2"/>
    </row>
    <row r="116" spans="1:3">
      <c r="A116" s="2" t="s">
        <v>740</v>
      </c>
      <c r="B116" s="2">
        <v>0.24</v>
      </c>
      <c r="C116" s="2"/>
    </row>
    <row r="117" spans="1:3">
      <c r="A117" s="2" t="s">
        <v>742</v>
      </c>
      <c r="B117" s="2">
        <v>160878</v>
      </c>
      <c r="C117" s="2"/>
    </row>
    <row r="118" spans="1:3">
      <c r="A118" s="2" t="s">
        <v>745</v>
      </c>
      <c r="B118" s="2">
        <v>44</v>
      </c>
      <c r="C118" s="2"/>
    </row>
    <row r="119" spans="1:3">
      <c r="A119" s="2" t="s">
        <v>747</v>
      </c>
      <c r="B119" s="2">
        <v>7387</v>
      </c>
      <c r="C119" s="2"/>
    </row>
    <row r="120" spans="1:3">
      <c r="A120" s="2" t="s">
        <v>749</v>
      </c>
      <c r="B120" s="2">
        <v>1.75</v>
      </c>
      <c r="C120" s="2"/>
    </row>
    <row r="121" spans="1:3">
      <c r="A121" s="2" t="s">
        <v>753</v>
      </c>
      <c r="B121" s="2">
        <v>13</v>
      </c>
      <c r="C121" s="2"/>
    </row>
    <row r="122" spans="1:3">
      <c r="A122" s="2" t="s">
        <v>1894</v>
      </c>
      <c r="B122" s="2">
        <v>0.67</v>
      </c>
      <c r="C122" s="2"/>
    </row>
    <row r="123" spans="1:3">
      <c r="A123" s="2" t="s">
        <v>1896</v>
      </c>
      <c r="B123" s="2">
        <v>0.8663</v>
      </c>
      <c r="C123" s="2"/>
    </row>
    <row r="124" spans="1:3">
      <c r="A124" s="2" t="s">
        <v>1898</v>
      </c>
      <c r="B124" s="2">
        <v>0.75</v>
      </c>
      <c r="C124" s="2"/>
    </row>
    <row r="125" spans="1:3">
      <c r="A125" s="2" t="s">
        <v>761</v>
      </c>
      <c r="B125" s="2">
        <v>1</v>
      </c>
      <c r="C125" s="2"/>
    </row>
    <row r="126" spans="1:3">
      <c r="A126" s="2" t="s">
        <v>764</v>
      </c>
      <c r="B126" s="2">
        <v>0.6</v>
      </c>
      <c r="C126" s="2"/>
    </row>
    <row r="127" spans="1:3">
      <c r="A127" s="2" t="s">
        <v>766</v>
      </c>
      <c r="B127" s="2">
        <v>0.87</v>
      </c>
      <c r="C127" s="2"/>
    </row>
    <row r="128" spans="1:3">
      <c r="A128" s="2" t="s">
        <v>145</v>
      </c>
      <c r="B128" s="2">
        <v>45</v>
      </c>
      <c r="C128" s="2"/>
    </row>
    <row r="129" spans="1:10">
      <c r="A129" s="2" t="s">
        <v>1903</v>
      </c>
      <c r="B129" s="2">
        <v>0.15</v>
      </c>
      <c r="C129" s="2"/>
    </row>
    <row r="130" spans="1:10">
      <c r="A130" s="2"/>
    </row>
    <row r="131" spans="1:10">
      <c r="A131" s="2" t="s">
        <v>19</v>
      </c>
      <c r="B131" s="2" t="s">
        <v>785</v>
      </c>
      <c r="C131" s="2"/>
    </row>
    <row r="132" spans="1:10">
      <c r="A132" s="2" t="s">
        <v>98</v>
      </c>
      <c r="B132" s="2">
        <v>197703</v>
      </c>
      <c r="C132" s="2"/>
    </row>
    <row r="133" spans="1:10">
      <c r="A133" s="2" t="s">
        <v>32</v>
      </c>
      <c r="B133" s="2">
        <v>225957.6</v>
      </c>
      <c r="C133" s="2"/>
    </row>
    <row r="134" spans="1:10">
      <c r="A134" s="2" t="s">
        <v>42</v>
      </c>
      <c r="B134" s="2">
        <v>72844.2</v>
      </c>
      <c r="C134" s="2"/>
    </row>
    <row r="135" spans="1:10">
      <c r="A135" s="2" t="s">
        <v>37</v>
      </c>
      <c r="B135" s="2">
        <v>133333.2</v>
      </c>
      <c r="C135" s="2"/>
    </row>
    <row r="136" spans="1:10">
      <c r="A136" s="2" t="s">
        <v>24</v>
      </c>
      <c r="B136" s="2">
        <v>210078</v>
      </c>
      <c r="C136" s="2"/>
    </row>
    <row r="137" spans="1:10">
      <c r="A137" s="2"/>
    </row>
    <row r="138" spans="1:10">
      <c r="A138" s="2" t="s">
        <v>1910</v>
      </c>
      <c r="B138" s="2" t="s">
        <v>1911</v>
      </c>
      <c r="C138" s="2" t="s">
        <v>98</v>
      </c>
      <c r="D138" s="2" t="s">
        <v>42</v>
      </c>
      <c r="E138" s="2" t="s">
        <v>32</v>
      </c>
      <c r="F138" s="2" t="s">
        <v>110</v>
      </c>
      <c r="G138" s="2" t="s">
        <v>37</v>
      </c>
      <c r="H138" s="2" t="s">
        <v>1912</v>
      </c>
      <c r="I138" s="2" t="s">
        <v>1913</v>
      </c>
      <c r="J138" s="2"/>
    </row>
    <row r="139" spans="1:10">
      <c r="A139" s="2" t="s">
        <v>787</v>
      </c>
      <c r="B139" s="2">
        <v>0</v>
      </c>
      <c r="C139" s="2">
        <v>7908</v>
      </c>
      <c r="D139" s="2">
        <v>2914</v>
      </c>
      <c r="E139" s="2">
        <v>0</v>
      </c>
      <c r="F139" s="2">
        <v>0</v>
      </c>
      <c r="G139" s="2">
        <v>0</v>
      </c>
      <c r="H139" s="2">
        <v>0</v>
      </c>
      <c r="I139" s="2">
        <v>0</v>
      </c>
      <c r="J139" s="2"/>
    </row>
    <row r="140" spans="1:10">
      <c r="A140" s="2" t="s">
        <v>655</v>
      </c>
      <c r="B140" s="2">
        <v>0</v>
      </c>
      <c r="C140" s="2">
        <v>1350</v>
      </c>
      <c r="D140" s="2">
        <v>0</v>
      </c>
      <c r="E140" s="2">
        <v>1350</v>
      </c>
      <c r="F140" s="2">
        <v>0</v>
      </c>
      <c r="G140" s="2">
        <v>0</v>
      </c>
      <c r="H140" s="2">
        <v>0</v>
      </c>
      <c r="I140" s="2">
        <v>0</v>
      </c>
      <c r="J140" s="2"/>
    </row>
    <row r="141" spans="1:10">
      <c r="A141" s="2" t="s">
        <v>656</v>
      </c>
      <c r="B141" s="2">
        <v>18561</v>
      </c>
      <c r="C141" s="2">
        <v>0</v>
      </c>
      <c r="D141" s="2">
        <v>0</v>
      </c>
      <c r="E141" s="2">
        <v>0</v>
      </c>
      <c r="F141" s="2">
        <v>0</v>
      </c>
      <c r="G141" s="2">
        <v>0</v>
      </c>
      <c r="H141" s="2">
        <v>0</v>
      </c>
      <c r="I141" s="2">
        <v>0</v>
      </c>
      <c r="J141" s="2"/>
    </row>
    <row r="142" spans="1:10">
      <c r="A142" s="2" t="s">
        <v>657</v>
      </c>
      <c r="B142" s="2">
        <v>0</v>
      </c>
      <c r="C142" s="2">
        <v>0</v>
      </c>
      <c r="D142" s="2">
        <v>0</v>
      </c>
      <c r="E142" s="2">
        <v>0</v>
      </c>
      <c r="F142" s="2">
        <v>0</v>
      </c>
      <c r="G142" s="2">
        <v>3857</v>
      </c>
      <c r="H142" s="2">
        <v>0</v>
      </c>
      <c r="I142" s="2">
        <v>0</v>
      </c>
      <c r="J142" s="2"/>
    </row>
    <row r="143" spans="1:10">
      <c r="A143" s="2" t="s">
        <v>659</v>
      </c>
      <c r="B143" s="2">
        <v>0</v>
      </c>
      <c r="C143" s="2">
        <v>23540</v>
      </c>
      <c r="D143" s="2">
        <v>0</v>
      </c>
      <c r="E143" s="2">
        <v>0</v>
      </c>
      <c r="F143" s="2">
        <v>0</v>
      </c>
      <c r="G143" s="2">
        <v>0</v>
      </c>
      <c r="H143" s="2">
        <v>0.1767</v>
      </c>
      <c r="I143" s="2">
        <v>0</v>
      </c>
      <c r="J143" s="2"/>
    </row>
    <row r="144" spans="1:10">
      <c r="A144" s="2" t="s">
        <v>660</v>
      </c>
      <c r="B144" s="2">
        <v>0</v>
      </c>
      <c r="C144" s="2">
        <v>0</v>
      </c>
      <c r="D144" s="2">
        <v>0</v>
      </c>
      <c r="E144" s="2">
        <v>23540</v>
      </c>
      <c r="F144" s="2">
        <v>0</v>
      </c>
      <c r="G144" s="2">
        <v>0</v>
      </c>
      <c r="H144" s="2">
        <v>0.1767</v>
      </c>
      <c r="I144" s="2">
        <v>0</v>
      </c>
      <c r="J144" s="2"/>
    </row>
    <row r="145" spans="1:10">
      <c r="A145" s="2" t="s">
        <v>654</v>
      </c>
      <c r="B145" s="2">
        <v>0</v>
      </c>
      <c r="C145" s="2">
        <v>0</v>
      </c>
      <c r="D145" s="2">
        <v>0</v>
      </c>
      <c r="E145" s="2">
        <v>0</v>
      </c>
      <c r="F145" s="2">
        <v>0</v>
      </c>
      <c r="G145" s="2">
        <v>0</v>
      </c>
      <c r="H145" s="2">
        <v>0</v>
      </c>
      <c r="I145" s="2">
        <v>1138845</v>
      </c>
      <c r="J145" s="2"/>
    </row>
    <row r="146" spans="1:10">
      <c r="A146" s="2" t="s">
        <v>664</v>
      </c>
      <c r="B146" s="2">
        <v>0</v>
      </c>
      <c r="C146" s="2">
        <v>0</v>
      </c>
      <c r="D146" s="2">
        <v>0</v>
      </c>
      <c r="E146" s="2">
        <v>1928</v>
      </c>
      <c r="F146" s="2">
        <v>0</v>
      </c>
      <c r="G146" s="2">
        <v>0</v>
      </c>
      <c r="H146" s="2">
        <v>0</v>
      </c>
      <c r="I146" s="2">
        <v>0</v>
      </c>
      <c r="J146" s="2"/>
    </row>
    <row r="147" spans="1:10">
      <c r="A147" s="2" t="s">
        <v>662</v>
      </c>
      <c r="B147" s="2">
        <v>0</v>
      </c>
      <c r="C147" s="2">
        <v>1928</v>
      </c>
      <c r="D147" s="2">
        <v>0</v>
      </c>
      <c r="E147" s="2">
        <v>0</v>
      </c>
      <c r="F147" s="2">
        <v>0</v>
      </c>
      <c r="G147" s="2">
        <v>0</v>
      </c>
      <c r="H147" s="2">
        <v>0</v>
      </c>
      <c r="I147" s="2">
        <v>0</v>
      </c>
      <c r="J147" s="2"/>
    </row>
    <row r="148" spans="1:10">
      <c r="A148" s="2" t="s">
        <v>665</v>
      </c>
      <c r="B148" s="2">
        <v>0</v>
      </c>
      <c r="C148" s="2">
        <v>0</v>
      </c>
      <c r="D148" s="2">
        <v>0</v>
      </c>
      <c r="E148" s="2">
        <v>0</v>
      </c>
      <c r="F148" s="2">
        <v>1928</v>
      </c>
      <c r="G148" s="2">
        <v>0</v>
      </c>
      <c r="H148" s="2">
        <v>0</v>
      </c>
      <c r="I148" s="2">
        <v>0</v>
      </c>
      <c r="J148" s="2"/>
    </row>
    <row r="149" spans="1:10">
      <c r="A149" s="2" t="s">
        <v>667</v>
      </c>
      <c r="B149" s="2">
        <v>0</v>
      </c>
      <c r="C149" s="2">
        <v>0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268000</v>
      </c>
      <c r="J149" s="2"/>
    </row>
    <row r="150" spans="1:10">
      <c r="A150" s="2" t="s">
        <v>673</v>
      </c>
      <c r="B150" s="2">
        <v>0</v>
      </c>
      <c r="C150" s="2">
        <v>1155</v>
      </c>
      <c r="D150" s="2">
        <v>0</v>
      </c>
      <c r="E150" s="2">
        <v>1155</v>
      </c>
      <c r="F150" s="2">
        <v>0</v>
      </c>
      <c r="G150" s="2">
        <v>0</v>
      </c>
      <c r="H150" s="2">
        <v>0</v>
      </c>
      <c r="I150" s="2">
        <v>0</v>
      </c>
      <c r="J150" s="2"/>
    </row>
    <row r="151" spans="1:10">
      <c r="A151" s="2" t="s">
        <v>1925</v>
      </c>
      <c r="B151" s="2">
        <v>12254</v>
      </c>
      <c r="C151" s="2">
        <v>0</v>
      </c>
      <c r="D151" s="2">
        <v>0</v>
      </c>
      <c r="E151" s="2">
        <v>0</v>
      </c>
      <c r="F151" s="2">
        <v>0</v>
      </c>
      <c r="G151" s="2">
        <v>0</v>
      </c>
      <c r="H151" s="2">
        <v>0</v>
      </c>
      <c r="I151" s="2">
        <v>0</v>
      </c>
      <c r="J151" s="2"/>
    </row>
    <row r="152" spans="1:10">
      <c r="A152" s="2" t="s">
        <v>675</v>
      </c>
      <c r="B152" s="2">
        <v>0</v>
      </c>
      <c r="C152" s="2">
        <v>0</v>
      </c>
      <c r="D152" s="2">
        <v>0</v>
      </c>
      <c r="E152" s="2">
        <v>0</v>
      </c>
      <c r="F152" s="2">
        <v>0</v>
      </c>
      <c r="G152" s="2">
        <v>3301</v>
      </c>
      <c r="H152" s="2">
        <v>0</v>
      </c>
      <c r="I152" s="2">
        <v>0</v>
      </c>
      <c r="J152" s="2"/>
    </row>
    <row r="153" spans="1:10">
      <c r="A153" s="2" t="s">
        <v>676</v>
      </c>
      <c r="B153" s="2">
        <v>0</v>
      </c>
      <c r="C153" s="2">
        <v>20148</v>
      </c>
      <c r="D153" s="2">
        <v>0</v>
      </c>
      <c r="E153" s="2">
        <v>0</v>
      </c>
      <c r="F153" s="2">
        <v>0</v>
      </c>
      <c r="G153" s="2">
        <v>0</v>
      </c>
      <c r="H153" s="2">
        <v>0.1513671875</v>
      </c>
      <c r="I153" s="2">
        <v>0</v>
      </c>
      <c r="J153" s="2"/>
    </row>
    <row r="154" spans="1:10">
      <c r="A154" s="2" t="s">
        <v>677</v>
      </c>
      <c r="B154" s="2">
        <v>0</v>
      </c>
      <c r="C154" s="2">
        <v>0</v>
      </c>
      <c r="D154" s="2">
        <v>0</v>
      </c>
      <c r="E154" s="2">
        <v>20148</v>
      </c>
      <c r="F154" s="2">
        <v>0</v>
      </c>
      <c r="G154" s="2">
        <v>0</v>
      </c>
      <c r="H154" s="2">
        <v>0.1513671875</v>
      </c>
      <c r="I154" s="2">
        <v>0</v>
      </c>
      <c r="J154" s="2"/>
    </row>
    <row r="155" spans="1:10">
      <c r="A155" s="2" t="s">
        <v>672</v>
      </c>
      <c r="B155" s="2">
        <v>0</v>
      </c>
      <c r="C155" s="2">
        <v>0</v>
      </c>
      <c r="D155" s="2">
        <v>0</v>
      </c>
      <c r="E155" s="2">
        <v>0</v>
      </c>
      <c r="F155" s="2">
        <v>0</v>
      </c>
      <c r="G155" s="2">
        <v>0</v>
      </c>
      <c r="H155" s="2">
        <v>0</v>
      </c>
      <c r="I155" s="2">
        <v>601965</v>
      </c>
      <c r="J155" s="2"/>
    </row>
    <row r="156" spans="1:10">
      <c r="A156" s="2" t="s">
        <v>679</v>
      </c>
      <c r="B156" s="2">
        <v>0</v>
      </c>
      <c r="C156" s="2">
        <v>0</v>
      </c>
      <c r="D156" s="2">
        <v>0</v>
      </c>
      <c r="E156" s="2">
        <v>1660</v>
      </c>
      <c r="F156" s="2">
        <v>0</v>
      </c>
      <c r="G156" s="2">
        <v>0</v>
      </c>
      <c r="H156" s="2">
        <v>0</v>
      </c>
      <c r="I156" s="2">
        <v>0</v>
      </c>
      <c r="J156" s="2"/>
    </row>
    <row r="157" spans="1:10">
      <c r="A157" s="2" t="s">
        <v>678</v>
      </c>
      <c r="B157" s="2">
        <v>0</v>
      </c>
      <c r="C157" s="2">
        <v>1660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/>
    </row>
    <row r="158" spans="1:10">
      <c r="A158" s="2" t="s">
        <v>680</v>
      </c>
      <c r="B158" s="2">
        <v>0</v>
      </c>
      <c r="C158" s="2">
        <v>0</v>
      </c>
      <c r="D158" s="2">
        <v>0</v>
      </c>
      <c r="E158" s="2">
        <v>0</v>
      </c>
      <c r="F158" s="2">
        <v>1660</v>
      </c>
      <c r="G158" s="2">
        <v>0</v>
      </c>
      <c r="H158" s="2">
        <v>0</v>
      </c>
      <c r="I158" s="2">
        <v>0</v>
      </c>
      <c r="J158" s="2"/>
    </row>
    <row r="159" spans="1:10">
      <c r="A159" s="2" t="s">
        <v>682</v>
      </c>
      <c r="B159" s="2">
        <v>0</v>
      </c>
      <c r="C159" s="2">
        <v>0</v>
      </c>
      <c r="D159" s="2">
        <v>0</v>
      </c>
      <c r="E159" s="2">
        <v>0</v>
      </c>
      <c r="F159" s="2">
        <v>0</v>
      </c>
      <c r="G159" s="2">
        <v>0</v>
      </c>
      <c r="H159" s="2">
        <v>0</v>
      </c>
      <c r="I159" s="2">
        <v>141600</v>
      </c>
      <c r="J159" s="2"/>
    </row>
    <row r="160" spans="1:10">
      <c r="A160" s="2"/>
    </row>
    <row r="161" spans="1:3">
      <c r="A161" s="2" t="s">
        <v>783</v>
      </c>
      <c r="B161" s="2"/>
      <c r="C161" s="2"/>
    </row>
    <row r="162" spans="1:3">
      <c r="A162" s="2">
        <v>24500</v>
      </c>
      <c r="B162" s="2">
        <v>769</v>
      </c>
      <c r="C162" s="2"/>
    </row>
    <row r="163" spans="1:3">
      <c r="A163" s="2">
        <v>27000</v>
      </c>
      <c r="B163" s="2">
        <v>848</v>
      </c>
      <c r="C163" s="2"/>
    </row>
    <row r="164" spans="1:3">
      <c r="A164" s="2">
        <v>29500</v>
      </c>
      <c r="B164" s="2">
        <v>926</v>
      </c>
      <c r="C164" s="2"/>
    </row>
    <row r="165" spans="1:3">
      <c r="A165" s="2">
        <v>32000</v>
      </c>
      <c r="B165" s="2">
        <v>1005</v>
      </c>
      <c r="C165" s="2"/>
    </row>
    <row r="166" spans="1:3">
      <c r="A166" s="2">
        <v>35000</v>
      </c>
      <c r="B166" s="2">
        <v>1099</v>
      </c>
      <c r="C166" s="2"/>
    </row>
    <row r="167" spans="1:3">
      <c r="A167" s="2">
        <v>39750</v>
      </c>
      <c r="B167" s="2">
        <v>1241</v>
      </c>
      <c r="C167" s="2"/>
    </row>
  </sheetData>
  <pageMargins left="0.75" right="0.75" top="1" bottom="1" header="0.5" footer="0.5"/>
  <headerFooter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4"/>
  <dimension ref="A1:X28"/>
  <sheetViews>
    <sheetView workbookViewId="0">
      <selection activeCell="L37" sqref="L37"/>
    </sheetView>
  </sheetViews>
  <sheetFormatPr defaultColWidth="9" defaultRowHeight="13.5"/>
  <cols>
    <col min="1" max="1" width="15" customWidth="1"/>
    <col min="2" max="17" width="8.875" customWidth="1"/>
    <col min="18" max="18" width="5.375" customWidth="1"/>
    <col min="19" max="19" width="5.125" customWidth="1"/>
    <col min="20" max="24" width="8.875" customWidth="1"/>
    <col min="25" max="25" width="9.25" customWidth="1"/>
    <col min="26" max="26" width="11" customWidth="1"/>
    <col min="27" max="258" width="9.25" customWidth="1"/>
    <col min="259" max="259" width="11" customWidth="1"/>
    <col min="260" max="491" width="9.25" customWidth="1"/>
    <col min="492" max="492" width="11" customWidth="1"/>
    <col min="493" max="724" width="9.25" customWidth="1"/>
    <col min="725" max="725" width="11" customWidth="1"/>
    <col min="726" max="957" width="9.25" customWidth="1"/>
    <col min="958" max="958" width="11" customWidth="1"/>
    <col min="959" max="1190" width="9.25" customWidth="1"/>
    <col min="1191" max="1191" width="11" customWidth="1"/>
    <col min="1192" max="1423" width="9.25" customWidth="1"/>
    <col min="1424" max="1424" width="11" customWidth="1"/>
    <col min="1425" max="1654" width="9.25" customWidth="1"/>
    <col min="1655" max="1656" width="9" customWidth="1"/>
    <col min="1657" max="1657" width="10.75" customWidth="1"/>
    <col min="1658" max="1890" width="9" customWidth="1"/>
    <col min="1891" max="1891" width="10.75" customWidth="1"/>
    <col min="1892" max="2124" width="9" customWidth="1"/>
    <col min="2125" max="2125" width="10.75" customWidth="1"/>
    <col min="2126" max="2355" width="9" customWidth="1"/>
  </cols>
  <sheetData>
    <row r="1" spans="1:24">
      <c r="A1" t="s">
        <v>794</v>
      </c>
      <c r="B1" t="s">
        <v>801</v>
      </c>
      <c r="C1" t="s">
        <v>802</v>
      </c>
      <c r="D1" t="s">
        <v>803</v>
      </c>
      <c r="E1" t="s">
        <v>804</v>
      </c>
      <c r="F1" t="s">
        <v>805</v>
      </c>
      <c r="G1" t="s">
        <v>806</v>
      </c>
      <c r="H1" t="s">
        <v>807</v>
      </c>
      <c r="I1" t="s">
        <v>808</v>
      </c>
      <c r="J1" t="s">
        <v>809</v>
      </c>
      <c r="K1" t="s">
        <v>810</v>
      </c>
      <c r="L1" t="s">
        <v>811</v>
      </c>
      <c r="M1" t="s">
        <v>812</v>
      </c>
      <c r="N1" t="s">
        <v>813</v>
      </c>
      <c r="O1" t="s">
        <v>814</v>
      </c>
      <c r="P1" t="s">
        <v>815</v>
      </c>
      <c r="Q1" t="s">
        <v>816</v>
      </c>
      <c r="R1" t="s">
        <v>817</v>
      </c>
      <c r="S1" t="s">
        <v>818</v>
      </c>
      <c r="T1" t="s">
        <v>819</v>
      </c>
      <c r="U1" t="s">
        <v>820</v>
      </c>
      <c r="V1" t="s">
        <v>821</v>
      </c>
      <c r="W1" t="s">
        <v>1943</v>
      </c>
      <c r="X1" t="s">
        <v>822</v>
      </c>
    </row>
    <row r="2" spans="1:24">
      <c r="A2" t="s">
        <v>365</v>
      </c>
      <c r="B2">
        <v>0</v>
      </c>
      <c r="C2">
        <v>0</v>
      </c>
      <c r="D2">
        <v>0</v>
      </c>
      <c r="E2">
        <v>0.45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>
      <c r="A3" t="s">
        <v>435</v>
      </c>
      <c r="B3">
        <v>0</v>
      </c>
      <c r="C3">
        <v>0</v>
      </c>
      <c r="D3">
        <v>0</v>
      </c>
      <c r="E3">
        <v>0.1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>
      <c r="A4" t="s">
        <v>1944</v>
      </c>
      <c r="B4">
        <v>0</v>
      </c>
      <c r="C4">
        <v>0</v>
      </c>
      <c r="D4">
        <v>0</v>
      </c>
      <c r="E4">
        <v>0</v>
      </c>
      <c r="F4">
        <v>0</v>
      </c>
      <c r="G4">
        <v>0.1</v>
      </c>
      <c r="H4">
        <v>0</v>
      </c>
      <c r="I4">
        <v>0.1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>
      <c r="A5" t="s">
        <v>1945</v>
      </c>
      <c r="B5">
        <v>0</v>
      </c>
      <c r="C5">
        <v>0</v>
      </c>
      <c r="D5">
        <v>0</v>
      </c>
      <c r="E5">
        <v>0</v>
      </c>
      <c r="F5">
        <v>0</v>
      </c>
      <c r="G5">
        <v>0.1</v>
      </c>
      <c r="H5">
        <v>0</v>
      </c>
      <c r="I5">
        <v>0.1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>
      <c r="A6" t="s">
        <v>1946</v>
      </c>
      <c r="B6">
        <v>0</v>
      </c>
      <c r="C6">
        <v>0</v>
      </c>
      <c r="D6">
        <v>0</v>
      </c>
      <c r="E6">
        <v>0</v>
      </c>
      <c r="F6">
        <v>0</v>
      </c>
      <c r="G6">
        <v>0.1</v>
      </c>
      <c r="H6">
        <v>0</v>
      </c>
      <c r="I6">
        <v>0.1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>
      <c r="A7" t="s">
        <v>867</v>
      </c>
      <c r="B7">
        <v>0</v>
      </c>
      <c r="C7">
        <v>0</v>
      </c>
      <c r="D7">
        <v>0</v>
      </c>
      <c r="E7">
        <v>0</v>
      </c>
      <c r="F7">
        <v>11790</v>
      </c>
      <c r="G7">
        <v>0</v>
      </c>
      <c r="H7">
        <v>5610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>
      <c r="A8" t="s">
        <v>1947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0.1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>
      <c r="A9" t="s">
        <v>1948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0.15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>
      <c r="A10" t="s">
        <v>79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0.45</v>
      </c>
      <c r="W10">
        <v>0</v>
      </c>
      <c r="X10">
        <v>0</v>
      </c>
    </row>
    <row r="11" spans="1:24">
      <c r="A11" t="s">
        <v>605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0.35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>
      <c r="A12" t="s">
        <v>1949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>
      <c r="A13" t="s">
        <v>77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0.9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>
      <c r="A14" t="s">
        <v>76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0.5</v>
      </c>
      <c r="V14">
        <v>0</v>
      </c>
      <c r="W14">
        <v>0</v>
      </c>
      <c r="X14">
        <v>0</v>
      </c>
    </row>
    <row r="15" spans="1:24">
      <c r="A15" t="s">
        <v>637</v>
      </c>
      <c r="B15">
        <v>0</v>
      </c>
      <c r="C15">
        <v>0</v>
      </c>
      <c r="D15">
        <v>0</v>
      </c>
      <c r="E15">
        <v>0</v>
      </c>
      <c r="F15">
        <v>0</v>
      </c>
      <c r="G15">
        <v>0.1</v>
      </c>
      <c r="H15">
        <v>0</v>
      </c>
      <c r="I15">
        <v>0.1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>
      <c r="A16" t="s">
        <v>641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0.07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>
      <c r="A17" t="s">
        <v>895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0.15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>
      <c r="A18" t="s">
        <v>896</v>
      </c>
      <c r="B18">
        <v>0</v>
      </c>
      <c r="C18">
        <v>0</v>
      </c>
      <c r="D18">
        <v>0</v>
      </c>
      <c r="E18">
        <v>0</v>
      </c>
      <c r="F18">
        <v>0</v>
      </c>
      <c r="G18">
        <v>0.2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0.15</v>
      </c>
      <c r="P18">
        <v>0</v>
      </c>
      <c r="Q18">
        <v>0</v>
      </c>
      <c r="R18">
        <v>0.1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0.15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918</v>
      </c>
      <c r="B20">
        <v>0</v>
      </c>
      <c r="C20">
        <v>0</v>
      </c>
      <c r="D20">
        <v>0</v>
      </c>
      <c r="E20">
        <v>0</v>
      </c>
      <c r="F20">
        <v>0</v>
      </c>
      <c r="G20">
        <v>0.05</v>
      </c>
      <c r="H20">
        <v>0</v>
      </c>
      <c r="I20">
        <v>0.08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>
      <c r="A21" t="s">
        <v>81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>
      <c r="A22" t="s">
        <v>78</v>
      </c>
      <c r="B22">
        <v>0</v>
      </c>
      <c r="C22">
        <v>0</v>
      </c>
      <c r="D22">
        <v>0</v>
      </c>
      <c r="E22">
        <v>0</v>
      </c>
      <c r="F22">
        <v>0</v>
      </c>
      <c r="G22">
        <v>0.05</v>
      </c>
      <c r="H22">
        <v>0</v>
      </c>
      <c r="I22">
        <v>0.2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 t="s">
        <v>923</v>
      </c>
      <c r="B23">
        <v>0</v>
      </c>
      <c r="C23">
        <v>0</v>
      </c>
      <c r="D23">
        <v>0</v>
      </c>
      <c r="E23">
        <v>0</v>
      </c>
      <c r="F23">
        <v>0</v>
      </c>
      <c r="G23">
        <v>0.08</v>
      </c>
      <c r="H23">
        <v>0</v>
      </c>
      <c r="I23">
        <v>0.02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>
      <c r="A24" t="s">
        <v>82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0.3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>
      <c r="A25" t="s">
        <v>1950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0.05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80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0.1</v>
      </c>
      <c r="X26">
        <v>0</v>
      </c>
    </row>
    <row r="27" spans="1:24">
      <c r="A27" t="s">
        <v>640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0.1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>
      <c r="A28" t="s">
        <v>75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0.05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llowEditUser xmlns="https://web.wps.cn/et/2018/main" xmlns:s="http://schemas.openxmlformats.org/spreadsheetml/2006/main" hasInvisiblePropRange="0">
  <rangeList sheetStid="110" master="" otherUserPermission="visible"/>
  <rangeList sheetStid="370" master="" otherUserPermission="visible"/>
  <rangeList sheetStid="58" master="" otherUserPermission="visible"/>
  <rangeList sheetStid="257" master="" otherUserPermission="visible"/>
  <rangeList sheetStid="167" master="" otherUserPermission="visible"/>
  <rangeList sheetStid="122" master="" otherUserPermission="visible"/>
  <rangeList sheetStid="368" master="" otherUserPermission="visible"/>
  <rangeList sheetStid="72" master="" otherUserPermission="visible"/>
  <rangeList sheetStid="216" master="" otherUserPermission="visible"/>
  <rangeList sheetStid="369" master="" otherUserPermission="visible"/>
  <rangeList sheetStid="36" master="" otherUserPermission="visible"/>
  <rangeList sheetStid="49" master="" otherUserPermission="visible"/>
  <rangeList sheetStid="73" master="" otherUserPermission="visible"/>
  <rangeList sheetStid="74" master="" otherUserPermission="visible"/>
  <rangeList sheetStid="180" master="" otherUserPermission="visible"/>
  <rangeList sheetStid="234" master="" otherUserPermission="visible"/>
  <rangeList sheetStid="237" master="" otherUserPermission="visible"/>
  <rangeList sheetStid="168" master="" otherUserPermission="visible"/>
  <rangeList sheetStid="235" master="" otherUserPermission="visible"/>
  <rangeList sheetStid="238" master="" otherUserPermission="visible"/>
  <rangeList sheetStid="319" master="" otherUserPermission="visible"/>
  <rangeList sheetStid="236" master="" otherUserPermission="visible"/>
  <rangeList sheetStid="351" master="" otherUserPermission="visible"/>
  <rangeList sheetStid="373" master="" otherUserPermission="visible"/>
  <rangeList sheetStid="362" master="" otherUserPermission="visible"/>
  <rangeList sheetStid="363" master="" otherUserPermission="visible"/>
  <rangeList sheetStid="365" master="" otherUserPermission="visible"/>
  <rangeList sheetStid="367" master="" otherUserPermission="visible"/>
  <rangeList sheetStid="353" master="" otherUserPermission="visible"/>
  <rangeList sheetStid="359" master="" otherUserPermission="visible"/>
  <rangeList sheetStid="371" master="" otherUserPermission="visible"/>
  <rangeList sheetStid="360" master="" otherUserPermission="visible"/>
  <rangeList sheetStid="361" master="" otherUserPermission="visible"/>
  <rangeList sheetStid="366" master="" otherUserPermission="visible"/>
</allowEditUser>
</file>

<file path=customXml/item2.xml><?xml version="1.0" encoding="utf-8"?>
<DataMashup xmlns="http://schemas.microsoft.com/DataMashup">AAAAAG8xAABQSwMECgAAAAAAh07iQAAAAAAAAAAAAAAAAAcAAABDb25maWcvUEsDBBQAAAAIAIdO4kASOP6YnwAAAPMAAAASAAAAQ29uZmlnL1BhY2thZ2UueG1shY9NC4IwHMa/iuzuNmdRyN958JoRBNF1zDVHOsPNJn36jDK6dXtefofngWLq2uiuBmd6m6MEUxQpK/vaWJ2j0V/iLSo4HIS8Cq2iGbYum1ydo8b7W0ZICAGHFPeDJozShJyr3VE2qhPoC5v/cGys88JKhTic3mM4w8lqg9N1iimQJYTK2EUzzOa9r/YnhHJs/Tgo/mjicg9ksUA+H/gTUEsDBAoAAAAAAIdO4kAAAAAAAAAAAAAAAAAJAAAARm9ybXVsYXMvUEsDBBQAAAAIAIdO4kBEbsOXES4AAE6TAwATAAAARm9ybXVsYXMvU2VjdGlvbjEube2da29b15WGvxvwfyBYaCB3HMWkJEtq4QLyBUgGRVEkAvrBMAayzMCaUqRB0k0yhoFM09Rp08TB1G3SpJM6vSCZtu41GCRx0v4ZS7L/xWyKpHgO33UoPj37JAy7gmmnISWK3Ptd672sfQ7bta3OdrNRerr3/ytfPX7s+LH21c1W7Urp0b07+2//9/o3n3z4pxf377xfOlOq1zrHj5XCP+3WVvjXC89t1eoL5663WrVG51vN1rcvN5vfnj9x4+I3NndqZ8q7t7+795M/PXz3/fKlmxfPNRud8FOXTvZeoPfc7vdf2v3DR+GVNjYv12sLG63NRvuZZmvnXLN+faex8fy1Wns+/KmTN26UH7306sNfvfTk+fLJ0pONzumlhe6zN2+e6L/ek+fDqyRf9MapmxcHvzP4o61a+1qz0a6FH/23drOxcL65dX0nvKn5b9UuL/TfYHu+fLXTudb+yuOPb+20F/7jucXLzecWtpo7j29e2+4+FP7/tcev/efj5dK/lL5xfedyrbWw0dyoPdeZL4U3ceLE4B21ap3wd0q9j7v9TKlxvV4PDwzew8Urm53NS73/LnWu1hq9H+wubvef8qM7P3v4xz+Wh4/W6u3a8N+6P/NUbavZutL9693Vm7de+cTxY9v9Vw7vJ7m5B3u398MXHr74adikvVf/EN7b4fbuffx6+NfuqpxtNZ9t11q6ONuNrYCR7fCHH+u0Nr9Ta7dr263mY2tbiyvV2kKj1qlvP/P8Qnet5i6cnltbn1tbmbuwPHf2/NzZSvd/rJ6fW108eOrc3Nn17v9YXZ9bPTV3YbX7ePix7m+Fnw+PhKfOz61fWLja2amXB8v7pfKD+6+VnggPlR58eG/v9uu7t3+6/9b3umgLb737+EJvWcJnOVkKAOphqhLwU95YP/v1C6Wvlb4c/rPxVPe/zn+l0ezMX9xq1tvXNhuXTvT+tfvZ+//aufrY1tXt+pX5Sngu/Et9s93pP7J04mQp7itWo7/iov2Kgw98plyulsuXyKfOeMUc61g5Ub4Zdqq/UdUiNqr0r2Srq7LV8T909cTBe0psxOLYjdD3VLG3NsdGLMp7Gg8OfU9FADjv3mW8p8TKj/+UWviLKcAuTidg2bItCuQzli0HvBzyk/FKvwwnXmmrDEeby3iI6+5nNJdcRcMQaX2qJE8szWrZsWVaksLN2LqJ4aT9blYLl630xEWSY6W99LtS2yr9/HtVvhlU5sWnms8+XasH09tsnRnxA+VLA4/RdRWv3gquYu/urUe/fDP4ip5P/WarudPs1J6obV6ptdrzY6xI+Ev9H16v15/e2qxvttpnOq3rteHfePuDvTsfhb+x/+f7u++8cvg3TC888oa6vrhn4UIT7AQ/XOoEH3ogond/8fH+uy88+OTXu3/4qzzZ+539v94Pzm/wZOPAyh787v7dD/Zeedt8+mbCUO6l37mYy93f3Nr/3w+mwlwuz60HxxkM6Mrc+trc2aXP1Fwe+MWBeUxSl21xEj9enUBgJn48rUdtYkz8+FLq1ZdNHk38+HLqx08f9eOnUz++ctSPr6R+fPWoH19N/fjaUT++lvrxyqmjfr5yKv0LdmqQWJxK2rxWjtzaSnpvK7Z7SP6F9O5WjtzeSnp/K0ducCW9w5Ujt7iS3uPKkZtcSe9y5chtrqT3uXLkRlfSO109cqer6Z2uHrnT1fROV4/c6Wp6p6tH7nS1u9MzxVG7v3xn/+0f7r7+6u69N0LppZlq7+5Hj377/v69H+x//F54MhHudsOg3rOB9x797k3j2Tv3d2/dz/zdg2cPf/fgzyZo7sEnb+3+/cWsX+49O+6X937y8phfDs9m/vLuD+8+euEXWb8c6PfRm38Z/+zhS48u1xt3d2//KOt39w6eHf+7Dz56c/8Ph7uUWK6+KsjYp96zWS8dABCkyGDrEy+69+aPe0+MfI5HP3v1waevhWXY/du7xra/cffhe98/fHZ0Y/df+f3+717J/psHsDA/J5I3H37YVUA//dOUKJyzq3Ph/7qp+dmBwjndj8+/GDl6oJPYQXpGNJ+ILwLLsdw7vq2OHyovR1/IIFdi702QTNFfsoAPfir6u0xrGls/5BpIhUJiNlmNdtCCsTdnKfebyiiUaavmvGsfv9R0oEOHTPHf03JuOGQ09/yxWwJQ4/NyrZv46xQ6b15AFdFpK/nfVfzOGrpW7rWKj6oQJuR9V2vRu/Fq7veU9vK2q50CGmNLb4T78QERgwnzfqyMRpVofVOhjNnHtPrxwSskP9bSWMFvACB67c0qHbPN0pXO0HdO6AcxcOLEWSD0vGsdSCm2wMfvSssVU6WCKD5VxlEVuTcsfnXg1dYNW8sNxNXoOIwhbfLuVnoyYs9qZkMcsZUyjqnEx/V06KuDhUkKj/Ge21gZuzKSLzkN4SUDgLYQPVUUZpvjMlnt+fGTRJdo3QM4utL0YJKiOsN4fM4iDxarLkx8CMYJflh1Gp+Lhhe64wUoMqp/tetg7aNLQ7WPrkx87TM1WpXhTpemiIEThbKihm65goaKU12ZFVsW5Gig9D3puqzktgF0ZKXrkj69ZJ92csl9cAkbZfFlPVwen8ZdtQ/OiErcE73iKQC04mdWtYsSHD8C1A4fXwnmn2rR2tJPRRGj/dlAzPilNbpOUYWQ8NTj39NEhTDe6OvaxkfMDHkHJiQVMwVo7JlxH3nXNr4UnSX/knd1izi2MSsWKO/axj9qOismKu/Kpq86sa8hcRsWz4ax/TqtTi6++qBqU0UVVZuqqQy1OV6WqWDNWJiEVvQjMgPLGvssQR8AibUev3sKIQMA46W9YigDADmSNndyh3dRKh4x47d7IsSMB91ngRh3cof32aIKS7muAL/iXrBf0XQEoLsTX5O7mxzepQ6fztMNKuLMoBvSnoSi8y/dnfhXbNGGq5RKm4IyKl0XlfFUc2mESP2M7k363g32fRLcFE+VKWa+ekV9dfwD1hSHWo/uq+cvfn4335uRc40HlZFw5uFmN5/3cU3a47UyaG0pU9HaUqbCkYVSVfzIQpOY8dutS2t8LPfV/eCMyl8FDT2SppihMk/lDZV5ypYFeD935hGdeV41FN+cuLeP7e3z7nEB57xpe1Tyoe1ReZ22R23RtD1qi6YuWFs0VUjaouNfB09XVneXrqzuLl1Z3V26srq7VHvq7lLtqbubvkmhfWNGTyhmLaFgLX9VQo74LZ/WgvYEWgvaE7Bh0aaQ4cOSrtmv3ex/n07xk+DxdlMhZABgvOlVDGUAwM8O9K4UShbC+KVVuoy/tJ5x9OIIrQQ8NTQqgYp47aZUxCtmqNRUiUWlpkosKjWVbgtw0Z6STFVKkleQxTdpnrNMX86SFyUFXBNDm7xSDW3yyjS0ySvR0CavREObvBINzROUaKiHUqKJf08eujeKD7o3ig+6N4oPujeKD7o3ig/qbxUffXszsRdRfKS/A8P+Vg5PizwtSn9RLu3wa5I3xScuWo/al2g9al8y4obxiYU2pgxPnLTZnjd53tRr+ZOdgKJcp5VBa0srg9aWFoZRW543FVQIfq1K1GtVmMtTmUflrso82gKUsAvIIzyxmrHEiuFcMRbfrHrmNYuZV16cFXD1oKdm8a5+YturdEnVqtIlVavaytKncDK+p9aDFQ9W4gcrrHzCpaCjdymM3x5pRaoDpRWpDtTwj57NhFuD61obKzUb93E/qIxkkjY+QFAMZYRzE+fvFak1asx0t2ht6aeiteXZTLNjX32oaxsfMZ7NeDbTSKsG2gIMzi/Aenu84/HO1ccSX3ZGecaAafyblXtC5AmR2nd6RMWAagEXwnrI5CFTsqGqUVsZewMHA6Xp8z+VSvlkqbyxfvbrF0pfK305/Gfjqe5/nc/hcOJ8hz0LNQwdTjWSmpwK5S89M4a1ux4aw+f4NR8NMGDLqQFpjANA7D0Y2MVNWu13/CZNcaaGnsJMwa59oeJRl0ddl7IPDSmG4gcXHnX1/WD8pe23jES0OT7Z1KaDW8ZngRhMl/q5MF0an4vSpUoHSpeqHOipexUOlC1VN0zHMaTcsoHya4DQ6ISsgBjC0zJPy+KnZQfFkqCFI46OK9Ljc5UHbh64FRS4QWpQtBdwWTYVDyphqHhQBUPFgwoYKh5UwFDxoAKG+gcVMNSba+5BtYMCXYV23syu6pldXzoobj2zG5IN7SOKXdpHisrsYJ/Xlhq/z9PWou+JthZt89paPPbrHjDVtTZWyk+4FXQtGaVt3S1aW1oZtLaUSAzEjI/YVAHFt1L9j5Xwd+Pfky6t8bHGTwp0beN/LI/9/IRbESfcoGxQe6jVsjx+3q4FV0C1eHLoyaEnh9atEIzyy68lsKVUMYEJzhATtOo1T8HHQDRQoZZSAxVqKdWU0mjKMKU0mzImQlTlBgiMDpUKuMLew0c/MFjsgcFFDx89fGxf22xc6vWzXr1pn6dMoX2eMoXR5zFVqAXAVKF9HlOFeu74VEF1kX4smrHop1J75fml55f+jYRX5mltqeUwamt8VmhYjhPFf7/D+PekTcf4WJ5f9jgY2zsFDSVtxQwlbXWplLPVpFLKVvFCGVvFC6VXQ7zQHmCYVK0Wzy/76p1CXYuFQl2LhUJdi4VCXYuFQl2LhUJdiwUjXW9ho0j3k499pHt++Y8fiVG006pXtNOqN6iBlr1BDbTuzfwSDtjUARZwFwqPQD0CLTYCXfII1CNQj0AbWTfFMqgCs41SBZWZFVXs8dmGvikNNKj21YVR6espqqeonqJ6itpnaW06uGVo1yngXFv/XU186xn9XMHnMEtifC7qH5RmaLSkwRA1mRoMUZOpwRD1mGqVKemrVab0alhlyq+GVdZq8RTVU9TUCUwKdS0WCnUtFox0T1EzLYzBC3R5lRf8FOg/fJmDop0SnEENlOEMaqB1b1hjWvghzh89SEqhaVjjAm5wQoWUyjkqpHRlqJDSoqU4UzFHYaZijqJMxRwFmfITxZhWrMqovBfCL3sQ60GsB7GZKsZgG9pKDLahvcRgG9pMwi2ERjkvPmHRz6V8RT+W8pX2SM9yPcv1LNezXM9yB0SfNXbUbho8H4uDVf5TC6JERS2Iyn9qQVT+Uwui8p/qBpX/lF4Nw0751TDsSrCe5XqW61nulXmjWAqY8dE+oiI72AnW1A1eoI1EecGzXM9yFZsUmoa7ptA03LVy3PirrAx3XUDlUy2mq0u1mBY+1WJa91SLqR6kWkz1IO2hqgcpTlUPUpiqHlSU5o2DT3sc7HHwwCWGL8z0WxOkb9Iw23EwE4XhS8pGE+X4nEfbrFIebbNKedpmPVH2RNkTZU+UPVEeaAVPlPv3c8paCHUQ1MWog6AuRh0EpVdPlLO/D1ClBx6eqPaghl3tNjXsarepYVddSKGuxUKhrsVCoa7FQpWkUSwqJf0eC30S9Xss+D0W9N6BtO4Ng04L3xNlwnGUoJTiKEEpxVGCUoqjBKUUR4GqFEdxqhRHCUopTvnpH0qUb54sXXyq+ezTtXptq9NsnSlvrJ/9+oXS10pfDv/ZeKp86cTJ48dK4Z+9tz/Yu/PR/lvf2//z/d13XimdKW1sXq7XFjZam432M83Wzrlm/fpOY+P5a7X2/JfKD+6/Vnqis1MvPfjw3t7t13dv/zT86sN33y+fvHGj3PvRSkiwO+HHS53ac53wPgaPd7/xy3q8ezNe6/HuHSqsx7sHpq3Hu8m59fhKxuOrGY+vZTxeOZX1RNYnrmR95JBe2e+1kvWhK1mfupL+2DdPHD+23TC39qvHjx0/1r662apdKV14bqtW3//By3s///3ea+/tvvx/Yd/rtU7/9z5+Pfzrt2qXF852709fa51rNjq1Rqc9X77a6Vxrf+Xxx7cbW+FltgNQHuu0Nr9Ta7dr263mY2tbiyvV2kKj1qlvP/P8wua1a4/PXTg9t7Y+t7Yyd2F57uz5ubOV7v9YPT+3unjw1Lm5s+tzF1bmVtfmVlf7j6yf6/6P1Qtz6we/FR4/e3rhakBdeYDaMUAMb70L0IUDGM/vffx6QOAAgt2NGqmEbjmcn/hqXaXHIDHj32Ay9isunSiPFGL8VWDRtVq1tQLWMe97ms7z2cm9LOJO5tMx5I5dA5SaFaFKzatjv0hHhdasTmeSiCzixlLTgUjWTSyR7Jh+dhBXH462lVKpDNdKpbWuldqv9YmFge52JcW5RVzlNytVwerKso6zWVfJrlrEsSDHT7ybTM4+Ars2ehpdA+se2uk9/OpVQfxvZ6EsrDweQ3Enu2g38nEMX5lXteIBbq8K4t9dc/qqoBtwehV4FWQfLqaYtcYYs6+IDgYCXkheSMUWEhO4xpGX+Kkj7Q9FKbsv4pSzcX3ncq2VGMccjvzkmcOZnzxzOPSTZw6nnfLM4bxTnjmceMozw5ln/ykyX3z4q5d2f33rc54srs6tL86tLneHjutLc6thoBjmkWESeepgxHh+bv3CtE4Wq/EnYtXV6EO26kr8lzwd/SUrq6k0tjuXj0zcYbdYozZ6YgG7Q9MN410VsMHUbRrvKj5GqvQIkvGulotAbl5cVVZS4C9gZBwH/OxzapJXRCuKUj+5P1gBYI9Sgrk/WPx6iVPFuT9Y/DQ1UBh7V9qeQiNgL6E1Fi45TQaqBQz7p6aXsKXSSDUgMXYGEvQbe1eKgdAk2UsoBnCJGWtTQOHTD2asDVUAxtrQU8jG2sTvHXjHjLWhH8xYG3qww1ib+Pn81PRVVpa6NuEOOMnWXMCJk1lqzWy19dBJtYAONkPdPffyFtAEZ4ggci9v/D46SxyTe3njHxyfJZrKu7zhdnFJpivgbJwz3fBS2MB0bMP00rxqAd3cyfLw5pVheXPvUAGE4Hw73CE6MTVqKD6nOGUnuhw98W/sUPxBu7P+cIfwPZN1h8KNBZLCoYAjzS4chhsWRzgwZtOL+qsFMJtrjyGzRdEeuTe5AHJ0+TLc5CjyJfcmx+dXV0CJdh1FAeXe5Pj3U3ARNdzkOCIq7yaHe0QldVgBl+W4Dhvu+dToMAYbvbtStQCWdyk3ZPlpkXK5cVKAUHA1OMTJtKjB3DiJrzVcUCZ4Z1oE5QFOLm41692bj5wplxfH3rZHeacS/yS+a9IhTqZGk+btJ+Hb55KytoDrbF3WDmEzS7KWIc+43LYAxePKeKh4ZkgZj5Lh+K/VM6BWgGhyqM0u1Ca+hdpnAzX3cUOozZCPy9vVCpD4bgUTWs2t4OBLNvQr+/KzX5wLu5gINS9AYC+hp+pnyQqytVD2C3fySLrJIu4243Yy0aKiHHNlm26eVmEvoWlVmJKwl1DoVSvwJYy7zlTdJ/RbvnZKHF1op4xz5pcBxYArxZoB1z7WEvmsW9LB11rSC1Idao3DG4tnQy2fJWU1Y3TGIryG21q3tfNK5EVAjfakKb6WnJWyQcKU/vRIOpZaBgn3b+SeYFCfcA7sNkWrMmi4rj4vTtzWDn1WIES2nAaDrqWdcQFf6+XOeLhj2K0YXY4O0IwuR9NqQ//Rdq2Eitu1gd7gjGEF6HfkFEHs+XPIqbm5EFtfg9gpXg3IU7wakKd4NSAfxV2z5TQg73Ad3CNa9QVur/8EcP38HTqEvNGhC7ibq7t8d/m2y4dwPWVNIaPfrZB6L08KhumlISjoUMYQFFGSAoY11dDh7HNsqPlx6qFd87AhsRbYamlnpDd2D6fAv9Kt4/rwbaTvPn/wtfBTeft5VtnGHT6pQDHUMCUNQw3TwM7otdT/Gb2W+j/DvFH/p712ivIKBq5wifBoFRXAG7N0Q2W2vkbZUMwbZUMxb5QNxbxRNlOTebAtMYjDIe+5iX5lejbkZyM3gWVjMMW0fmcN+2SGwKLSxhBYtM0bTEHbvMEUtM0bTEH9sFE26ofp2bOQbLNNtdJxOnmxmKIAyFMproWIs20D8hSvBuQpXg3IU7wakKd4NSCveP0HTnowvKqnwGGLBfn4cMVvS+Hq11EMM4twr0wGFIVr8HDsJbRDh07HXsKA67RkQOyDGAY4/T1ulVn+Ije2VkbLp9xltHyqtYyWT7lLayjcvpSthdbQ9FwQwj6JpXKw2jKaPFZbKkoCUcQeYXgUNeQev7glsRYR6IubFJ1hYHllEJiXjcdZHmdtNi6F2UazM3+x1dTVsMsGMqfBWAV8GyWd9ikX43sk6AfDEYMhFqlMM8QilWmGWKRuyRCL1C0ZYlEjhi9wJAbLRgEavu82utCj1kTfFca8UTYU80bZUMwbZUMxb5QNxbxRNor5L26sBiFvCL34kMfaUSHv0dzQEng0lzhbhRMBRTwOBBSeVAqFLRw93pL+ZvWKf7X6GK9EKdRgHk/3hmfpKYUaA51IF7VB9tJCxFRjVCLmmnDkdrSaixCOtE/p6vgFekMWxcm6IRypfDX8Vr/2EhfvU7/FS08POU9RQghbgBKpl94Y5qS0ZzAndY6GZ6POsdDS80NzV7frV+Y565mlB8vXYM7l+JELlecGc1LJqYuDUxtdGzwYM8qX1p5RvpT2jPKlktNgTk1tKHNy1jOYk6oya6xN8WkNCShALeFbQOnRt2WUHuUso/QoZxmlR+vGKD1aN0bp0boxSk/r5p877YSMpQANd4iKPSTANtZ4V7SpaNkEJc0WR8vG7541dJx+mDGR21J0GnRF0WnENMvpO4ktl0+W/MrcrhvQSsazeoMAKZMbBEiZ3CBAyuSG9qRMrseSZ+zKXMYTRjFz+6kQxXwV2EmC2/hk7kc7hxyIHazRAmj9Gi2A1q/RAjy4Td7igpdvBLlpEHoBWtzLd4bL18PfaQt/oZIwGHwpuh3Hc1O141g+a3/0ADnRiGgQZjC4BmEeIG+cn7gjWiKeGjyLwQsoX5oUGOVLP5lRvtS6qsHBZxa0O+KrAQ0BTmvPEOBaex5Cg9JTgOKg1Srf+KXnQfaQs0KzY+JGSy9sGnsJLb0wO2QvoczpQfYUBtlsU43kaymdhZ/2LDz7C/yooDB4mAoKbQY4S9NmgAWFNgMsKDwL717/efg9dRYP4+GYSsVIWTjsKgrSQHqxh+MeyA01Be4BukO4BxhtJL+mGMzD/CC0B3LXepfID1ukTOm8BcxwC5g4gTKURD9XmPgljEuZ+KlQvaQQ217rRCdWAZo5cRVgKAmqVA1vga1veOMymV+MryToEmvu4rl+ohNRGWAoCZotGoZEs0XP9aci14dmQk1z8ErRzQS18kYLoA1S+zSW8dqmsYzX5cVWXpv0QMZPTMBGC9D69dnANMwGYPkqRAsoXyy0tHzx0SUtXyyzjLWhTUTLF4ssLV+fLySS/Rm6tUju0qXoNDwAnX4ZFmAxPaJY8RGFjyjao2mR4QioLzGCBepLjGCB36jBCBZwUzIID1+yajAedc6BnMTQU+ltNJXwEOxtBunhzqSitQBp4xlnIlmgW6S7jP2RbjL2R0Yr6vcRH3PM4pgjfysqIOCg3V4JAx9/Vr7AManSBT7+rA4JxyzT3kYmjlkMReOjktSX9GIPbykarEYUo9jFGz4J2/iQgYg6q8bPWqloNFoR1YxGK6KbZLQiKkd0m7EcMVoRtTW6yTiuNRSNxrU+bpmZcUt+RVNAG6E9wGgjtAcYbYT2AKON0NPcRhuhPcBoIzTaMNqI9gAf2czKyAa2AMVoONsSe2rrY59hNoIFo7YArBe1BfhlJYnJEbXcxukvKpXDFo4qeEqThqGhNGkktJQmDTtDadJwM9X05GjVJ0c+OfLJEf4mMtzYtCvh4xZGW+JZjaFKcG8zeBM3N4M4cXdTD16AwvLp01BhzVxs7NMnnz4ZOgvbAENoeSvyb1/QbzVVysLJs0+wjrxsOILh4+dpDGWFVZGhrLAqMpQVzUZDqjTqocOtLmJnV3iabsTXdKdVhuNpuhFf031WqPgUbKgy+XWHM/9tFDB6VojibNQIsLgqMtoZbkVGOyugFdE+YrQiaqONVkT7iO4z7iNGK6JbpLuMNY1u8uCMcMKh+STNJ2n9sBYPWSyTF7+N+DQuweK0mWkbwYSjbQQDxVS+jH7VoIVrINhLGBdN4Osd9JoJHFory/k0bojwCM6MUq1lzNIDvTUf6PlAzwd6PtAjJy8N6qXsbSXguEEa5Is7pMG+8YWeDwWHNOhDwcRaRBB6PP5SpYeNSNDJkvhG0Hr8fIJGGp7Eh/v/Jc7UFZHEU2egaMFhvhF/0RBOsYLDfCP+osyn5IlDOPWtEa+w9Uvj/IyDFX9hdaYoxemK5V/pVReBH4WqTvlwcusA5UZLpP3MaIkUKkZLpDpewYaHCuomjKGCX6JHjKKSNldnCtEZG07CqFdhGtLf6GctqLYyFJ4PONudfraIe5HRzvxSwaSpofi0DCsFqHGpEG9FRjujdGmdtaB8aSk8rKwUpaEVlW+eLN0on2vWr+80qqd8vODjBR8v+HiBqEa1A7zNGq0Jt1lDaeE2a5hP2maDC/ksDKxnekO5Rj2wIna6Mr3EqThqYAceeOJY0DiL4iOKkUgeK08NWXhLVJDiA1PW1Ba3RKOt0pb4GWV63hJntyVO3M+Uwb0ljrQzbMYNE+wtcXRqC3NBxWlgYvYahtJcix8t0nMCRrRIAac5NJ78KmTxQRYlcawSlcPx5FedEU4nlcEHLTGH0OQi0fBFlLHD4QjxVhSfVrRIAWpFi7gjKkS5SFSMcpGoIOWDX0Up/vJ0a3hMO6IhNAvoiBQtRkekYDE6IjW9CjfczhRtuJ0p2HA7U6wZ7cyvJvOryeJeTca0mWW9cTdT4l5Lz2sqPq/xeY3Pa3xe4/OawdkNrDsNF82duPqSAnQndUuG7qRmydCdVP0aupOqX0N3UvVr6E46YDR0Jw3TldAH6jeHEx+o34kjUh/5HBBGSEV7p2qD7ZZUgULUOuRDMWod8qEgtXQnRanlxOOMfJiGNjqzd9VsvUsh+0/QVSduiZrGe1f1qdGQIZT7eUaq5I+1qpFvcq2qOTy9+UgQLaOEueqDJ79EZ4KvKNZj8fSEkw+eRhoz5X1L7mKpquLBB0/pfcFNVftyAU2VuncjQ6B4MzIECjc1aD67Gt6WAndEVbv8jhKK1mA9mb+zpvkUn9Y0nwLUmuZThFpNFXt3o6li765BF1eZhtqNMruC8FCYrqbHX1Uff2XHAbSSFHz40JViDx+6UujhTq8+C59SUOQNctqJEwUjZOWRgvos3OutBkkHCVaDxM1eOZzfPkgxyi9QV5DyY1eKUq5+FaY8UlCc4mZvhKw8UlCcYvWrQrMA9UuBr2/Kb4Q01J24M2vZ4M6sVTPozD5B8xsh+QQtPdk0mjtuzNrbvTFnq27qPVXRYMmsgma6GvPEklnVDFfMRixBEW/FElQ4WKobK2YNzrhiNlQ3hagfbUg31WkewrGEJaiv0Tneis/xfI7nc7zudxA2O/MXW039kkert9OwzUpUcF82ejuOrVV/8CRDBQhPMtQa4iTDOraGY2vVIFQ+GJqbqgfjfEUBfZliVskCB8SqaLDaVdBjtauYxzGEQn4QQ0ysdhXxA7WbSDL8Mja/jG1wStlHgcn75OOeqs5wJT1NXPRpYnauQcnC6LFU3xg9lsobo8fSobwRONNCVE2BycKniSMeXGUAz0YUoz5NTJ9hwxrcEL9TM02E2Yhq1QI0OGYxCWx8IOkDySvzBj/wkyI66eHHAtUk8mOBWnm8txv8QPWH594jnKs6hvd2VeE4X1GY4i6qKPXenq39aeGorsIpj6H9qXA3tD8V7ob2p9fBas0MUp6JgyLv7SN9yHt7dzwxvDhRYYp1+4zPNHNL/9M+FvWxqI9FfSwKxhGqYXwsmrppMpbtqvzpmSrjxEsBrZ2G5WpHfLKaSHWo5jaUv1527pNV0MoUoDwpN1IdOs7xiyxHnJAqf5qmGMIft2XNdHBb1s5+Oj2cXfLhbHZAQ/nGCGhoxqPiBmc8RpumGY/iH5/kMQIayjdGQMNDHq0AHuAbbZoWs3UwkVaz1aYpRK3wnWLUuhoIU46ilB+QVJhyJ6A4xSHPjA9nYcijKWIBToCWn1awz3cTToDygxYv5get3cHhncQxTXoPK04PqrE4PRgUQ/FpnX3H9GA4AUwPWr3ckagM4ncCUB3E6UFRyulBYYrpwbACszTfhfSgIHV6yHYgVJpp6WH7oJWHLwTQwotIDxPPd1XZOT2MHEN0ekgF504PqeWgIsYYAlANE1rN6JWzFKOh4Y2+xLJPmX3K7FNmnzKD0YzKIM4OqoO4eTAMyAxdfAvNg8Y4mB2UYApgB/yuhLJ8UJ2Ip+jgQOtuoPwT2ZIPqkE31MLjsZBWHo+FVNvxWEg9Mu/sBjtQkFrfKIQ7u7LDDA2qc5PDcnrWveyz7uykiVKWVhGmLC0iHFYZnZ7OMrSEcFhlJE24G+ggYsBZEwdeQVyOOl8+zDA6Pc0BfNY9cpxIUcpZS2HKWUtxiv1IAKVgjLKWcRseylpG1ERRakRNOK1SOULbaGiao+tZgB/BayNvysflCT9CKUbrH1OMlr+Py1NhtV8OPTLboSC1/Ai9sNO6VRxWQgZLYYZRlsIMo2IKd1HVUphh1DRjhlGScobJ9kE+cW8PvvJ9wDATGxCtXO5htHK5h9HS9RtujLADPq+rZp17GNVB3MOoEMIexg9kHViO3kjYsEFRGAaGd2qDlnxo70N7H9r70B6MqQySwhbGIClsYQySohbGIClsYVRLYQujUgpbGHVBmGDUBVGZbpwKK4Bg8AfTnI1+MF0aPERRg4hP/Cp944RLaxf7Dy3dgf/wuf92PdzNkOIzyPPRdNrn/iNOCpODohRfDmLkbJQcDH7B5KD8gslB+YVi1BgF0R5qeKCl9NGB0350IDsyoztmkAXdMYMsaKKhZYhZT2UeZj0jMsMNRctwQHsTJ3d+dGBkZK8Y5cSnIOUH3hSlPHZTmPLYTXGKYzc/OpCM3VR00zZqHh2AsZtCtABXhHWFiE4/feCnD/xm7KNhqHU/GCqkAquJw6NKyrofjJ8+SJ1Ooe7MOCKHu6h6d+zONFzCJKU8RyFq8JyTVLYbo8urDQAHiKoisJVSnYutlMpcHCCqyuVOSt2YH2AYicwoRJ2kRtyp4hRHiIYbc5IaqmwKUZOkcpuxRT8D4WcgRmW/wXP94XJiykXvnMY5yuA5KlGt1JFqVGtERUWqdcESbQCWGcNGSrUYT/tUjPG0T9UYTvuMERXmKGNGhTlKYUpRangxClJjRkUxasyoKETNMxCQoxShBXAUXhvJMAIdsw+mThe7IHW62AXp6mIXpOWPXZBW/8AFJQjGb58AzqVpFMOnSYpQPk1SiHJ+UYxyflGQcn5RlHJ+USlF+cWgKMwvSlGYX6b3GAVrwwZFLaZPYqz4SYzs7I8Sp9YyJk4tZUycWsmYOLWQMXFqpoKJMzSg0WHKgDn9JEbPyPMjiIpRzp0KUs6dilLOnQpTzp2KU8ydRvaHudNwRZQ7DVeEuVNVEeZOFUW0jRrhH/UfVYUoTQ/CIYnR7lOAN8M7JG/KD3MMY2ZMdLrHmOi0CQ2ILmHvaH7IeU65kmeQKnv9Qt+RWRvtIn6YIz1rM7gS85zCFHdRTRAwzylVYp5TqsQ8p3KOItSgSue5bE9Id0g3CBs61TLTxXMTmzHV2s5zI/xCe4g1J6MQ9fMgaY4yQkju51SPOc8NhTqFqGEJo/AcjFMNu+BHSvxIiR8p8dtqgPGl6jkeW2onwrGlHylJXkCmjpBKsSDKRwNDTHPqCDHNqeGgF48YjrAan+bw8srq4uGabhD2YrpB2IvpBuHMUTvIIHOc2ItpAxl4sURs6adSQFvXDsIna4pQPllTiPLJmmKUU5SClFOUohQ7MYPmqBMzDCFOHNUP4sRRc0/cQxWjmKIUopiiFKGYohSg1fTBllU/2JIdYlLcGKtNcaPdAHOvNgPMvcawjt7Rzggx/RYjqatz+b3jtSH4wZaRYJjC1OAsTL/GsA7Trx9saYSd7GVkRopJ26jhzTD9ah/F9Gv00fgOEWssdYhUY6m4CQvOQmLtZdinGnRLN9mgW7rJChPsUw2Y9LkyYTL9bMwGcJmKUE6VClHuVBWj3KkqSLlTVZRyp6owxVRp0S29R7FBt9SpGmyLu6h6RNpFjSSUdtFgDnKHqQpR2kUNtqVd1DhGWkCYijdZVtePkQ6n09hWahOKSJUTR7qGM6UtKMj70bILnY0JoNA75TUoPkMPl9egXShwibwGbUN+vGbkaIxT5QGm+n5OUUpB6lSZsMdGG+31nondQtXAZ3xjijdZGhF2ldrLsKtURYUTWFVUmCpV82OqNGBCE1iFiTH9pMaUM6XBtpgpDbal+LTYFjOlIpSbSoUoN5WKUW4qFaTcVCpKualUmOL81TCmVNAZvpSi1PClFKShTYzKOYpRg2xx/qoQxaZSEYpNpQK0Px+YnCkNfMZnSrxDsseY5rQPYZrTPcY0p3uMac7YY0pzuscGzfkhHxC/ahPiLKcI5SynEOUspxjlLKcg5SynKOUsp0xJWc4gSsxyqucwy6mcwz1UMYpZTiGKWU4RillOAYpZzsBn+pzQmp8T8nNC7Qmu4KAHMIw0ltK3kcYO+HviUNhKY3Fr1I7CbwygLcXPCY2c8aEN0jjayhlccYoZ3DCImMENh0hhajhEzOCKUszgSnyYwZX4MIMr8WEGV11GAWrEsbSNVg18xvepGCfqUylOFGk4FFakYbesSMNuWZGG3bIiDbtlNQChoxwMLieORBRpnG3VAfBUWC0AZ1uDsSlAfX46MvtUlHK2VZhitjWMKmdbxSlmW4Up7qKKUgpSI9LFbKttFLOttlHMttpGMdsqQDHbGvh0ts28wwHFicJk5th2YmPqbNu9acLhtQHOts62AQ/NzvzFVvNZCaQMe+xsOzyxOVVsO7HhMOxxJT7bYkml3pZKKsPbUqpUUYap0mBbKqlUlGFjaogymgOrKBsY04mhpmzLfal6Bu5L1TTwFFhdA78ERhHK57gKUT7HVYzyOa6ClPtSRSn3pQpT7EsNb4t9qcIUM6WiFDdRBSltooa1pU00tMzRM1OYKRWhtIkaV9HgOa6Bz/hMiXdIVhfnr9qHMM3pHuP8VfcY05w2oUH+OrEj1D02aM5PK/lppf6BBc5yClLOcopSznLKlJTlDKLELKdEiVlOiRL3UCVKzHLaRDHLaRPFLGc0UTiAMoiyEk4r3TxZuvhU89mna/XaVqfZOlPeWD/79Qulr5W+HP6z8VT50omTx4+Vwj97t1/fffXW/lvf27t769Ev3yydKW1sXq7XFr7Zau40O7UnaptXaq32/JfKD+6/Vnqis1MvPfjwXveXbv80/NLDd98PZ6Eu9n94vV5/emuzvtlqn+m0rteGf+PtD/bufBR+fP/P93ffeeXwb2y0NhvtZ5qtnXPN+vWdxsbz12rt+ZE3dPLGjfLDX720++tbvV8Of64Tfq7UqT3XCR9y8OTe++/u/c/f5clHL77/4NNX5eHeC+6+/ur+e3+SJ3d/80Z4fu8nL++983N98sf/tf/xe+HhJxud00sL3bd88C52//zO3gvvVfTnDx6vZjy+mPH4UsbjGZ9y/wcfdd/um3/b//XHGR9q7JMPPv3xww+6GznyofbufvTot9bjd+7v3rqvP//gk7d2//6i+Xh4f/r4/t0PHr35F31894d3H73wC308/PzeK2/r43tv3N29/SN9fPel9x+++Knx+L07xk7du2Ns0707ukf7f/nb/nc/2b/3AxMJ4c+lAfrv3b+VWNmbJ44f2270qy9dGV/9f1BLAwQUAAAACACHTuJAf7/Typ0AAADkAAAAEwAAAFtDb250ZW50X1R5cGVzXS54bWxtj0sOwjAMRK8SeZ+6sEAINe2icAMuEAX3I5qPGheF25PQHWLp8TzPuOmSXcSL1jh7p+BQ1SDIGf+Y3ahg40GeoWub+ztQFNnqooKJOVwQo5nI6lj5QC5vBr9azXlcRwzaPPVIeKzrExrvmBxLLjegba406G1hcUtZ3mMzDqLffSVKAVNiLDL+BeyPXYewzEZzfgKTtFHaAuK3dvsBUEsBAhQAFAAAAAgAh07iQH+/08qdAAAA5AAAABMAAAAAAAAAAQAgAAAAXS8AAFtDb250ZW50X1R5cGVzXS54bWxQSwECFAAKAAAAAACHTuJAAAAAAAAAAAAAAAAABwAAAAAAAAAAABAAAAAAAAAAQ29uZmlnL1BLAQIUABQAAAAIAIdO4kASOP6YnwAAAPMAAAASAAAAAAAAAAEAIAAAACUAAABDb25maWcvUGFja2FnZS54bWxQSwECFAAKAAAAAACHTuJAAAAAAAAAAAAAAAAACQAAAAAAAAAAABAAAAD0AAAARm9ybXVsYXMvUEsBAhQAFAAAAAgAh07iQERuw5cRLgAATpMDABMAAAAAAAAAAQAgAAAAGwEAAEZvcm11bGFzL1NlY3Rpb24xLm1QSwUGAAAAAAUABQAuAQAAKzAAAAAADgEAADw/eG1sIHZlcnNpb249IjEuMCIgZW5jb2Rpbmc9InV0Zi04IiA/PjxQZXJtaXNzaW9uTGlzdCB4bWxuczp4c2Q9Imh0dHA6Ly93d3cudzMub3JnLzIwMDEvWE1MU2NoZW1hIiB4bWxuczp4c2k9Imh0dHA6Ly93d3cudzMub3JnLzIwMDEvWE1MU2NoZW1hLWluc3RhbmNlIj48Q2FuRXZhbHVhdGVGdXR1cmVQYWNrYWdlcz5mYWxzZTwvQ2FuRXZhbHVhdGVGdXR1cmVQYWNrYWdlcz48RmlyZXdhbGxFbmFibGVkPnRydWU8L0ZpcmV3YWxsRW5hYmxlZD48L1Blcm1pc3Npb25MaXN0PiYYAAAAAAAABBgAADw/eG1sIHZlcnNpb249IjEuMCIgZW5jb2Rpbmc9InV0Zi04IiA/PjxMb2NhbFBhY2thZ2VNZXRhZGF0YUZpbGUgeG1sbnM6eHNkPSJodHRwOi8vd3d3LnczLm9yZy8yMDAxL1hNTFNjaGVtYSIgeG1sbnM6eHNpPSJodHRwOi8vd3d3LnczLm9yZy8yMDAxL1hNTFNjaGVtYS1pbnN0YW5jZSI+PEl0ZW1zPjxJdGVtPjxJdGVtTG9jYXRpb24+PEl0ZW1UeXBlPkFsbEZvcm11bGFzPC9JdGVtVHlwZT48SXRlbVBhdGggLz48L0l0ZW1Mb2NhdGlvbj48U3RhYmxlRW50cmllcz48RW50cnkgVHlwZT0iUmVsYXRpb25zaGlwcyIgVmFsdWU9InNBQUFBQUE9PSIgLz48L1N0YWJsZUVudHJpZXM+PC9JdGVtPjxJdGVtPjxJdGVtTG9jYXRpb24+PEl0ZW1UeXBlPkZvcm11bGE8L0l0ZW1UeXBlPjxJdGVtUGF0aD5TZWN0aW9uMS8lRTklQUQlOTQlRTclOUIlOTJBUEklRTglQjAlODMlRTclOTQlQTg8L0l0ZW1QYXRoPjwvSXRlbUxvY2F0aW9uPjxTdGFibGVFbnRyaWVzPjxFbnRyeSBUeXBlPSJJc1ByaXZhdGUiIFZhbHVlPSJsMCIgLz48RW50cnkgVHlwZT0iRmlsbEVuYWJsZWQiIFZhbHVlPSJsMSIgLz48RW50cnkgVHlwZT0iRmlsbE9iamVjdFR5cGUiIFZhbHVlPSJzVGFibGUiIC8+PEVudHJ5IFR5cGU9IlF1ZXJ5SUQiIFZhbHVlPSJzODI5OGI3MzYtOWM1OS00NmY2LTkwNDctZjAzZDg1MzBiNDNmIiAvPjxFbnRyeSBUeXBlPSJSZXN1bHRUeXBlIiBWYWx1ZT0ic1RhYmxlIiAvPjxFbnRyeSBUeXBlPSJGaWxsVGFyZ2V0IiBWYWx1ZT0ic+mtlOebkkFQSeiwg+eUqCIgLz48RW50cnkgVHlwZT0iRmlsbENvdW50IiBWYWx1ZT0ibDkyIiAvPjxFbnRyeSBUeXBlPSJGaWxsRXJyb3JDb3VudCIgVmFsdWU9ImwwIiAvPjxFbnRyeSBUeXBlPSJGaWxsTGFzdFVwZGF0ZWQiIFZhbHVlPSJkMjAyNS0wNi0xNlQwNTowMzozNC4yMTgwMDAwWiIgLz48RW50cnkgVHlwZT0iRmlsbENvbHVtbk5hbWVzIiBWYWx1ZT0nc1smcXVvdDtOYW1lJnF1b3Q7LCZxdW90O1ZhbHVlJnF1b3Q7XScgLz48L1N0YWJsZUVudHJpZXM+PC9JdGVtPjxJdGVtPjxJdGVtTG9jYXRpb24+PEl0ZW1UeXBlPkZvcm11bGE8L0l0ZW1UeXBlPjxJdGVtUGF0aD5TZWN0aW9uMS9FeGNlbCVFNiU4QSU4MCVFOCU4MyVCRCVFNiU5NSVCMCVFNiU4RCVBRTwvSXRlbVBhdGg+PC9JdGVtTG9jYXRpb24+PFN0YWJsZUVudHJpZXM+PEVudHJ5IFR5cGU9IklzUHJpdmF0ZSIgVmFsdWU9ImwwIiAvPjxFbnRyeSBUeXBlPSJGaWxsRW5hYmxlZCIgVmFsdWU9ImwxIiAvPjxFbnRyeSBUeXBlPSJGaWxsT2JqZWN0VHlwZSIgVmFsdWU9InNUYWJsZSIgLz48RW50cnkgVHlwZT0iUXVlcnlJRCIgVmFsdWU9InM0NDQ4YzAzYi1hZTJkLTRiZGYtYjE3ZS1jMDZiMzQ2ZDgwYjEiIC8+PEVudHJ5IFR5cGU9IlJlc3VsdFR5cGUiIFZhbHVlPSJzVGFibGUiIC8+PEVudHJ5IFR5cGU9IkZpbGxUYXJnZXQiIFZhbHVlPSJzRXhjZWzmioDog73mlbDmja4iIC8+PEVudHJ5IFR5cGU9IkZpbGxDb3VudCIgVmFsdWU9Imw2MCIgLz48RW50cnkgVHlwZT0iRmlsbEVycm9yQ291bnQiIFZhbHVlPSJsMCIgLz48RW50cnkgVHlwZT0iRmlsbExhc3RVcGRhdGVkIiBWYWx1ZT0iZDIwMjYtMDQtMjVUMTA6MDA6MzUuNzI1MDAwMFoiIC8+PEVudHJ5IFR5cGU9IkZpbGxDb2x1bW5OYW1lcyIgVmFsdWU9J3NbJnF1b3Q75oqA6IO9JnF1b3Q7LCZxdW90O+WfuuehgOS8pOWusyZxdW90OywmcXVvdDvmioDog73ns7vmlbAmcXVvdDssJnF1b3Q756C05oub57O75pWwJnF1b3Q7XScgLz48L1N0YWJsZUVudHJpZXM+PC9JdGVtPjxJdGVtPjxJdGVtTG9jYXRpb24+PEl0ZW1UeXBlPkZvcm11bGE8L0l0ZW1UeXBlPjxJdGVtUGF0aD5TZWN0aW9uMS9FeGNlbCVFNSVBNSU4NyVFNyVBOSVCNCVFNiU5NSVCMCVFNiU4RCVBRTwvSXRlbVBhdGg+PC9JdGVtTG9jYXRpb24+PFN0YWJsZUVudHJpZXM+PEVudHJ5IFR5cGU9IklzUHJpdmF0ZSIgVmFsdWU9ImwwIiAvPjxFbnRyeSBUeXBlPSJGaWxsRW5hYmxlZCIgVmFsdWU9ImwxIiAvPjxFbnRyeSBUeXBlPSJGaWxsT2JqZWN0VHlwZSIgVmFsdWU9InNUYWJsZSIgLz48RW50cnkgVHlwZT0iUXVlcnlJRCIgVmFsdWU9InM0ZjMzY2EwZi1hNjFlLTQ4MDYtODMyMy1iZGQyYzNmMTQzMzYiIC8+PEVudHJ5IFR5cGU9IlJlc3VsdFR5cGUiIFZhbHVlPSJzVGFibGUiIC8+PEVudHJ5IFR5cGU9IkZpbGxUYXJnZXQiIFZhbHVlPSJzRXhjZWzlpYfnqbTmlbDmja4iIC8+PEVudHJ5IFR5cGU9IkZpbGxDb3VudCIgVmFsdWU9ImwyOCIgLz48RW50cnkgVHlwZT0iRmlsbEVycm9yQ291bnQiIFZhbHVlPSJsMCIgLz48RW50cnkgVHlwZT0iRmlsbExhc3RVcGRhdGVkIiBWYWx1ZT0iZDIwMjYtMDQtMjVUMDk6NTc6NTYuNDQyMDAwMFoiIC8+PEVudHJ5IFR5cGU9IkZpbGxDb2x1bW5OYW1lcyIgVmFsdWU9J3NbJnF1b3Q75aKe55uK5ZCN5a2XJnF1b3Q7LCZxdW90O+aguemqqOetiee6pyZxdW90OywmcXVvdDvmoLnpqqjmj5Dpq5gmcXVvdDssJnF1b3Q75pS75Ye7562J57qnJnF1b3Q7LCZxdW90O+aUu+WHu+aPkOmrmCZxdW90OywmcXVvdDvkvJrlv4PnrYnnuqcmcXVvdDssJnF1b3Q75Lya5b+D5o+Q6auYJnF1b3Q7LCZxdW90O+S8muaViOetiee6pyZxdW90OywmcXVvdDvkvJrmlYjmj5Dpq5gmcXVvdDssJnF1b3Q75Yqg6YCf562J57qnJnF1b3Q7LCZxdW90O+egtOmYsuetiee6pyZxdW90OywmcXVvdDvnoLTpmLLmj5Dpq5gmcXVvdDssJnF1b3Q75peg5Y+M562J57qnJnF1b3Q7LCZxdW90O+aXoOWPjOaPkOmrmCZxdW90OywmcXVvdDvml6Dlj4zkuZjnrpcmcXVvdDssJnF1b3Q756C05oub562J57qnJnF1b3Q7LCZxdW90O+egtOaLm+aPkOmrmCZxdW90OywmcXVvdDvlop7kvKQmcXVvdDssJnF1b3Q75piT5LykJnF1b3Q7LCZxdW90O+mZjeS9jumYsuW+oSZxdW90OywmcXVvdDvml6Dop4bpmLLlvqEmcXVvdDssJnF1b3Q754us56uL5aKe5LykJnF1b3Q7LCZxdW90O+aUu+WHu+S5mOeulyZxdW90O10nIC8+PC9TdGFibGVFbnRyaWVzPjwvSXRlbT48SXRlbT48SXRlbUxvY2F0aW9uPjxJdGVtVHlwZT5Gb3JtdWxhPC9JdGVtVHlwZT48SXRlbVBhdGg+U2VjdGlvbjEvRXhjZWwlRTUlQjglQjglRTYlOUIlQjQlRTYlOTYlQjAlRTYlOTUlQjAlRTYlOEQlQUU8L0l0ZW1QYXRoPjwvSXRlbUxvY2F0aW9uPjxTdGFibGVFbnRyaWVzPjxFbnRyeSBUeXBlPSJJc1ByaXZhdGUiIFZhbHVlPSJsMCIgLz48RW50cnkgVHlwZT0iRmlsbEVuYWJsZWQiIFZhbHVlPSJsMSIgLz48RW50cnkgVHlwZT0iRmlsbE9iamVjdFR5cGUiIFZhbHVlPSJzVGFibGUiIC8+PEVudHJ5IFR5cGU9IlF1ZXJ5SUQiIFZhbHVlPSJzMzgxYTk5NzctMjQ2YS00YWUwLWEwMDktNmJlZWM2NDhjYTRiIiAvPjxFbnRyeSBUeXBlPSJSZXN1bHRUeXBlIiBWYWx1ZT0ic1RhYmxlIiAvPjxFbnRyeSBUeXBlPSJGaWxsVGFyZ2V0IiBWYWx1ZT0ic0V4Y2Vs5bi45pu05paw5pWw5o2uIiAvPjxFbnRyeSBUeXBlPSJGaWxsQ291bnQiIFZhbHVlPSJsMTY4IiAvPjxFbnRyeSBUeXBlPSJGaWxsRXJyb3JDb3VudCIgVmFsdWU9ImwwIiAvPjxFbnRyeSBUeXBlPSJGaWxsTGFzdFVwZGF0ZWQiIFZhbHVlPSJkMjAyNi0wNC0yNVQxMDowNTowOS4xMTkwMDAwWiIgLz48RW50cnkgVHlwZT0iRmlsbENvbHVtbk5hbWVzIiBWYWx1ZT0nc1smcXVvdDtDb2x1bW4xJnF1b3Q7LCZxdW90O0NvbHVtbjImcXVvdDssJnF1b3Q7Q29sdW1uMyZxdW90OywmcXVvdDtDb2x1bW40JnF1b3Q7LCZxdW90O0NvbHVtbjUmcXVvdDssJnF1b3Q7Q29sdW1uNiZxdW90OywmcXVvdDtDb2x1bW43JnF1b3Q7LCZxdW90O0NvbHVtbjgmcXVvdDssJnF1b3Q7Q29sdW1uOSZxdW90OywmcXVvdDtDb2x1bW4xMCZxdW90OywmcXVvdDtDb2x1bW4xMSZxdW90OywmcXVvdDtDb2x1bW4xMiZxdW90OywmcXVvdDtDb2x1bW4xMyZxdW90OywmcXVvdDtDb2x1bW4xNCZxdW90OywmcXVvdDtDb2x1bW4xNSZxdW90OywmcXVvdDtDb2x1bW4xNiZxdW90O10nIC8+PC9TdGFibGVFbnRyaWVzPjwvSXRlbT48SXRlbT48SXRlbUxvY2F0aW9uPjxJdGVtVHlwZT5Gb3JtdWxhPC9JdGVtVHlwZT48SXRlbVBhdGg+U2VjdGlvbjEvRXhjZWwlRTclODklODglRTYlOUMlQUMlRTYlOEUlQTclRTUlODglQjY8L0l0ZW1QYXRoPjwvSXRlbUxvY2F0aW9uPjxTdGFibGVFbnRyaWVzPjxFbnRyeSBUeXBlPSJJc1ByaXZhdGUiIFZhbHVlPSJsMCIgLz48RW50cnkgVHlwZT0iRmlsbEVuYWJsZWQiIFZhbHVlPSJsMSIgLz48RW50cnkgVHlwZT0iRmlsbE9iamVjdFR5cGUiIFZhbHVlPSJzVGFibGUiIC8+PEVudHJ5IFR5cGU9IlF1ZXJ5SUQiIFZhbHVlPSJzMDhmMzgyN2QtN2I1MC00MjQ4LTk1NWMtOWYzNmNlOWU4NmE0IiAvPjxFbnRyeSBUeXBlPSJSZXN1bHRUeXBlIiBWYWx1ZT0ic1RhYmxlIiAvPjxFbnRyeSBUeXBlPSJGaWxsVGFyZ2V0IiBWYWx1ZT0ic0V4Y2Vs54mI5pys5o6n5Yi2IiAvPjxFbnRyeSBUeXBlPSJGaWxsQ291bnQiIFZhbHVlPSJsMjciIC8+PEVudHJ5IFR5cGU9IkZpbGxFcnJvckNvdW50IiBWYWx1ZT0ibDAiIC8+PEVudHJ5IFR5cGU9IkZpbGxMYXN0VXBkYXRlZCIgVmFsdWU9ImQyMDI2LTA0LTI1VDA5OjUzOjU5LjE3MDAwMDBaIiAvPjxFbnRyeSBUeXBlPSJGaWxsQ29sdW1uTmFtZXMiIFZhbHVlPSdzWyZxdW90O0NvbHVtbjEmcXVvdDssJnF1b3Q7Q29sdW1uMiZxdW90OywmcXVvdDtDb2x1bW4zJnF1b3Q7LCZxdW90O0NvbHVtbjQmcXVvdDssJnF1b3Q7Q29sdW1uNSZxdW90OywmcXVvdDtDb2x1bW42JnF1b3Q7LCZxdW90O0NvbHVtbjcmcXVvdDssJnF1b3Q7Q29sdW1uOCZxdW90OywmcXVvdDtDb2x1bW45JnF1b3Q7LCZxdW90O0NvbHVtbjEwJnF1b3Q7XScgLz48L1N0YWJsZUVudHJpZXM+PC9JdGVtPjxJdGVtPjxJdGVtTG9jYXRpb24+PEl0ZW1UeXBlPkZvcm11bGE8L0l0ZW1UeXBlPjxJdGVtUGF0aD5TZWN0aW9uMS9FeGNlbCVFOCVBMyU4NSVFNSVBNCU4NzwvSXRlbVBhdGg+PC9JdGVtTG9jYXRpb24+PFN0YWJsZUVudHJpZXM+PEVudHJ5IFR5cGU9IklzUHJpdmF0ZSIgVmFsdWU9ImwwIiAvPjxFbnRyeSBUeXBlPSJGaWxsRW5hYmxlZCIgVmFsdWU9ImwxIiAvPjxFbnRyeSBUeXBlPSJGaWxsT2JqZWN0VHlwZSIgVmFsdWU9InNUYWJsZSIgLz48RW50cnkgVHlwZT0iUXVlcnlJRCIgVmFsdWU9InNjMDEzNzE5Zi0xNTc2LTQ4ZTktYjc1OC0yNzRiOTY1N2VjZDIiIC8+PEVudHJ5IFR5cGU9IlJlc3VsdFR5cGUiIFZhbHVlPSJzVGFibGUiIC8+PEVudHJ5IFR5cGU9IkZpbGxUYXJnZXQiIFZhbHVlPSJzRXhjZWzoo4XlpIcxIiAvPjxFbnRyeSBUeXBlPSJGaWxsQ291bnQiIFZhbHVlPSJsMzIzIiAvPjxFbnRyeSBUeXBlPSJGaWxsRXJyb3JDb3VudCIgVmFsdWU9ImwwIiAvPjxFbnRyeSBUeXBlPSJGaWxsTGFzdFVwZGF0ZWQiIFZhbHVlPSJkMjAyNi0wNC0yNVQwOTo0NzoyNC42MTEwMDAwWiIgLz48RW50cnkgVHlwZT0iRmlsbENvbHVtbk5hbWVzIiBWYWx1ZT0nc1smcXVvdDvoo4XlpIfnsbvlnosmcXVvdDssJnF1b3Q76KOF5aSH5qih5p2/JnF1b3Q7LCZxdW90O+mDqOS9jSZxdW90OywmcXVvdDvoo4XlpIflkI3np7AmcXVvdDssJnF1b3Q75aWX6KOF5pWI5p6cJnF1b3Q7LCZxdW90O+WTgee6pyZxdW90OywmcXVvdDvlsZ7mgKcxJnF1b3Q7LCZxdW90O+WxnuaApzImcXVvdDssJnF1b3Q75bGe5oCnMyZxdW90OywmcXVvdDvlsZ7mgKc0JnF1b3Q7LCZxdW90O+WxnuaAp+aooeadvyZxdW90OywmcXVvdDvnibnmlYjmmL7npLrlkI3np7AmcXVvdDssJnF1b3Q75pi+56S65ZCN56ewJnF1b3Q7LCZxdW90O+S9k+i0qCZxdW90OywmcXVvdDvmoLnpqqgmcXVvdDssJnF1b3Q75pS75Ye7JnF1b3Q7LCZxdW90O+S8muW/gyZxdW90OywmcXVvdDvkvJrmlYgmcXVvdDssJnF1b3Q756C06ZiyJnF1b3Q7LCZxdW90O+WKoOmAnyZxdW90OywmcXVvdDvnoLTmi5smcXVvdDssJnF1b3Q75peg5Y+MJnF1b3Q7LCZxdW90O+WFqOiDvSZxdW90OywmcXVvdDvlrZQxJnF1b3Q7LCZxdW90O+WtlDImcXVvdDssJnF1b3Q75a2UMyZxdW90OywmcXVvdDvnsr7ngrznrYnnuqcmcXVvdDssJnF1b3Q7Q29sdW1uMSZxdW90OywmcXVvdDtfMSZxdW90O10nIC8+PEVudHJ5IFR5cGU9IkZpbGxUYXJnZXROYW1lQ3VzdG9taXplZCIgVmFsdWU9ImwxIiAvPjwvU3RhYmxlRW50cmllcz48L0l0ZW0+PC9JdGVtcz48L0xvY2FsUGFja2FnZU1ldGFkYXRhRmlsZT4WAAAAUEsFBgAAAAAAAAAAAAAAAAAAAAAAACYBAAABAAAA0Iyd3wEV0RGMegDAT8KX6wEAAAAkUQf5fWYVQJsWl4+dWkJ3AAAAAAIAAAAAABBmAAAAAQAAIAAAAFd80pDtv9B/kA2j5t3ilBB6BwUVOTt6qQMy58KE+W5JAAAAAA6AAAAAAgAAIAAAAPEORcPQ7ej9cxcpLxkeulUQJ5c/Co7BktiwKHX//UDYUAAAAF2D0zY5qS4KSiuG+wEO83ALWVMcXy690CzNK0WMR5kwu8tagCeiIH6zKz8nbRofH6MPw+gsuQuIlVug8c9UwyyIVa0FQ56Ka6qJjE2GoVPdQAAAAEBYTH5aUEtMBpW76JyfpPRSU15gzLL8L+GehZ3CVxSH4l4qlTQEQbKwHXMkTDxkUj3ESa39drrU78HkAZqC6W4=</DataMashup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2EE79AE3-2869-4E64-B47F-E9A1C92F3D9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34</vt:i4>
      </vt:variant>
    </vt:vector>
  </HeadingPairs>
  <TitlesOfParts>
    <vt:vector size="34" baseType="lpstr">
      <vt:lpstr>使用说明</vt:lpstr>
      <vt:lpstr>计算主页</vt:lpstr>
      <vt:lpstr>旧主页</vt:lpstr>
      <vt:lpstr>装备推荐</vt:lpstr>
      <vt:lpstr>我的装备</vt:lpstr>
      <vt:lpstr>目标数据</vt:lpstr>
      <vt:lpstr>加速表</vt:lpstr>
      <vt:lpstr>装备筛选</vt:lpstr>
      <vt:lpstr>循环模拟</vt:lpstr>
      <vt:lpstr>无界循环</vt:lpstr>
      <vt:lpstr>魔盒API调用</vt:lpstr>
      <vt:lpstr>加速计算</vt:lpstr>
      <vt:lpstr>角色属性</vt:lpstr>
      <vt:lpstr>常更新数据</vt:lpstr>
      <vt:lpstr>增益大全</vt:lpstr>
      <vt:lpstr>增益计算</vt:lpstr>
      <vt:lpstr>技能数</vt:lpstr>
      <vt:lpstr>技能数据</vt:lpstr>
      <vt:lpstr>实战面板</vt:lpstr>
      <vt:lpstr>伤害占比和收益</vt:lpstr>
      <vt:lpstr>待修改</vt:lpstr>
      <vt:lpstr>伤害计算</vt:lpstr>
      <vt:lpstr>全局设置</vt:lpstr>
      <vt:lpstr>Excel装备</vt:lpstr>
      <vt:lpstr>Excel版本控制</vt:lpstr>
      <vt:lpstr>Excel技能数据</vt:lpstr>
      <vt:lpstr>Excel常更新数据</vt:lpstr>
      <vt:lpstr>Excel奇穴数据</vt:lpstr>
      <vt:lpstr>WPS装备</vt:lpstr>
      <vt:lpstr>WPS版本控制</vt:lpstr>
      <vt:lpstr>数据引用</vt:lpstr>
      <vt:lpstr>WPS技能数据</vt:lpstr>
      <vt:lpstr>WPS常更新数据</vt:lpstr>
      <vt:lpstr>WPS奇穴数据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jgiengiw</cp:lastModifiedBy>
  <dcterms:created xsi:type="dcterms:W3CDTF">2018-12-01T06:59:00Z</dcterms:created>
  <dcterms:modified xsi:type="dcterms:W3CDTF">2026-07-13T04:01:25Z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2052-12.1.0.26895</vt:lpwstr>
  </property>
  <property fmtid="{D5CDD505-2E9C-101B-9397-08002B2CF9AE}" pid="3" name="ICV">
    <vt:lpwstr>853B395FCDD3477D83F54A341A7DFE60_13</vt:lpwstr>
  </property>
  <property fmtid="{D5CDD505-2E9C-101B-9397-08002B2CF9AE}" pid="4" name="CalculationRule">
    <vt:i4>0</vt:i4>
  </property>
</Properties>
</file>